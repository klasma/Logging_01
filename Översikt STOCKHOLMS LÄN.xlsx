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46089</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46089</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46089</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46089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46089</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46089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46089</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46089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46089</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46089</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46089</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46089</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46089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46089</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46089</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46089</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46089</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46089</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46089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46089</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46089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46089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46089</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46089</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46089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46089</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639-2026</t>
        </is>
      </c>
      <c r="B42" s="1" t="n">
        <v>46029</v>
      </c>
      <c r="C42" s="1" t="n">
        <v>46089</v>
      </c>
      <c r="D42" t="inlineStr">
        <is>
          <t>STOCKHOLMS LÄN</t>
        </is>
      </c>
      <c r="E42" t="inlineStr">
        <is>
          <t>NORRTÄLJE</t>
        </is>
      </c>
      <c r="G42" t="n">
        <v>24.7</v>
      </c>
      <c r="H42" t="n">
        <v>12</v>
      </c>
      <c r="I42" t="n">
        <v>0</v>
      </c>
      <c r="J42" t="n">
        <v>5</v>
      </c>
      <c r="K42" t="n">
        <v>1</v>
      </c>
      <c r="L42" t="n">
        <v>0</v>
      </c>
      <c r="M42" t="n">
        <v>0</v>
      </c>
      <c r="N42" t="n">
        <v>0</v>
      </c>
      <c r="O42" t="n">
        <v>6</v>
      </c>
      <c r="P42" t="n">
        <v>1</v>
      </c>
      <c r="Q42" t="n">
        <v>12</v>
      </c>
      <c r="R42" s="2" t="inlineStr">
        <is>
          <t>Stare
Entita
Gulsparv
Nordfladdermus
Rödvingetrast
Talltita
Enkelbeckasin
Grönsiska
Järnsparv
Kungsfågel
Större brunfladdermus
Blåsippa</t>
        </is>
      </c>
      <c r="S42">
        <f>HYPERLINK("https://klasma.github.io/Logging_0188/artfynd/A 639-2026 artfynd.xlsx", "A 639-2026")</f>
        <v/>
      </c>
      <c r="T42">
        <f>HYPERLINK("https://klasma.github.io/Logging_0188/kartor/A 639-2026 karta.png", "A 639-2026")</f>
        <v/>
      </c>
      <c r="V42">
        <f>HYPERLINK("https://klasma.github.io/Logging_0188/klagomål/A 639-2026 FSC-klagomål.docx", "A 639-2026")</f>
        <v/>
      </c>
      <c r="W42">
        <f>HYPERLINK("https://klasma.github.io/Logging_0188/klagomålsmail/A 639-2026 FSC-klagomål mail.docx", "A 639-2026")</f>
        <v/>
      </c>
      <c r="X42">
        <f>HYPERLINK("https://klasma.github.io/Logging_0188/tillsyn/A 639-2026 tillsynsbegäran.docx", "A 639-2026")</f>
        <v/>
      </c>
      <c r="Y42">
        <f>HYPERLINK("https://klasma.github.io/Logging_0188/tillsynsmail/A 639-2026 tillsynsbegäran mail.docx", "A 639-2026")</f>
        <v/>
      </c>
      <c r="Z42">
        <f>HYPERLINK("https://klasma.github.io/Logging_0188/fåglar/A 639-2026 prioriterade fågelarter.docx", "A 639-2026")</f>
        <v/>
      </c>
    </row>
    <row r="43" ht="15" customHeight="1">
      <c r="A43" t="inlineStr">
        <is>
          <t>A 56792-2025</t>
        </is>
      </c>
      <c r="B43" s="1" t="n">
        <v>45978</v>
      </c>
      <c r="C43" s="1" t="n">
        <v>46089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46089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21927-2025</t>
        </is>
      </c>
      <c r="B45" s="1" t="n">
        <v>45784.54878472222</v>
      </c>
      <c r="C45" s="1" t="n">
        <v>46089</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3472-2023</t>
        </is>
      </c>
      <c r="B46" s="1" t="n">
        <v>44949</v>
      </c>
      <c r="C46" s="1" t="n">
        <v>46089</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46089</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10943-2026</t>
        </is>
      </c>
      <c r="B48" s="1" t="n">
        <v>46079.37518518518</v>
      </c>
      <c r="C48" s="1" t="n">
        <v>46089</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59567-2025</t>
        </is>
      </c>
      <c r="B49" s="1" t="n">
        <v>45991.89914351852</v>
      </c>
      <c r="C49" s="1" t="n">
        <v>46089</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11231-2021</t>
        </is>
      </c>
      <c r="B50" s="1" t="n">
        <v>44263</v>
      </c>
      <c r="C50" s="1" t="n">
        <v>46089</v>
      </c>
      <c r="D50" t="inlineStr">
        <is>
          <t>STOCKHOLMS LÄN</t>
        </is>
      </c>
      <c r="E50" t="inlineStr">
        <is>
          <t>NORRTÄLJE</t>
        </is>
      </c>
      <c r="F50" t="inlineStr">
        <is>
          <t>Holmen skog AB</t>
        </is>
      </c>
      <c r="G50" t="n">
        <v>12</v>
      </c>
      <c r="H50" t="n">
        <v>7</v>
      </c>
      <c r="I50" t="n">
        <v>2</v>
      </c>
      <c r="J50" t="n">
        <v>5</v>
      </c>
      <c r="K50" t="n">
        <v>0</v>
      </c>
      <c r="L50" t="n">
        <v>2</v>
      </c>
      <c r="M50" t="n">
        <v>0</v>
      </c>
      <c r="N50" t="n">
        <v>0</v>
      </c>
      <c r="O50" t="n">
        <v>7</v>
      </c>
      <c r="P50" t="n">
        <v>2</v>
      </c>
      <c r="Q50" t="n">
        <v>11</v>
      </c>
      <c r="R50" s="2" t="inlineStr">
        <is>
          <t>Grönfink
Tornseglare
Fiskmås
Havsörn
Motaggsvamp
Talltita
Vedskivlav
Björksplintborre
Dropptaggsvamp
Tjäder
Törnskata</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22924-2025</t>
        </is>
      </c>
      <c r="B51" s="1" t="n">
        <v>45790.4418287037</v>
      </c>
      <c r="C51" s="1" t="n">
        <v>46089</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46089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46089</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46089</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46089</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46089</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46089</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46089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46089</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46089</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46089</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46089</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46089</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46089</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46089</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46089</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25732-2025</t>
        </is>
      </c>
      <c r="B69" s="1" t="n">
        <v>45800</v>
      </c>
      <c r="C69" s="1" t="n">
        <v>46089</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61099-2025</t>
        </is>
      </c>
      <c r="B70" s="1" t="n">
        <v>46000.44185185185</v>
      </c>
      <c r="C70" s="1" t="n">
        <v>46089</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46089</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46089</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46089</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46089</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36955-2024</t>
        </is>
      </c>
      <c r="B75" s="1" t="n">
        <v>45538</v>
      </c>
      <c r="C75" s="1" t="n">
        <v>46089</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46089</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46089</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46089</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48514-2025</t>
        </is>
      </c>
      <c r="B79" s="1" t="n">
        <v>45936</v>
      </c>
      <c r="C79" s="1" t="n">
        <v>46089</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10000-2022</t>
        </is>
      </c>
      <c r="B80" s="1" t="n">
        <v>44621</v>
      </c>
      <c r="C80" s="1" t="n">
        <v>46089</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46089</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62573-2025</t>
        </is>
      </c>
      <c r="B82" s="1" t="n">
        <v>46007.73069444444</v>
      </c>
      <c r="C82" s="1" t="n">
        <v>46089</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46089</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13933-2022</t>
        </is>
      </c>
      <c r="B84" s="1" t="n">
        <v>44650</v>
      </c>
      <c r="C84" s="1" t="n">
        <v>46089</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12772-2021</t>
        </is>
      </c>
      <c r="B85" s="1" t="n">
        <v>44270</v>
      </c>
      <c r="C85" s="1" t="n">
        <v>46089</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46089</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50435-2024</t>
        </is>
      </c>
      <c r="B87" s="1" t="n">
        <v>45601.40943287037</v>
      </c>
      <c r="C87" s="1" t="n">
        <v>46089</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11405-2024</t>
        </is>
      </c>
      <c r="B88" s="1" t="n">
        <v>45372</v>
      </c>
      <c r="C88" s="1" t="n">
        <v>46089</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46089</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46089</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47697-2023</t>
        </is>
      </c>
      <c r="B91" s="1" t="n">
        <v>45198</v>
      </c>
      <c r="C91" s="1" t="n">
        <v>46089</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34528-2025</t>
        </is>
      </c>
      <c r="B92" s="1" t="n">
        <v>45847.48436342592</v>
      </c>
      <c r="C92" s="1" t="n">
        <v>46089</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39613-2023</t>
        </is>
      </c>
      <c r="B93" s="1" t="n">
        <v>45163</v>
      </c>
      <c r="C93" s="1" t="n">
        <v>46089</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57411-2025</t>
        </is>
      </c>
      <c r="B94" s="1" t="n">
        <v>45980.4487037037</v>
      </c>
      <c r="C94" s="1" t="n">
        <v>46089</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60416-2025</t>
        </is>
      </c>
      <c r="B95" s="1" t="n">
        <v>45995.45151620371</v>
      </c>
      <c r="C95" s="1" t="n">
        <v>46089</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46089</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46089</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46089</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10430-2026</t>
        </is>
      </c>
      <c r="B99" s="1" t="n">
        <v>46077</v>
      </c>
      <c r="C99" s="1" t="n">
        <v>46089</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24599-2022</t>
        </is>
      </c>
      <c r="B100" s="1" t="n">
        <v>44727</v>
      </c>
      <c r="C100" s="1" t="n">
        <v>46089</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46089</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51848-2024</t>
        </is>
      </c>
      <c r="B102" s="1" t="n">
        <v>45607</v>
      </c>
      <c r="C102" s="1" t="n">
        <v>46089</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46089</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46089</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46089</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46089</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46089</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3444-2023</t>
        </is>
      </c>
      <c r="B108" s="1" t="n">
        <v>44949</v>
      </c>
      <c r="C108" s="1" t="n">
        <v>46089</v>
      </c>
      <c r="D108" t="inlineStr">
        <is>
          <t>STOCKHOLMS LÄN</t>
        </is>
      </c>
      <c r="E108" t="inlineStr">
        <is>
          <t>NORRTÄLJE</t>
        </is>
      </c>
      <c r="G108" t="n">
        <v>5.1</v>
      </c>
      <c r="H108" t="n">
        <v>5</v>
      </c>
      <c r="I108" t="n">
        <v>0</v>
      </c>
      <c r="J108" t="n">
        <v>1</v>
      </c>
      <c r="K108" t="n">
        <v>0</v>
      </c>
      <c r="L108" t="n">
        <v>0</v>
      </c>
      <c r="M108" t="n">
        <v>0</v>
      </c>
      <c r="N108" t="n">
        <v>0</v>
      </c>
      <c r="O108" t="n">
        <v>1</v>
      </c>
      <c r="P108" t="n">
        <v>0</v>
      </c>
      <c r="Q108" t="n">
        <v>5</v>
      </c>
      <c r="R108" s="2" t="inlineStr">
        <is>
          <t>Nordfladdermus
Dvärgpipistrell
Gråskimlig fladdermus
Större brunfladdermus
Trollpipistrell</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34573-2025</t>
        </is>
      </c>
      <c r="B109" s="1" t="n">
        <v>45846</v>
      </c>
      <c r="C109" s="1" t="n">
        <v>46089</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46089</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72111-2021</t>
        </is>
      </c>
      <c r="B111" s="1" t="n">
        <v>44544</v>
      </c>
      <c r="C111" s="1" t="n">
        <v>46089</v>
      </c>
      <c r="D111" t="inlineStr">
        <is>
          <t>STOCKHOLMS LÄN</t>
        </is>
      </c>
      <c r="E111" t="inlineStr">
        <is>
          <t>NORRTÄLJE</t>
        </is>
      </c>
      <c r="G111" t="n">
        <v>5.1</v>
      </c>
      <c r="H111" t="n">
        <v>1</v>
      </c>
      <c r="I111" t="n">
        <v>3</v>
      </c>
      <c r="J111" t="n">
        <v>1</v>
      </c>
      <c r="K111" t="n">
        <v>0</v>
      </c>
      <c r="L111" t="n">
        <v>0</v>
      </c>
      <c r="M111" t="n">
        <v>0</v>
      </c>
      <c r="N111" t="n">
        <v>0</v>
      </c>
      <c r="O111" t="n">
        <v>1</v>
      </c>
      <c r="P111" t="n">
        <v>0</v>
      </c>
      <c r="Q111" t="n">
        <v>5</v>
      </c>
      <c r="R111" s="2" t="inlineStr">
        <is>
          <t>Lunglav
Scharlakansvårskål agg.
Sårläka
Vårärt
Blåsippa</t>
        </is>
      </c>
      <c r="S111">
        <f>HYPERLINK("https://klasma.github.io/Logging_0188/artfynd/A 72111-2021 artfynd.xlsx", "A 72111-2021")</f>
        <v/>
      </c>
      <c r="T111">
        <f>HYPERLINK("https://klasma.github.io/Logging_0188/kartor/A 72111-2021 karta.png", "A 72111-2021")</f>
        <v/>
      </c>
      <c r="V111">
        <f>HYPERLINK("https://klasma.github.io/Logging_0188/klagomål/A 72111-2021 FSC-klagomål.docx", "A 72111-2021")</f>
        <v/>
      </c>
      <c r="W111">
        <f>HYPERLINK("https://klasma.github.io/Logging_0188/klagomålsmail/A 72111-2021 FSC-klagomål mail.docx", "A 72111-2021")</f>
        <v/>
      </c>
      <c r="X111">
        <f>HYPERLINK("https://klasma.github.io/Logging_0188/tillsyn/A 72111-2021 tillsynsbegäran.docx", "A 72111-2021")</f>
        <v/>
      </c>
      <c r="Y111">
        <f>HYPERLINK("https://klasma.github.io/Logging_0188/tillsynsmail/A 72111-2021 tillsynsbegäran mail.docx", "A 72111-2021")</f>
        <v/>
      </c>
    </row>
    <row r="112" ht="15" customHeight="1">
      <c r="A112" t="inlineStr">
        <is>
          <t>A 36854-2025</t>
        </is>
      </c>
      <c r="B112" s="1" t="n">
        <v>45874.40010416666</v>
      </c>
      <c r="C112" s="1" t="n">
        <v>46089</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15804-2025</t>
        </is>
      </c>
      <c r="B113" s="1" t="n">
        <v>45748.6521875</v>
      </c>
      <c r="C113" s="1" t="n">
        <v>46089</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46089</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2680-2026</t>
        </is>
      </c>
      <c r="B115" s="1" t="n">
        <v>46037.65403935185</v>
      </c>
      <c r="C115" s="1" t="n">
        <v>46089</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46089</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52259-2024</t>
        </is>
      </c>
      <c r="B117" s="1" t="n">
        <v>45608.6471875</v>
      </c>
      <c r="C117" s="1" t="n">
        <v>46089</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46089</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3919-2023</t>
        </is>
      </c>
      <c r="B119" s="1" t="n">
        <v>44952</v>
      </c>
      <c r="C119" s="1" t="n">
        <v>46089</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46089</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46089</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46089</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25687-2025</t>
        </is>
      </c>
      <c r="B123" s="1" t="n">
        <v>45800</v>
      </c>
      <c r="C123" s="1" t="n">
        <v>46089</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5233-2026</t>
        </is>
      </c>
      <c r="B124" s="1" t="n">
        <v>46049.83694444445</v>
      </c>
      <c r="C124" s="1" t="n">
        <v>46089</v>
      </c>
      <c r="D124" t="inlineStr">
        <is>
          <t>STOCKHOLMS LÄN</t>
        </is>
      </c>
      <c r="E124" t="inlineStr">
        <is>
          <t>NYNÄSHAMN</t>
        </is>
      </c>
      <c r="G124" t="n">
        <v>9</v>
      </c>
      <c r="H124" t="n">
        <v>4</v>
      </c>
      <c r="I124" t="n">
        <v>0</v>
      </c>
      <c r="J124" t="n">
        <v>2</v>
      </c>
      <c r="K124" t="n">
        <v>0</v>
      </c>
      <c r="L124" t="n">
        <v>0</v>
      </c>
      <c r="M124" t="n">
        <v>0</v>
      </c>
      <c r="N124" t="n">
        <v>0</v>
      </c>
      <c r="O124" t="n">
        <v>2</v>
      </c>
      <c r="P124" t="n">
        <v>0</v>
      </c>
      <c r="Q124" t="n">
        <v>4</v>
      </c>
      <c r="R124" s="2" t="inlineStr">
        <is>
          <t>Kråka
Spillkråka
Skogsduva
Blåsippa</t>
        </is>
      </c>
      <c r="S124">
        <f>HYPERLINK("https://klasma.github.io/Logging_0192/artfynd/A 5233-2026 artfynd.xlsx", "A 5233-2026")</f>
        <v/>
      </c>
      <c r="T124">
        <f>HYPERLINK("https://klasma.github.io/Logging_0192/kartor/A 5233-2026 karta.png", "A 5233-2026")</f>
        <v/>
      </c>
      <c r="V124">
        <f>HYPERLINK("https://klasma.github.io/Logging_0192/klagomål/A 5233-2026 FSC-klagomål.docx", "A 5233-2026")</f>
        <v/>
      </c>
      <c r="W124">
        <f>HYPERLINK("https://klasma.github.io/Logging_0192/klagomålsmail/A 5233-2026 FSC-klagomål mail.docx", "A 5233-2026")</f>
        <v/>
      </c>
      <c r="X124">
        <f>HYPERLINK("https://klasma.github.io/Logging_0192/tillsyn/A 5233-2026 tillsynsbegäran.docx", "A 5233-2026")</f>
        <v/>
      </c>
      <c r="Y124">
        <f>HYPERLINK("https://klasma.github.io/Logging_0192/tillsynsmail/A 5233-2026 tillsynsbegäran mail.docx", "A 5233-2026")</f>
        <v/>
      </c>
      <c r="Z124">
        <f>HYPERLINK("https://klasma.github.io/Logging_0192/fåglar/A 5233-2026 prioriterade fågelarter.docx", "A 5233-2026")</f>
        <v/>
      </c>
    </row>
    <row r="125" ht="15" customHeight="1">
      <c r="A125" t="inlineStr">
        <is>
          <t>A 41276-2025</t>
        </is>
      </c>
      <c r="B125" s="1" t="n">
        <v>45898.62723379629</v>
      </c>
      <c r="C125" s="1" t="n">
        <v>46089</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8500-2022</t>
        </is>
      </c>
      <c r="B126" s="1" t="n">
        <v>44613</v>
      </c>
      <c r="C126" s="1" t="n">
        <v>46089</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10876-2025</t>
        </is>
      </c>
      <c r="B127" s="1" t="n">
        <v>45722</v>
      </c>
      <c r="C127" s="1" t="n">
        <v>46089</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72305-2021</t>
        </is>
      </c>
      <c r="B128" s="1" t="n">
        <v>44545</v>
      </c>
      <c r="C128" s="1" t="n">
        <v>46089</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47212-2025</t>
        </is>
      </c>
      <c r="B129" s="1" t="n">
        <v>45930</v>
      </c>
      <c r="C129" s="1" t="n">
        <v>46089</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34521-2025</t>
        </is>
      </c>
      <c r="B130" s="1" t="n">
        <v>45847.47052083333</v>
      </c>
      <c r="C130" s="1" t="n">
        <v>46089</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46089</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Druvfingersvampar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61763-2025</t>
        </is>
      </c>
      <c r="B132" s="1" t="n">
        <v>46002.62600694445</v>
      </c>
      <c r="C132" s="1" t="n">
        <v>46089</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46089</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46089</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46089</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46089</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46089</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46089</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46089</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46089</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46089</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46089</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46089</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46089</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46089</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46089</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46089</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46089</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46089</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46089</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46089</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46089</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46089</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46089</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46089</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46089</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46089</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46089</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54110-2024</t>
        </is>
      </c>
      <c r="B159" s="1" t="n">
        <v>45616.54866898148</v>
      </c>
      <c r="C159" s="1" t="n">
        <v>46089</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46089</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46089</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46089</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46089</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34717-2025</t>
        </is>
      </c>
      <c r="B164" s="1" t="n">
        <v>45848</v>
      </c>
      <c r="C164" s="1" t="n">
        <v>46089</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31577-2025</t>
        </is>
      </c>
      <c r="B165" s="1" t="n">
        <v>45833.67671296297</v>
      </c>
      <c r="C165" s="1" t="n">
        <v>46089</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46089</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14220-2025</t>
        </is>
      </c>
      <c r="B167" s="1" t="n">
        <v>45740</v>
      </c>
      <c r="C167" s="1" t="n">
        <v>46089</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34524-2025</t>
        </is>
      </c>
      <c r="B168" s="1" t="n">
        <v>45847.47685185185</v>
      </c>
      <c r="C168" s="1" t="n">
        <v>46089</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49850-2025</t>
        </is>
      </c>
      <c r="B169" s="1" t="n">
        <v>45940.48542824074</v>
      </c>
      <c r="C169" s="1" t="n">
        <v>46089</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36131-2025</t>
        </is>
      </c>
      <c r="B170" s="1" t="n">
        <v>45866.62395833333</v>
      </c>
      <c r="C170" s="1" t="n">
        <v>46089</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46089</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9807-2026</t>
        </is>
      </c>
      <c r="B172" s="1" t="n">
        <v>46072</v>
      </c>
      <c r="C172" s="1" t="n">
        <v>46089</v>
      </c>
      <c r="D172" t="inlineStr">
        <is>
          <t>STOCKHOLMS LÄN</t>
        </is>
      </c>
      <c r="E172" t="inlineStr">
        <is>
          <t>VALLENTUNA</t>
        </is>
      </c>
      <c r="G172" t="n">
        <v>2.1</v>
      </c>
      <c r="H172" t="n">
        <v>3</v>
      </c>
      <c r="I172" t="n">
        <v>0</v>
      </c>
      <c r="J172" t="n">
        <v>0</v>
      </c>
      <c r="K172" t="n">
        <v>0</v>
      </c>
      <c r="L172" t="n">
        <v>0</v>
      </c>
      <c r="M172" t="n">
        <v>0</v>
      </c>
      <c r="N172" t="n">
        <v>0</v>
      </c>
      <c r="O172" t="n">
        <v>0</v>
      </c>
      <c r="P172" t="n">
        <v>0</v>
      </c>
      <c r="Q172" t="n">
        <v>3</v>
      </c>
      <c r="R172" s="2" t="inlineStr">
        <is>
          <t>Grönsiska
Järnsparv
Kungsfågel</t>
        </is>
      </c>
      <c r="S172">
        <f>HYPERLINK("https://klasma.github.io/Logging_0115/artfynd/A 9807-2026 artfynd.xlsx", "A 9807-2026")</f>
        <v/>
      </c>
      <c r="T172">
        <f>HYPERLINK("https://klasma.github.io/Logging_0115/kartor/A 9807-2026 karta.png", "A 9807-2026")</f>
        <v/>
      </c>
      <c r="V172">
        <f>HYPERLINK("https://klasma.github.io/Logging_0115/klagomål/A 9807-2026 FSC-klagomål.docx", "A 9807-2026")</f>
        <v/>
      </c>
      <c r="W172">
        <f>HYPERLINK("https://klasma.github.io/Logging_0115/klagomålsmail/A 9807-2026 FSC-klagomål mail.docx", "A 9807-2026")</f>
        <v/>
      </c>
      <c r="X172">
        <f>HYPERLINK("https://klasma.github.io/Logging_0115/tillsyn/A 9807-2026 tillsynsbegäran.docx", "A 9807-2026")</f>
        <v/>
      </c>
      <c r="Y172">
        <f>HYPERLINK("https://klasma.github.io/Logging_0115/tillsynsmail/A 9807-2026 tillsynsbegäran mail.docx", "A 9807-2026")</f>
        <v/>
      </c>
      <c r="Z172">
        <f>HYPERLINK("https://klasma.github.io/Logging_0115/fåglar/A 9807-2026 prioriterade fågelarter.docx", "A 9807-2026")</f>
        <v/>
      </c>
    </row>
    <row r="173" ht="15" customHeight="1">
      <c r="A173" t="inlineStr">
        <is>
          <t>A 12620-2022</t>
        </is>
      </c>
      <c r="B173" s="1" t="n">
        <v>44638</v>
      </c>
      <c r="C173" s="1" t="n">
        <v>46089</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46089</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46089</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46089</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46089</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46089</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46089</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46089</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46089</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46089</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46089</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46089</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46089</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46089</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46089</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46089</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46089</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46089</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46089</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9445-2022</t>
        </is>
      </c>
      <c r="B192" s="1" t="n">
        <v>44616</v>
      </c>
      <c r="C192" s="1" t="n">
        <v>46089</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46089</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46089</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46089</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46089</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49419-2023</t>
        </is>
      </c>
      <c r="B197" s="1" t="n">
        <v>45211</v>
      </c>
      <c r="C197" s="1" t="n">
        <v>46089</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24189-2025</t>
        </is>
      </c>
      <c r="B198" s="1" t="n">
        <v>45796.84584490741</v>
      </c>
      <c r="C198" s="1" t="n">
        <v>46089</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30693-2022</t>
        </is>
      </c>
      <c r="B199" s="1" t="n">
        <v>44763</v>
      </c>
      <c r="C199" s="1" t="n">
        <v>46089</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46089</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46089</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46089</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46089</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754-2024</t>
        </is>
      </c>
      <c r="B204" s="1" t="n">
        <v>45300</v>
      </c>
      <c r="C204" s="1" t="n">
        <v>46089</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27058-2024</t>
        </is>
      </c>
      <c r="B205" s="1" t="n">
        <v>45471</v>
      </c>
      <c r="C205" s="1" t="n">
        <v>46089</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46089</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34721-2025</t>
        </is>
      </c>
      <c r="B207" s="1" t="n">
        <v>45848</v>
      </c>
      <c r="C207" s="1" t="n">
        <v>46089</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64189-2023</t>
        </is>
      </c>
      <c r="B208" s="1" t="n">
        <v>45279</v>
      </c>
      <c r="C208" s="1" t="n">
        <v>46089</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30067-2025</t>
        </is>
      </c>
      <c r="B209" s="1" t="n">
        <v>45826</v>
      </c>
      <c r="C209" s="1" t="n">
        <v>46089</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30055-2025</t>
        </is>
      </c>
      <c r="B210" s="1" t="n">
        <v>45826</v>
      </c>
      <c r="C210" s="1" t="n">
        <v>46089</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11031-2025</t>
        </is>
      </c>
      <c r="B211" s="1" t="n">
        <v>45723</v>
      </c>
      <c r="C211" s="1" t="n">
        <v>46089</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9745-2022</t>
        </is>
      </c>
      <c r="B212" s="1" t="n">
        <v>44618</v>
      </c>
      <c r="C212" s="1" t="n">
        <v>46089</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33548-2025</t>
        </is>
      </c>
      <c r="B213" s="1" t="n">
        <v>45841.5721875</v>
      </c>
      <c r="C213" s="1" t="n">
        <v>46089</v>
      </c>
      <c r="D213" t="inlineStr">
        <is>
          <t>STOCKHOLMS LÄN</t>
        </is>
      </c>
      <c r="E213" t="inlineStr">
        <is>
          <t>NORRTÄLJE</t>
        </is>
      </c>
      <c r="G213" t="n">
        <v>12.2</v>
      </c>
      <c r="H213" t="n">
        <v>1</v>
      </c>
      <c r="I213" t="n">
        <v>0</v>
      </c>
      <c r="J213" t="n">
        <v>1</v>
      </c>
      <c r="K213" t="n">
        <v>0</v>
      </c>
      <c r="L213" t="n">
        <v>0</v>
      </c>
      <c r="M213" t="n">
        <v>0</v>
      </c>
      <c r="N213" t="n">
        <v>0</v>
      </c>
      <c r="O213" t="n">
        <v>1</v>
      </c>
      <c r="P213" t="n">
        <v>0</v>
      </c>
      <c r="Q213" t="n">
        <v>2</v>
      </c>
      <c r="R213" s="2" t="inlineStr">
        <is>
          <t>Dofttaggsvamp
Sparvuggla</t>
        </is>
      </c>
      <c r="S213">
        <f>HYPERLINK("https://klasma.github.io/Logging_0188/artfynd/A 33548-2025 artfynd.xlsx", "A 33548-2025")</f>
        <v/>
      </c>
      <c r="T213">
        <f>HYPERLINK("https://klasma.github.io/Logging_0188/kartor/A 33548-2025 karta.png", "A 33548-2025")</f>
        <v/>
      </c>
      <c r="V213">
        <f>HYPERLINK("https://klasma.github.io/Logging_0188/klagomål/A 33548-2025 FSC-klagomål.docx", "A 33548-2025")</f>
        <v/>
      </c>
      <c r="W213">
        <f>HYPERLINK("https://klasma.github.io/Logging_0188/klagomålsmail/A 33548-2025 FSC-klagomål mail.docx", "A 33548-2025")</f>
        <v/>
      </c>
      <c r="X213">
        <f>HYPERLINK("https://klasma.github.io/Logging_0188/tillsyn/A 33548-2025 tillsynsbegäran.docx", "A 33548-2025")</f>
        <v/>
      </c>
      <c r="Y213">
        <f>HYPERLINK("https://klasma.github.io/Logging_0188/tillsynsmail/A 33548-2025 tillsynsbegäran mail.docx", "A 33548-2025")</f>
        <v/>
      </c>
      <c r="Z213">
        <f>HYPERLINK("https://klasma.github.io/Logging_0188/fåglar/A 33548-2025 prioriterade fågelarter.docx", "A 33548-2025")</f>
        <v/>
      </c>
    </row>
    <row r="214" ht="15" customHeight="1">
      <c r="A214" t="inlineStr">
        <is>
          <t>A 48988-2025</t>
        </is>
      </c>
      <c r="B214" s="1" t="n">
        <v>45936</v>
      </c>
      <c r="C214" s="1" t="n">
        <v>46089</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1561-2023</t>
        </is>
      </c>
      <c r="B215" s="1" t="n">
        <v>44937.60278935185</v>
      </c>
      <c r="C215" s="1" t="n">
        <v>46089</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49131-2025</t>
        </is>
      </c>
      <c r="B216" s="1" t="n">
        <v>45937.8984375</v>
      </c>
      <c r="C216" s="1" t="n">
        <v>46089</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22190-2024</t>
        </is>
      </c>
      <c r="B217" s="1" t="n">
        <v>45446.35888888889</v>
      </c>
      <c r="C217" s="1" t="n">
        <v>46089</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36502-2025</t>
        </is>
      </c>
      <c r="B218" s="1" t="n">
        <v>45869.56332175926</v>
      </c>
      <c r="C218" s="1" t="n">
        <v>46089</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agg.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50697-2025</t>
        </is>
      </c>
      <c r="B219" s="1" t="n">
        <v>45945.90854166666</v>
      </c>
      <c r="C219" s="1" t="n">
        <v>46089</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36366-2025</t>
        </is>
      </c>
      <c r="B220" s="1" t="n">
        <v>45868</v>
      </c>
      <c r="C220" s="1" t="n">
        <v>46089</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5779-2026</t>
        </is>
      </c>
      <c r="B221" s="1" t="n">
        <v>46056</v>
      </c>
      <c r="C221" s="1" t="n">
        <v>46089</v>
      </c>
      <c r="D221" t="inlineStr">
        <is>
          <t>STOCKHOLMS LÄN</t>
        </is>
      </c>
      <c r="E221" t="inlineStr">
        <is>
          <t>UPPLANDS VÄSBY</t>
        </is>
      </c>
      <c r="G221" t="n">
        <v>0.8</v>
      </c>
      <c r="H221" t="n">
        <v>1</v>
      </c>
      <c r="I221" t="n">
        <v>0</v>
      </c>
      <c r="J221" t="n">
        <v>1</v>
      </c>
      <c r="K221" t="n">
        <v>0</v>
      </c>
      <c r="L221" t="n">
        <v>0</v>
      </c>
      <c r="M221" t="n">
        <v>0</v>
      </c>
      <c r="N221" t="n">
        <v>0</v>
      </c>
      <c r="O221" t="n">
        <v>1</v>
      </c>
      <c r="P221" t="n">
        <v>0</v>
      </c>
      <c r="Q221" t="n">
        <v>2</v>
      </c>
      <c r="R221" s="2" t="inlineStr">
        <is>
          <t>Tallticka
Blåsippa</t>
        </is>
      </c>
      <c r="S221">
        <f>HYPERLINK("https://klasma.github.io/Logging_0114/artfynd/A 5779-2026 artfynd.xlsx", "A 5779-2026")</f>
        <v/>
      </c>
      <c r="T221">
        <f>HYPERLINK("https://klasma.github.io/Logging_0114/kartor/A 5779-2026 karta.png", "A 5779-2026")</f>
        <v/>
      </c>
      <c r="V221">
        <f>HYPERLINK("https://klasma.github.io/Logging_0114/klagomål/A 5779-2026 FSC-klagomål.docx", "A 5779-2026")</f>
        <v/>
      </c>
      <c r="W221">
        <f>HYPERLINK("https://klasma.github.io/Logging_0114/klagomålsmail/A 5779-2026 FSC-klagomål mail.docx", "A 5779-2026")</f>
        <v/>
      </c>
      <c r="X221">
        <f>HYPERLINK("https://klasma.github.io/Logging_0114/tillsyn/A 5779-2026 tillsynsbegäran.docx", "A 5779-2026")</f>
        <v/>
      </c>
      <c r="Y221">
        <f>HYPERLINK("https://klasma.github.io/Logging_0114/tillsynsmail/A 5779-2026 tillsynsbegäran mail.docx", "A 5779-2026")</f>
        <v/>
      </c>
    </row>
    <row r="222" ht="15" customHeight="1">
      <c r="A222" t="inlineStr">
        <is>
          <t>A 62402-2022</t>
        </is>
      </c>
      <c r="B222" s="1" t="n">
        <v>44923</v>
      </c>
      <c r="C222" s="1" t="n">
        <v>46089</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46089</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46089</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17467-2024</t>
        </is>
      </c>
      <c r="B225" s="1" t="n">
        <v>45415.44597222222</v>
      </c>
      <c r="C225" s="1" t="n">
        <v>46089</v>
      </c>
      <c r="D225" t="inlineStr">
        <is>
          <t>STOCKHOLMS LÄN</t>
        </is>
      </c>
      <c r="E225" t="inlineStr">
        <is>
          <t>HUDDINGE</t>
        </is>
      </c>
      <c r="G225" t="n">
        <v>14</v>
      </c>
      <c r="H225" t="n">
        <v>1</v>
      </c>
      <c r="I225" t="n">
        <v>0</v>
      </c>
      <c r="J225" t="n">
        <v>1</v>
      </c>
      <c r="K225" t="n">
        <v>1</v>
      </c>
      <c r="L225" t="n">
        <v>0</v>
      </c>
      <c r="M225" t="n">
        <v>0</v>
      </c>
      <c r="N225" t="n">
        <v>0</v>
      </c>
      <c r="O225" t="n">
        <v>2</v>
      </c>
      <c r="P225" t="n">
        <v>1</v>
      </c>
      <c r="Q225" t="n">
        <v>2</v>
      </c>
      <c r="R225" s="2" t="inlineStr">
        <is>
          <t>Knärot
Motaggsvamp</t>
        </is>
      </c>
      <c r="S225">
        <f>HYPERLINK("https://klasma.github.io/Logging_0126/artfynd/A 17467-2024 artfynd.xlsx", "A 17467-2024")</f>
        <v/>
      </c>
      <c r="T225">
        <f>HYPERLINK("https://klasma.github.io/Logging_0126/kartor/A 17467-2024 karta.png", "A 17467-2024")</f>
        <v/>
      </c>
      <c r="U225">
        <f>HYPERLINK("https://klasma.github.io/Logging_0126/knärot/A 17467-2024 karta knärot.png", "A 17467-2024")</f>
        <v/>
      </c>
      <c r="V225">
        <f>HYPERLINK("https://klasma.github.io/Logging_0126/klagomål/A 17467-2024 FSC-klagomål.docx", "A 17467-2024")</f>
        <v/>
      </c>
      <c r="W225">
        <f>HYPERLINK("https://klasma.github.io/Logging_0126/klagomålsmail/A 17467-2024 FSC-klagomål mail.docx", "A 17467-2024")</f>
        <v/>
      </c>
      <c r="X225">
        <f>HYPERLINK("https://klasma.github.io/Logging_0126/tillsyn/A 17467-2024 tillsynsbegäran.docx", "A 17467-2024")</f>
        <v/>
      </c>
      <c r="Y225">
        <f>HYPERLINK("https://klasma.github.io/Logging_0126/tillsynsmail/A 17467-2024 tillsynsbegäran mail.docx", "A 17467-2024")</f>
        <v/>
      </c>
    </row>
    <row r="226" ht="15" customHeight="1">
      <c r="A226" t="inlineStr">
        <is>
          <t>A 51980-2022</t>
        </is>
      </c>
      <c r="B226" s="1" t="n">
        <v>44872</v>
      </c>
      <c r="C226" s="1" t="n">
        <v>46089</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2892-2026</t>
        </is>
      </c>
      <c r="B227" s="1" t="n">
        <v>46037</v>
      </c>
      <c r="C227" s="1" t="n">
        <v>46089</v>
      </c>
      <c r="D227" t="inlineStr">
        <is>
          <t>STOCKHOLMS LÄN</t>
        </is>
      </c>
      <c r="E227" t="inlineStr">
        <is>
          <t>NYKVARN</t>
        </is>
      </c>
      <c r="G227" t="n">
        <v>4.2</v>
      </c>
      <c r="H227" t="n">
        <v>1</v>
      </c>
      <c r="I227" t="n">
        <v>0</v>
      </c>
      <c r="J227" t="n">
        <v>2</v>
      </c>
      <c r="K227" t="n">
        <v>0</v>
      </c>
      <c r="L227" t="n">
        <v>0</v>
      </c>
      <c r="M227" t="n">
        <v>0</v>
      </c>
      <c r="N227" t="n">
        <v>0</v>
      </c>
      <c r="O227" t="n">
        <v>2</v>
      </c>
      <c r="P227" t="n">
        <v>0</v>
      </c>
      <c r="Q227" t="n">
        <v>2</v>
      </c>
      <c r="R227" s="2" t="inlineStr">
        <is>
          <t>Spillkråka
Tallticka</t>
        </is>
      </c>
      <c r="S227">
        <f>HYPERLINK("https://klasma.github.io/Logging_0140/artfynd/A 2892-2026 artfynd.xlsx", "A 2892-2026")</f>
        <v/>
      </c>
      <c r="T227">
        <f>HYPERLINK("https://klasma.github.io/Logging_0140/kartor/A 2892-2026 karta.png", "A 2892-2026")</f>
        <v/>
      </c>
      <c r="V227">
        <f>HYPERLINK("https://klasma.github.io/Logging_0140/klagomål/A 2892-2026 FSC-klagomål.docx", "A 2892-2026")</f>
        <v/>
      </c>
      <c r="W227">
        <f>HYPERLINK("https://klasma.github.io/Logging_0140/klagomålsmail/A 2892-2026 FSC-klagomål mail.docx", "A 2892-2026")</f>
        <v/>
      </c>
      <c r="X227">
        <f>HYPERLINK("https://klasma.github.io/Logging_0140/tillsyn/A 2892-2026 tillsynsbegäran.docx", "A 2892-2026")</f>
        <v/>
      </c>
      <c r="Y227">
        <f>HYPERLINK("https://klasma.github.io/Logging_0140/tillsynsmail/A 2892-2026 tillsynsbegäran mail.docx", "A 2892-2026")</f>
        <v/>
      </c>
      <c r="Z227">
        <f>HYPERLINK("https://klasma.github.io/Logging_0140/fåglar/A 2892-2026 prioriterade fågelarter.docx", "A 2892-2026")</f>
        <v/>
      </c>
    </row>
    <row r="228" ht="15" customHeight="1">
      <c r="A228" t="inlineStr">
        <is>
          <t>A 60406-2025</t>
        </is>
      </c>
      <c r="B228" s="1" t="n">
        <v>45995.43050925926</v>
      </c>
      <c r="C228" s="1" t="n">
        <v>46089</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49523-2023</t>
        </is>
      </c>
      <c r="B229" s="1" t="n">
        <v>45211</v>
      </c>
      <c r="C229" s="1" t="n">
        <v>46089</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46089</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53608-2025</t>
        </is>
      </c>
      <c r="B231" s="1" t="n">
        <v>45960</v>
      </c>
      <c r="C231" s="1" t="n">
        <v>46089</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3711-2026</t>
        </is>
      </c>
      <c r="B232" s="1" t="n">
        <v>46043.48092592593</v>
      </c>
      <c r="C232" s="1" t="n">
        <v>46089</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43308-2024</t>
        </is>
      </c>
      <c r="B233" s="1" t="n">
        <v>45568</v>
      </c>
      <c r="C233" s="1" t="n">
        <v>46089</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62578-2025</t>
        </is>
      </c>
      <c r="B234" s="1" t="n">
        <v>46007</v>
      </c>
      <c r="C234" s="1" t="n">
        <v>46089</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3677-2026</t>
        </is>
      </c>
      <c r="B235" s="1" t="n">
        <v>46043</v>
      </c>
      <c r="C235" s="1" t="n">
        <v>46089</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66734-2021</t>
        </is>
      </c>
      <c r="B236" s="1" t="n">
        <v>44520</v>
      </c>
      <c r="C236" s="1" t="n">
        <v>46089</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3218-2022</t>
        </is>
      </c>
      <c r="B237" s="1" t="n">
        <v>44582</v>
      </c>
      <c r="C237" s="1" t="n">
        <v>46089</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46089</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46089</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46089</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52124-2022</t>
        </is>
      </c>
      <c r="B241" s="1" t="n">
        <v>44868</v>
      </c>
      <c r="C241" s="1" t="n">
        <v>46089</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52825-2023</t>
        </is>
      </c>
      <c r="B242" s="1" t="n">
        <v>45226</v>
      </c>
      <c r="C242" s="1" t="n">
        <v>46089</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16260-2022</t>
        </is>
      </c>
      <c r="B243" s="1" t="n">
        <v>44670</v>
      </c>
      <c r="C243" s="1" t="n">
        <v>46089</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52360-2024</t>
        </is>
      </c>
      <c r="B244" s="1" t="n">
        <v>45609.37094907407</v>
      </c>
      <c r="C244" s="1" t="n">
        <v>46089</v>
      </c>
      <c r="D244" t="inlineStr">
        <is>
          <t>STOCKHOLMS LÄN</t>
        </is>
      </c>
      <c r="E244" t="inlineStr">
        <is>
          <t>NORRTÄLJE</t>
        </is>
      </c>
      <c r="G244" t="n">
        <v>2.2</v>
      </c>
      <c r="H244" t="n">
        <v>1</v>
      </c>
      <c r="I244" t="n">
        <v>1</v>
      </c>
      <c r="J244" t="n">
        <v>0</v>
      </c>
      <c r="K244" t="n">
        <v>0</v>
      </c>
      <c r="L244" t="n">
        <v>0</v>
      </c>
      <c r="M244" t="n">
        <v>0</v>
      </c>
      <c r="N244" t="n">
        <v>0</v>
      </c>
      <c r="O244" t="n">
        <v>0</v>
      </c>
      <c r="P244" t="n">
        <v>0</v>
      </c>
      <c r="Q244" t="n">
        <v>2</v>
      </c>
      <c r="R244" s="2" t="inlineStr">
        <is>
          <t>Brandticka
Blåsippa</t>
        </is>
      </c>
      <c r="S244">
        <f>HYPERLINK("https://klasma.github.io/Logging_0188/artfynd/A 52360-2024 artfynd.xlsx", "A 52360-2024")</f>
        <v/>
      </c>
      <c r="T244">
        <f>HYPERLINK("https://klasma.github.io/Logging_0188/kartor/A 52360-2024 karta.png", "A 52360-2024")</f>
        <v/>
      </c>
      <c r="V244">
        <f>HYPERLINK("https://klasma.github.io/Logging_0188/klagomål/A 52360-2024 FSC-klagomål.docx", "A 52360-2024")</f>
        <v/>
      </c>
      <c r="W244">
        <f>HYPERLINK("https://klasma.github.io/Logging_0188/klagomålsmail/A 52360-2024 FSC-klagomål mail.docx", "A 52360-2024")</f>
        <v/>
      </c>
      <c r="X244">
        <f>HYPERLINK("https://klasma.github.io/Logging_0188/tillsyn/A 52360-2024 tillsynsbegäran.docx", "A 52360-2024")</f>
        <v/>
      </c>
      <c r="Y244">
        <f>HYPERLINK("https://klasma.github.io/Logging_0188/tillsynsmail/A 52360-2024 tillsynsbegäran mail.docx", "A 52360-2024")</f>
        <v/>
      </c>
    </row>
    <row r="245" ht="15" customHeight="1">
      <c r="A245" t="inlineStr">
        <is>
          <t>A 31523-2022</t>
        </is>
      </c>
      <c r="B245" s="1" t="n">
        <v>44775.22490740741</v>
      </c>
      <c r="C245" s="1" t="n">
        <v>46089</v>
      </c>
      <c r="D245" t="inlineStr">
        <is>
          <t>STOCKHOLMS LÄN</t>
        </is>
      </c>
      <c r="E245" t="inlineStr">
        <is>
          <t>ÖSTERÅKER</t>
        </is>
      </c>
      <c r="G245" t="n">
        <v>9</v>
      </c>
      <c r="H245" t="n">
        <v>0</v>
      </c>
      <c r="I245" t="n">
        <v>0</v>
      </c>
      <c r="J245" t="n">
        <v>2</v>
      </c>
      <c r="K245" t="n">
        <v>0</v>
      </c>
      <c r="L245" t="n">
        <v>0</v>
      </c>
      <c r="M245" t="n">
        <v>0</v>
      </c>
      <c r="N245" t="n">
        <v>0</v>
      </c>
      <c r="O245" t="n">
        <v>2</v>
      </c>
      <c r="P245" t="n">
        <v>0</v>
      </c>
      <c r="Q245" t="n">
        <v>2</v>
      </c>
      <c r="R245" s="2" t="inlineStr">
        <is>
          <t>Garnlav
Tallticka</t>
        </is>
      </c>
      <c r="S245">
        <f>HYPERLINK("https://klasma.github.io/Logging_0117/artfynd/A 31523-2022 artfynd.xlsx", "A 31523-2022")</f>
        <v/>
      </c>
      <c r="T245">
        <f>HYPERLINK("https://klasma.github.io/Logging_0117/kartor/A 31523-2022 karta.png", "A 31523-2022")</f>
        <v/>
      </c>
      <c r="V245">
        <f>HYPERLINK("https://klasma.github.io/Logging_0117/klagomål/A 31523-2022 FSC-klagomål.docx", "A 31523-2022")</f>
        <v/>
      </c>
      <c r="W245">
        <f>HYPERLINK("https://klasma.github.io/Logging_0117/klagomålsmail/A 31523-2022 FSC-klagomål mail.docx", "A 31523-2022")</f>
        <v/>
      </c>
      <c r="X245">
        <f>HYPERLINK("https://klasma.github.io/Logging_0117/tillsyn/A 31523-2022 tillsynsbegäran.docx", "A 31523-2022")</f>
        <v/>
      </c>
      <c r="Y245">
        <f>HYPERLINK("https://klasma.github.io/Logging_0117/tillsynsmail/A 31523-2022 tillsynsbegäran mail.docx", "A 31523-2022")</f>
        <v/>
      </c>
    </row>
    <row r="246" ht="15" customHeight="1">
      <c r="A246" t="inlineStr">
        <is>
          <t>A 2992-2023</t>
        </is>
      </c>
      <c r="B246" s="1" t="n">
        <v>44945</v>
      </c>
      <c r="C246" s="1" t="n">
        <v>46089</v>
      </c>
      <c r="D246" t="inlineStr">
        <is>
          <t>STOCKHOLMS LÄN</t>
        </is>
      </c>
      <c r="E246" t="inlineStr">
        <is>
          <t>SALEM</t>
        </is>
      </c>
      <c r="F246" t="inlineStr">
        <is>
          <t>Kommuner</t>
        </is>
      </c>
      <c r="G246" t="n">
        <v>1.7</v>
      </c>
      <c r="H246" t="n">
        <v>0</v>
      </c>
      <c r="I246" t="n">
        <v>1</v>
      </c>
      <c r="J246" t="n">
        <v>0</v>
      </c>
      <c r="K246" t="n">
        <v>1</v>
      </c>
      <c r="L246" t="n">
        <v>0</v>
      </c>
      <c r="M246" t="n">
        <v>0</v>
      </c>
      <c r="N246" t="n">
        <v>0</v>
      </c>
      <c r="O246" t="n">
        <v>1</v>
      </c>
      <c r="P246" t="n">
        <v>1</v>
      </c>
      <c r="Q246" t="n">
        <v>2</v>
      </c>
      <c r="R246" s="2" t="inlineStr">
        <is>
          <t>Rynkskinn
Blåmossa</t>
        </is>
      </c>
      <c r="S246">
        <f>HYPERLINK("https://klasma.github.io/Logging_0128/artfynd/A 2992-2023 artfynd.xlsx", "A 2992-2023")</f>
        <v/>
      </c>
      <c r="T246">
        <f>HYPERLINK("https://klasma.github.io/Logging_0128/kartor/A 2992-2023 karta.png", "A 2992-2023")</f>
        <v/>
      </c>
      <c r="V246">
        <f>HYPERLINK("https://klasma.github.io/Logging_0128/klagomål/A 2992-2023 FSC-klagomål.docx", "A 2992-2023")</f>
        <v/>
      </c>
      <c r="W246">
        <f>HYPERLINK("https://klasma.github.io/Logging_0128/klagomålsmail/A 2992-2023 FSC-klagomål mail.docx", "A 2992-2023")</f>
        <v/>
      </c>
      <c r="X246">
        <f>HYPERLINK("https://klasma.github.io/Logging_0128/tillsyn/A 2992-2023 tillsynsbegäran.docx", "A 2992-2023")</f>
        <v/>
      </c>
      <c r="Y246">
        <f>HYPERLINK("https://klasma.github.io/Logging_0128/tillsynsmail/A 2992-2023 tillsynsbegäran mail.docx", "A 2992-2023")</f>
        <v/>
      </c>
    </row>
    <row r="247" ht="15" customHeight="1">
      <c r="A247" t="inlineStr">
        <is>
          <t>A 21612-2021</t>
        </is>
      </c>
      <c r="B247" s="1" t="n">
        <v>44321</v>
      </c>
      <c r="C247" s="1" t="n">
        <v>46089</v>
      </c>
      <c r="D247" t="inlineStr">
        <is>
          <t>STOCKHOLMS LÄN</t>
        </is>
      </c>
      <c r="E247" t="inlineStr">
        <is>
          <t>VALLENTUNA</t>
        </is>
      </c>
      <c r="G247" t="n">
        <v>1.4</v>
      </c>
      <c r="H247" t="n">
        <v>2</v>
      </c>
      <c r="I247" t="n">
        <v>0</v>
      </c>
      <c r="J247" t="n">
        <v>1</v>
      </c>
      <c r="K247" t="n">
        <v>0</v>
      </c>
      <c r="L247" t="n">
        <v>0</v>
      </c>
      <c r="M247" t="n">
        <v>0</v>
      </c>
      <c r="N247" t="n">
        <v>0</v>
      </c>
      <c r="O247" t="n">
        <v>1</v>
      </c>
      <c r="P247" t="n">
        <v>0</v>
      </c>
      <c r="Q247" t="n">
        <v>2</v>
      </c>
      <c r="R247" s="2" t="inlineStr">
        <is>
          <t>Gulsparv
Grönsiska</t>
        </is>
      </c>
      <c r="S247">
        <f>HYPERLINK("https://klasma.github.io/Logging_0115/artfynd/A 21612-2021 artfynd.xlsx", "A 21612-2021")</f>
        <v/>
      </c>
      <c r="T247">
        <f>HYPERLINK("https://klasma.github.io/Logging_0115/kartor/A 21612-2021 karta.png", "A 21612-2021")</f>
        <v/>
      </c>
      <c r="V247">
        <f>HYPERLINK("https://klasma.github.io/Logging_0115/klagomål/A 21612-2021 FSC-klagomål.docx", "A 21612-2021")</f>
        <v/>
      </c>
      <c r="W247">
        <f>HYPERLINK("https://klasma.github.io/Logging_0115/klagomålsmail/A 21612-2021 FSC-klagomål mail.docx", "A 21612-2021")</f>
        <v/>
      </c>
      <c r="X247">
        <f>HYPERLINK("https://klasma.github.io/Logging_0115/tillsyn/A 21612-2021 tillsynsbegäran.docx", "A 21612-2021")</f>
        <v/>
      </c>
      <c r="Y247">
        <f>HYPERLINK("https://klasma.github.io/Logging_0115/tillsynsmail/A 21612-2021 tillsynsbegäran mail.docx", "A 21612-2021")</f>
        <v/>
      </c>
      <c r="Z247">
        <f>HYPERLINK("https://klasma.github.io/Logging_0115/fåglar/A 21612-2021 prioriterade fågelarter.docx", "A 21612-2021")</f>
        <v/>
      </c>
    </row>
    <row r="248" ht="15" customHeight="1">
      <c r="A248" t="inlineStr">
        <is>
          <t>A 61363-2022</t>
        </is>
      </c>
      <c r="B248" s="1" t="n">
        <v>44915</v>
      </c>
      <c r="C248" s="1" t="n">
        <v>46089</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16535-2025</t>
        </is>
      </c>
      <c r="B249" s="1" t="n">
        <v>45751.65542824074</v>
      </c>
      <c r="C249" s="1" t="n">
        <v>46089</v>
      </c>
      <c r="D249" t="inlineStr">
        <is>
          <t>STOCKHOLMS LÄN</t>
        </is>
      </c>
      <c r="E249" t="inlineStr">
        <is>
          <t>SÖDERTÄLJE</t>
        </is>
      </c>
      <c r="G249" t="n">
        <v>1.1</v>
      </c>
      <c r="H249" t="n">
        <v>1</v>
      </c>
      <c r="I249" t="n">
        <v>1</v>
      </c>
      <c r="J249" t="n">
        <v>0</v>
      </c>
      <c r="K249" t="n">
        <v>0</v>
      </c>
      <c r="L249" t="n">
        <v>0</v>
      </c>
      <c r="M249" t="n">
        <v>0</v>
      </c>
      <c r="N249" t="n">
        <v>0</v>
      </c>
      <c r="O249" t="n">
        <v>0</v>
      </c>
      <c r="P249" t="n">
        <v>0</v>
      </c>
      <c r="Q249" t="n">
        <v>2</v>
      </c>
      <c r="R249" s="2" t="inlineStr">
        <is>
          <t>Tibast
Blåsippa</t>
        </is>
      </c>
      <c r="S249">
        <f>HYPERLINK("https://klasma.github.io/Logging_0181/artfynd/A 16535-2025 artfynd.xlsx", "A 16535-2025")</f>
        <v/>
      </c>
      <c r="T249">
        <f>HYPERLINK("https://klasma.github.io/Logging_0181/kartor/A 16535-2025 karta.png", "A 16535-2025")</f>
        <v/>
      </c>
      <c r="V249">
        <f>HYPERLINK("https://klasma.github.io/Logging_0181/klagomål/A 16535-2025 FSC-klagomål.docx", "A 16535-2025")</f>
        <v/>
      </c>
      <c r="W249">
        <f>HYPERLINK("https://klasma.github.io/Logging_0181/klagomålsmail/A 16535-2025 FSC-klagomål mail.docx", "A 16535-2025")</f>
        <v/>
      </c>
      <c r="X249">
        <f>HYPERLINK("https://klasma.github.io/Logging_0181/tillsyn/A 16535-2025 tillsynsbegäran.docx", "A 16535-2025")</f>
        <v/>
      </c>
      <c r="Y249">
        <f>HYPERLINK("https://klasma.github.io/Logging_0181/tillsynsmail/A 16535-2025 tillsynsbegäran mail.docx", "A 16535-2025")</f>
        <v/>
      </c>
    </row>
    <row r="250" ht="15" customHeight="1">
      <c r="A250" t="inlineStr">
        <is>
          <t>A 10909-2025</t>
        </is>
      </c>
      <c r="B250" s="1" t="n">
        <v>45722</v>
      </c>
      <c r="C250" s="1" t="n">
        <v>46089</v>
      </c>
      <c r="D250" t="inlineStr">
        <is>
          <t>STOCKHOLMS LÄN</t>
        </is>
      </c>
      <c r="E250" t="inlineStr">
        <is>
          <t>UPPLANDS-BRO</t>
        </is>
      </c>
      <c r="F250" t="inlineStr">
        <is>
          <t>Allmännings- och besparingsskogar</t>
        </is>
      </c>
      <c r="G250" t="n">
        <v>11.2</v>
      </c>
      <c r="H250" t="n">
        <v>1</v>
      </c>
      <c r="I250" t="n">
        <v>0</v>
      </c>
      <c r="J250" t="n">
        <v>1</v>
      </c>
      <c r="K250" t="n">
        <v>0</v>
      </c>
      <c r="L250" t="n">
        <v>0</v>
      </c>
      <c r="M250" t="n">
        <v>0</v>
      </c>
      <c r="N250" t="n">
        <v>0</v>
      </c>
      <c r="O250" t="n">
        <v>1</v>
      </c>
      <c r="P250" t="n">
        <v>0</v>
      </c>
      <c r="Q250" t="n">
        <v>2</v>
      </c>
      <c r="R250" s="2" t="inlineStr">
        <is>
          <t>Arommusseron
Fläcknycklar</t>
        </is>
      </c>
      <c r="S250">
        <f>HYPERLINK("https://klasma.github.io/Logging_0139/artfynd/A 10909-2025 artfynd.xlsx", "A 10909-2025")</f>
        <v/>
      </c>
      <c r="T250">
        <f>HYPERLINK("https://klasma.github.io/Logging_0139/kartor/A 10909-2025 karta.png", "A 10909-2025")</f>
        <v/>
      </c>
      <c r="V250">
        <f>HYPERLINK("https://klasma.github.io/Logging_0139/klagomål/A 10909-2025 FSC-klagomål.docx", "A 10909-2025")</f>
        <v/>
      </c>
      <c r="W250">
        <f>HYPERLINK("https://klasma.github.io/Logging_0139/klagomålsmail/A 10909-2025 FSC-klagomål mail.docx", "A 10909-2025")</f>
        <v/>
      </c>
      <c r="X250">
        <f>HYPERLINK("https://klasma.github.io/Logging_0139/tillsyn/A 10909-2025 tillsynsbegäran.docx", "A 10909-2025")</f>
        <v/>
      </c>
      <c r="Y250">
        <f>HYPERLINK("https://klasma.github.io/Logging_0139/tillsynsmail/A 10909-2025 tillsynsbegäran mail.docx", "A 10909-2025")</f>
        <v/>
      </c>
    </row>
    <row r="251" ht="15" customHeight="1">
      <c r="A251" t="inlineStr">
        <is>
          <t>A 10911-2025</t>
        </is>
      </c>
      <c r="B251" s="1" t="n">
        <v>45722</v>
      </c>
      <c r="C251" s="1" t="n">
        <v>46089</v>
      </c>
      <c r="D251" t="inlineStr">
        <is>
          <t>STOCKHOLMS LÄN</t>
        </is>
      </c>
      <c r="E251" t="inlineStr">
        <is>
          <t>UPPLANDS-BRO</t>
        </is>
      </c>
      <c r="F251" t="inlineStr">
        <is>
          <t>Allmännings- och besparingsskogar</t>
        </is>
      </c>
      <c r="G251" t="n">
        <v>5.6</v>
      </c>
      <c r="H251" t="n">
        <v>1</v>
      </c>
      <c r="I251" t="n">
        <v>1</v>
      </c>
      <c r="J251" t="n">
        <v>1</v>
      </c>
      <c r="K251" t="n">
        <v>0</v>
      </c>
      <c r="L251" t="n">
        <v>0</v>
      </c>
      <c r="M251" t="n">
        <v>0</v>
      </c>
      <c r="N251" t="n">
        <v>0</v>
      </c>
      <c r="O251" t="n">
        <v>1</v>
      </c>
      <c r="P251" t="n">
        <v>0</v>
      </c>
      <c r="Q251" t="n">
        <v>2</v>
      </c>
      <c r="R251" s="2" t="inlineStr">
        <is>
          <t>Talltita
Vågbandad barkbock</t>
        </is>
      </c>
      <c r="S251">
        <f>HYPERLINK("https://klasma.github.io/Logging_0139/artfynd/A 10911-2025 artfynd.xlsx", "A 10911-2025")</f>
        <v/>
      </c>
      <c r="T251">
        <f>HYPERLINK("https://klasma.github.io/Logging_0139/kartor/A 10911-2025 karta.png", "A 10911-2025")</f>
        <v/>
      </c>
      <c r="V251">
        <f>HYPERLINK("https://klasma.github.io/Logging_0139/klagomål/A 10911-2025 FSC-klagomål.docx", "A 10911-2025")</f>
        <v/>
      </c>
      <c r="W251">
        <f>HYPERLINK("https://klasma.github.io/Logging_0139/klagomålsmail/A 10911-2025 FSC-klagomål mail.docx", "A 10911-2025")</f>
        <v/>
      </c>
      <c r="X251">
        <f>HYPERLINK("https://klasma.github.io/Logging_0139/tillsyn/A 10911-2025 tillsynsbegäran.docx", "A 10911-2025")</f>
        <v/>
      </c>
      <c r="Y251">
        <f>HYPERLINK("https://klasma.github.io/Logging_0139/tillsynsmail/A 10911-2025 tillsynsbegäran mail.docx", "A 10911-2025")</f>
        <v/>
      </c>
      <c r="Z251">
        <f>HYPERLINK("https://klasma.github.io/Logging_0139/fåglar/A 10911-2025 prioriterade fågelarter.docx", "A 10911-2025")</f>
        <v/>
      </c>
    </row>
    <row r="252" ht="15" customHeight="1">
      <c r="A252" t="inlineStr">
        <is>
          <t>A 54703-2024</t>
        </is>
      </c>
      <c r="B252" s="1" t="n">
        <v>45618</v>
      </c>
      <c r="C252" s="1" t="n">
        <v>46089</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14729-2023</t>
        </is>
      </c>
      <c r="B253" s="1" t="n">
        <v>45014</v>
      </c>
      <c r="C253" s="1" t="n">
        <v>46089</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46-2022</t>
        </is>
      </c>
      <c r="B254" s="1" t="n">
        <v>44560</v>
      </c>
      <c r="C254" s="1" t="n">
        <v>46089</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1547-2022</t>
        </is>
      </c>
      <c r="B255" s="1" t="n">
        <v>44573</v>
      </c>
      <c r="C255" s="1" t="n">
        <v>46089</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46089</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46089</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46089</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46089</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46089</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46089</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46089</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46089</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46089</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46089</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46089</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46089</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46089</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46089</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46089</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46089</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46089</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46089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46089</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46089</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46089</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23772-2025</t>
        </is>
      </c>
      <c r="B277" s="1" t="n">
        <v>45793.48637731482</v>
      </c>
      <c r="C277" s="1" t="n">
        <v>46089</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4595-2023</t>
        </is>
      </c>
      <c r="B278" s="1" t="n">
        <v>44956</v>
      </c>
      <c r="C278" s="1" t="n">
        <v>46089</v>
      </c>
      <c r="D278" t="inlineStr">
        <is>
          <t>STOCKHOLMS LÄN</t>
        </is>
      </c>
      <c r="E278" t="inlineStr">
        <is>
          <t>NORRTÄLJE</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HYPERLINK("https://klasma.github.io/Logging_0188/artfynd/A 4595-2023 artfynd.xlsx", "A 4595-2023")</f>
        <v/>
      </c>
      <c r="T278">
        <f>HYPERLINK("https://klasma.github.io/Logging_0188/kartor/A 4595-2023 karta.png", "A 4595-2023")</f>
        <v/>
      </c>
      <c r="V278">
        <f>HYPERLINK("https://klasma.github.io/Logging_0188/klagomål/A 4595-2023 FSC-klagomål.docx", "A 4595-2023")</f>
        <v/>
      </c>
      <c r="W278">
        <f>HYPERLINK("https://klasma.github.io/Logging_0188/klagomålsmail/A 4595-2023 FSC-klagomål mail.docx", "A 4595-2023")</f>
        <v/>
      </c>
      <c r="X278">
        <f>HYPERLINK("https://klasma.github.io/Logging_0188/tillsyn/A 4595-2023 tillsynsbegäran.docx", "A 4595-2023")</f>
        <v/>
      </c>
      <c r="Y278">
        <f>HYPERLINK("https://klasma.github.io/Logging_0188/tillsynsmail/A 4595-2023 tillsynsbegäran mail.docx", "A 4595-2023")</f>
        <v/>
      </c>
    </row>
    <row r="279" ht="15" customHeight="1">
      <c r="A279" t="inlineStr">
        <is>
          <t>A 14214-2025</t>
        </is>
      </c>
      <c r="B279" s="1" t="n">
        <v>45740.58291666667</v>
      </c>
      <c r="C279" s="1" t="n">
        <v>46089</v>
      </c>
      <c r="D279" t="inlineStr">
        <is>
          <t>STOCKHOLMS LÄN</t>
        </is>
      </c>
      <c r="E279" t="inlineStr">
        <is>
          <t>BOTKYRKA</t>
        </is>
      </c>
      <c r="G279" t="n">
        <v>2.5</v>
      </c>
      <c r="H279" t="n">
        <v>1</v>
      </c>
      <c r="I279" t="n">
        <v>0</v>
      </c>
      <c r="J279" t="n">
        <v>0</v>
      </c>
      <c r="K279" t="n">
        <v>1</v>
      </c>
      <c r="L279" t="n">
        <v>0</v>
      </c>
      <c r="M279" t="n">
        <v>0</v>
      </c>
      <c r="N279" t="n">
        <v>0</v>
      </c>
      <c r="O279" t="n">
        <v>1</v>
      </c>
      <c r="P279" t="n">
        <v>1</v>
      </c>
      <c r="Q279" t="n">
        <v>1</v>
      </c>
      <c r="R279" s="2" t="inlineStr">
        <is>
          <t>Stare</t>
        </is>
      </c>
      <c r="S279">
        <f>HYPERLINK("https://klasma.github.io/Logging_0127/artfynd/A 14214-2025 artfynd.xlsx", "A 14214-2025")</f>
        <v/>
      </c>
      <c r="T279">
        <f>HYPERLINK("https://klasma.github.io/Logging_0127/kartor/A 14214-2025 karta.png", "A 14214-2025")</f>
        <v/>
      </c>
      <c r="V279">
        <f>HYPERLINK("https://klasma.github.io/Logging_0127/klagomål/A 14214-2025 FSC-klagomål.docx", "A 14214-2025")</f>
        <v/>
      </c>
      <c r="W279">
        <f>HYPERLINK("https://klasma.github.io/Logging_0127/klagomålsmail/A 14214-2025 FSC-klagomål mail.docx", "A 14214-2025")</f>
        <v/>
      </c>
      <c r="X279">
        <f>HYPERLINK("https://klasma.github.io/Logging_0127/tillsyn/A 14214-2025 tillsynsbegäran.docx", "A 14214-2025")</f>
        <v/>
      </c>
      <c r="Y279">
        <f>HYPERLINK("https://klasma.github.io/Logging_0127/tillsynsmail/A 14214-2025 tillsynsbegäran mail.docx", "A 14214-2025")</f>
        <v/>
      </c>
    </row>
    <row r="280" ht="15" customHeight="1">
      <c r="A280" t="inlineStr">
        <is>
          <t>A 15452-2023</t>
        </is>
      </c>
      <c r="B280" s="1" t="n">
        <v>45020</v>
      </c>
      <c r="C280" s="1" t="n">
        <v>46089</v>
      </c>
      <c r="D280" t="inlineStr">
        <is>
          <t>STOCKHOLMS LÄN</t>
        </is>
      </c>
      <c r="E280" t="inlineStr">
        <is>
          <t>SIGTUNA</t>
        </is>
      </c>
      <c r="F280" t="inlineStr">
        <is>
          <t>Allmännings- och besparingsskogar</t>
        </is>
      </c>
      <c r="G280" t="n">
        <v>4.5</v>
      </c>
      <c r="H280" t="n">
        <v>1</v>
      </c>
      <c r="I280" t="n">
        <v>0</v>
      </c>
      <c r="J280" t="n">
        <v>0</v>
      </c>
      <c r="K280" t="n">
        <v>0</v>
      </c>
      <c r="L280" t="n">
        <v>0</v>
      </c>
      <c r="M280" t="n">
        <v>0</v>
      </c>
      <c r="N280" t="n">
        <v>0</v>
      </c>
      <c r="O280" t="n">
        <v>0</v>
      </c>
      <c r="P280" t="n">
        <v>0</v>
      </c>
      <c r="Q280" t="n">
        <v>1</v>
      </c>
      <c r="R280" s="2" t="inlineStr">
        <is>
          <t>Trana</t>
        </is>
      </c>
      <c r="S280">
        <f>HYPERLINK("https://klasma.github.io/Logging_0191/artfynd/A 15452-2023 artfynd.xlsx", "A 15452-2023")</f>
        <v/>
      </c>
      <c r="T280">
        <f>HYPERLINK("https://klasma.github.io/Logging_0191/kartor/A 15452-2023 karta.png", "A 15452-2023")</f>
        <v/>
      </c>
      <c r="V280">
        <f>HYPERLINK("https://klasma.github.io/Logging_0191/klagomål/A 15452-2023 FSC-klagomål.docx", "A 15452-2023")</f>
        <v/>
      </c>
      <c r="W280">
        <f>HYPERLINK("https://klasma.github.io/Logging_0191/klagomålsmail/A 15452-2023 FSC-klagomål mail.docx", "A 15452-2023")</f>
        <v/>
      </c>
      <c r="X280">
        <f>HYPERLINK("https://klasma.github.io/Logging_0191/tillsyn/A 15452-2023 tillsynsbegäran.docx", "A 15452-2023")</f>
        <v/>
      </c>
      <c r="Y280">
        <f>HYPERLINK("https://klasma.github.io/Logging_0191/tillsynsmail/A 15452-2023 tillsynsbegäran mail.docx", "A 15452-2023")</f>
        <v/>
      </c>
      <c r="Z280">
        <f>HYPERLINK("https://klasma.github.io/Logging_0191/fåglar/A 15452-2023 prioriterade fågelarter.docx", "A 15452-2023")</f>
        <v/>
      </c>
    </row>
    <row r="281" ht="15" customHeight="1">
      <c r="A281" t="inlineStr">
        <is>
          <t>A 23905-2025</t>
        </is>
      </c>
      <c r="B281" s="1" t="n">
        <v>45794.63298611111</v>
      </c>
      <c r="C281" s="1" t="n">
        <v>46089</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24535-2023</t>
        </is>
      </c>
      <c r="B282" s="1" t="n">
        <v>45082</v>
      </c>
      <c r="C282" s="1" t="n">
        <v>46089</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13794-2023</t>
        </is>
      </c>
      <c r="B283" s="1" t="n">
        <v>45007</v>
      </c>
      <c r="C283" s="1" t="n">
        <v>46089</v>
      </c>
      <c r="D283" t="inlineStr">
        <is>
          <t>STOCKHOLMS LÄN</t>
        </is>
      </c>
      <c r="E283" t="inlineStr">
        <is>
          <t>EKERÖ</t>
        </is>
      </c>
      <c r="G283" t="n">
        <v>4.8</v>
      </c>
      <c r="H283" t="n">
        <v>0</v>
      </c>
      <c r="I283" t="n">
        <v>0</v>
      </c>
      <c r="J283" t="n">
        <v>1</v>
      </c>
      <c r="K283" t="n">
        <v>0</v>
      </c>
      <c r="L283" t="n">
        <v>0</v>
      </c>
      <c r="M283" t="n">
        <v>0</v>
      </c>
      <c r="N283" t="n">
        <v>0</v>
      </c>
      <c r="O283" t="n">
        <v>1</v>
      </c>
      <c r="P283" t="n">
        <v>0</v>
      </c>
      <c r="Q283" t="n">
        <v>1</v>
      </c>
      <c r="R283" s="2" t="inlineStr">
        <is>
          <t>Tallticka</t>
        </is>
      </c>
      <c r="S283">
        <f>HYPERLINK("https://klasma.github.io/Logging_0125/artfynd/A 13794-2023 artfynd.xlsx", "A 13794-2023")</f>
        <v/>
      </c>
      <c r="T283">
        <f>HYPERLINK("https://klasma.github.io/Logging_0125/kartor/A 13794-2023 karta.png", "A 13794-2023")</f>
        <v/>
      </c>
      <c r="V283">
        <f>HYPERLINK("https://klasma.github.io/Logging_0125/klagomål/A 13794-2023 FSC-klagomål.docx", "A 13794-2023")</f>
        <v/>
      </c>
      <c r="W283">
        <f>HYPERLINK("https://klasma.github.io/Logging_0125/klagomålsmail/A 13794-2023 FSC-klagomål mail.docx", "A 13794-2023")</f>
        <v/>
      </c>
      <c r="X283">
        <f>HYPERLINK("https://klasma.github.io/Logging_0125/tillsyn/A 13794-2023 tillsynsbegäran.docx", "A 13794-2023")</f>
        <v/>
      </c>
      <c r="Y283">
        <f>HYPERLINK("https://klasma.github.io/Logging_0125/tillsynsmail/A 13794-2023 tillsynsbegäran mail.docx", "A 13794-2023")</f>
        <v/>
      </c>
    </row>
    <row r="284" ht="15" customHeight="1">
      <c r="A284" t="inlineStr">
        <is>
          <t>A 7734-2026</t>
        </is>
      </c>
      <c r="B284" s="1" t="n">
        <v>46062.52902777777</v>
      </c>
      <c r="C284" s="1" t="n">
        <v>46089</v>
      </c>
      <c r="D284" t="inlineStr">
        <is>
          <t>STOCKHOLMS LÄN</t>
        </is>
      </c>
      <c r="E284" t="inlineStr">
        <is>
          <t>NORRTÄLJE</t>
        </is>
      </c>
      <c r="G284" t="n">
        <v>6.6</v>
      </c>
      <c r="H284" t="n">
        <v>0</v>
      </c>
      <c r="I284" t="n">
        <v>1</v>
      </c>
      <c r="J284" t="n">
        <v>0</v>
      </c>
      <c r="K284" t="n">
        <v>0</v>
      </c>
      <c r="L284" t="n">
        <v>0</v>
      </c>
      <c r="M284" t="n">
        <v>0</v>
      </c>
      <c r="N284" t="n">
        <v>0</v>
      </c>
      <c r="O284" t="n">
        <v>0</v>
      </c>
      <c r="P284" t="n">
        <v>0</v>
      </c>
      <c r="Q284" t="n">
        <v>1</v>
      </c>
      <c r="R284" s="2" t="inlineStr">
        <is>
          <t>Kastanjefjällskivling</t>
        </is>
      </c>
      <c r="S284">
        <f>HYPERLINK("https://klasma.github.io/Logging_0188/artfynd/A 7734-2026 artfynd.xlsx", "A 7734-2026")</f>
        <v/>
      </c>
      <c r="T284">
        <f>HYPERLINK("https://klasma.github.io/Logging_0188/kartor/A 7734-2026 karta.png", "A 7734-2026")</f>
        <v/>
      </c>
      <c r="V284">
        <f>HYPERLINK("https://klasma.github.io/Logging_0188/klagomål/A 7734-2026 FSC-klagomål.docx", "A 7734-2026")</f>
        <v/>
      </c>
      <c r="W284">
        <f>HYPERLINK("https://klasma.github.io/Logging_0188/klagomålsmail/A 7734-2026 FSC-klagomål mail.docx", "A 7734-2026")</f>
        <v/>
      </c>
      <c r="X284">
        <f>HYPERLINK("https://klasma.github.io/Logging_0188/tillsyn/A 7734-2026 tillsynsbegäran.docx", "A 7734-2026")</f>
        <v/>
      </c>
      <c r="Y284">
        <f>HYPERLINK("https://klasma.github.io/Logging_0188/tillsynsmail/A 7734-2026 tillsynsbegäran mail.docx", "A 7734-2026")</f>
        <v/>
      </c>
    </row>
    <row r="285" ht="15" customHeight="1">
      <c r="A285" t="inlineStr">
        <is>
          <t>A 25669-2025</t>
        </is>
      </c>
      <c r="B285" s="1" t="n">
        <v>45803.62766203703</v>
      </c>
      <c r="C285" s="1" t="n">
        <v>46089</v>
      </c>
      <c r="D285" t="inlineStr">
        <is>
          <t>STOCKHOLMS LÄN</t>
        </is>
      </c>
      <c r="E285" t="inlineStr">
        <is>
          <t>NORRTÄLJE</t>
        </is>
      </c>
      <c r="F285" t="inlineStr">
        <is>
          <t>Holmen skog AB</t>
        </is>
      </c>
      <c r="G285" t="n">
        <v>3.1</v>
      </c>
      <c r="H285" t="n">
        <v>1</v>
      </c>
      <c r="I285" t="n">
        <v>0</v>
      </c>
      <c r="J285" t="n">
        <v>0</v>
      </c>
      <c r="K285" t="n">
        <v>0</v>
      </c>
      <c r="L285" t="n">
        <v>0</v>
      </c>
      <c r="M285" t="n">
        <v>0</v>
      </c>
      <c r="N285" t="n">
        <v>0</v>
      </c>
      <c r="O285" t="n">
        <v>0</v>
      </c>
      <c r="P285" t="n">
        <v>0</v>
      </c>
      <c r="Q285" t="n">
        <v>1</v>
      </c>
      <c r="R285" s="2" t="inlineStr">
        <is>
          <t>Tjäder</t>
        </is>
      </c>
      <c r="S285">
        <f>HYPERLINK("https://klasma.github.io/Logging_0188/artfynd/A 25669-2025 artfynd.xlsx", "A 25669-2025")</f>
        <v/>
      </c>
      <c r="T285">
        <f>HYPERLINK("https://klasma.github.io/Logging_0188/kartor/A 25669-2025 karta.png", "A 25669-2025")</f>
        <v/>
      </c>
      <c r="V285">
        <f>HYPERLINK("https://klasma.github.io/Logging_0188/klagomål/A 25669-2025 FSC-klagomål.docx", "A 25669-2025")</f>
        <v/>
      </c>
      <c r="W285">
        <f>HYPERLINK("https://klasma.github.io/Logging_0188/klagomålsmail/A 25669-2025 FSC-klagomål mail.docx", "A 25669-2025")</f>
        <v/>
      </c>
      <c r="X285">
        <f>HYPERLINK("https://klasma.github.io/Logging_0188/tillsyn/A 25669-2025 tillsynsbegäran.docx", "A 25669-2025")</f>
        <v/>
      </c>
      <c r="Y285">
        <f>HYPERLINK("https://klasma.github.io/Logging_0188/tillsynsmail/A 25669-2025 tillsynsbegäran mail.docx", "A 25669-2025")</f>
        <v/>
      </c>
      <c r="Z285">
        <f>HYPERLINK("https://klasma.github.io/Logging_0188/fåglar/A 25669-2025 prioriterade fågelarter.docx", "A 25669-2025")</f>
        <v/>
      </c>
    </row>
    <row r="286" ht="15" customHeight="1">
      <c r="A286" t="inlineStr">
        <is>
          <t>A 35764-2024</t>
        </is>
      </c>
      <c r="B286" s="1" t="n">
        <v>45532</v>
      </c>
      <c r="C286" s="1" t="n">
        <v>46089</v>
      </c>
      <c r="D286" t="inlineStr">
        <is>
          <t>STOCKHOLMS LÄN</t>
        </is>
      </c>
      <c r="E286" t="inlineStr">
        <is>
          <t>NORRTÄLJE</t>
        </is>
      </c>
      <c r="G286" t="n">
        <v>14.2</v>
      </c>
      <c r="H286" t="n">
        <v>1</v>
      </c>
      <c r="I286" t="n">
        <v>0</v>
      </c>
      <c r="J286" t="n">
        <v>0</v>
      </c>
      <c r="K286" t="n">
        <v>1</v>
      </c>
      <c r="L286" t="n">
        <v>0</v>
      </c>
      <c r="M286" t="n">
        <v>0</v>
      </c>
      <c r="N286" t="n">
        <v>0</v>
      </c>
      <c r="O286" t="n">
        <v>1</v>
      </c>
      <c r="P286" t="n">
        <v>1</v>
      </c>
      <c r="Q286" t="n">
        <v>1</v>
      </c>
      <c r="R286" s="2" t="inlineStr">
        <is>
          <t>Knärot</t>
        </is>
      </c>
      <c r="S286">
        <f>HYPERLINK("https://klasma.github.io/Logging_0188/artfynd/A 35764-2024 artfynd.xlsx", "A 35764-2024")</f>
        <v/>
      </c>
      <c r="T286">
        <f>HYPERLINK("https://klasma.github.io/Logging_0188/kartor/A 35764-2024 karta.png", "A 35764-2024")</f>
        <v/>
      </c>
      <c r="U286">
        <f>HYPERLINK("https://klasma.github.io/Logging_0188/knärot/A 35764-2024 karta knärot.png", "A 35764-2024")</f>
        <v/>
      </c>
      <c r="V286">
        <f>HYPERLINK("https://klasma.github.io/Logging_0188/klagomål/A 35764-2024 FSC-klagomål.docx", "A 35764-2024")</f>
        <v/>
      </c>
      <c r="W286">
        <f>HYPERLINK("https://klasma.github.io/Logging_0188/klagomålsmail/A 35764-2024 FSC-klagomål mail.docx", "A 35764-2024")</f>
        <v/>
      </c>
      <c r="X286">
        <f>HYPERLINK("https://klasma.github.io/Logging_0188/tillsyn/A 35764-2024 tillsynsbegäran.docx", "A 35764-2024")</f>
        <v/>
      </c>
      <c r="Y286">
        <f>HYPERLINK("https://klasma.github.io/Logging_0188/tillsynsmail/A 35764-2024 tillsynsbegäran mail.docx", "A 35764-2024")</f>
        <v/>
      </c>
    </row>
    <row r="287" ht="15" customHeight="1">
      <c r="A287" t="inlineStr">
        <is>
          <t>A 25725-2025</t>
        </is>
      </c>
      <c r="B287" s="1" t="n">
        <v>45800</v>
      </c>
      <c r="C287" s="1" t="n">
        <v>46089</v>
      </c>
      <c r="D287" t="inlineStr">
        <is>
          <t>STOCKHOLMS LÄN</t>
        </is>
      </c>
      <c r="E287" t="inlineStr">
        <is>
          <t>NORRTÄLJE</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HYPERLINK("https://klasma.github.io/Logging_0188/artfynd/A 25725-2025 artfynd.xlsx", "A 25725-2025")</f>
        <v/>
      </c>
      <c r="T287">
        <f>HYPERLINK("https://klasma.github.io/Logging_0188/kartor/A 25725-2025 karta.png", "A 25725-2025")</f>
        <v/>
      </c>
      <c r="V287">
        <f>HYPERLINK("https://klasma.github.io/Logging_0188/klagomål/A 25725-2025 FSC-klagomål.docx", "A 25725-2025")</f>
        <v/>
      </c>
      <c r="W287">
        <f>HYPERLINK("https://klasma.github.io/Logging_0188/klagomålsmail/A 25725-2025 FSC-klagomål mail.docx", "A 25725-2025")</f>
        <v/>
      </c>
      <c r="X287">
        <f>HYPERLINK("https://klasma.github.io/Logging_0188/tillsyn/A 25725-2025 tillsynsbegäran.docx", "A 25725-2025")</f>
        <v/>
      </c>
      <c r="Y287">
        <f>HYPERLINK("https://klasma.github.io/Logging_0188/tillsynsmail/A 25725-2025 tillsynsbegäran mail.docx", "A 25725-2025")</f>
        <v/>
      </c>
    </row>
    <row r="288" ht="15" customHeight="1">
      <c r="A288" t="inlineStr">
        <is>
          <t>A 11388-2024</t>
        </is>
      </c>
      <c r="B288" s="1" t="n">
        <v>45372.44967592593</v>
      </c>
      <c r="C288" s="1" t="n">
        <v>46089</v>
      </c>
      <c r="D288" t="inlineStr">
        <is>
          <t>STOCKHOLMS LÄN</t>
        </is>
      </c>
      <c r="E288" t="inlineStr">
        <is>
          <t>NYKVARN</t>
        </is>
      </c>
      <c r="G288" t="n">
        <v>4</v>
      </c>
      <c r="H288" t="n">
        <v>0</v>
      </c>
      <c r="I288" t="n">
        <v>0</v>
      </c>
      <c r="J288" t="n">
        <v>1</v>
      </c>
      <c r="K288" t="n">
        <v>0</v>
      </c>
      <c r="L288" t="n">
        <v>0</v>
      </c>
      <c r="M288" t="n">
        <v>0</v>
      </c>
      <c r="N288" t="n">
        <v>0</v>
      </c>
      <c r="O288" t="n">
        <v>1</v>
      </c>
      <c r="P288" t="n">
        <v>0</v>
      </c>
      <c r="Q288" t="n">
        <v>1</v>
      </c>
      <c r="R288" s="2" t="inlineStr">
        <is>
          <t>Igelkott</t>
        </is>
      </c>
      <c r="S288">
        <f>HYPERLINK("https://klasma.github.io/Logging_0140/artfynd/A 11388-2024 artfynd.xlsx", "A 11388-2024")</f>
        <v/>
      </c>
      <c r="T288">
        <f>HYPERLINK("https://klasma.github.io/Logging_0140/kartor/A 11388-2024 karta.png", "A 11388-2024")</f>
        <v/>
      </c>
      <c r="V288">
        <f>HYPERLINK("https://klasma.github.io/Logging_0140/klagomål/A 11388-2024 FSC-klagomål.docx", "A 11388-2024")</f>
        <v/>
      </c>
      <c r="W288">
        <f>HYPERLINK("https://klasma.github.io/Logging_0140/klagomålsmail/A 11388-2024 FSC-klagomål mail.docx", "A 11388-2024")</f>
        <v/>
      </c>
      <c r="X288">
        <f>HYPERLINK("https://klasma.github.io/Logging_0140/tillsyn/A 11388-2024 tillsynsbegäran.docx", "A 11388-2024")</f>
        <v/>
      </c>
      <c r="Y288">
        <f>HYPERLINK("https://klasma.github.io/Logging_0140/tillsynsmail/A 11388-2024 tillsynsbegäran mail.docx", "A 11388-2024")</f>
        <v/>
      </c>
    </row>
    <row r="289" ht="15" customHeight="1">
      <c r="A289" t="inlineStr">
        <is>
          <t>A 25561-2025</t>
        </is>
      </c>
      <c r="B289" s="1" t="n">
        <v>45803.45496527778</v>
      </c>
      <c r="C289" s="1" t="n">
        <v>46089</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31842-2023</t>
        </is>
      </c>
      <c r="B290" s="1" t="n">
        <v>45118</v>
      </c>
      <c r="C290" s="1" t="n">
        <v>46089</v>
      </c>
      <c r="D290" t="inlineStr">
        <is>
          <t>STOCKHOLMS LÄN</t>
        </is>
      </c>
      <c r="E290" t="inlineStr">
        <is>
          <t>NYNÄSHAMN</t>
        </is>
      </c>
      <c r="F290" t="inlineStr">
        <is>
          <t>Kommuner</t>
        </is>
      </c>
      <c r="G290" t="n">
        <v>3.8</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31842-2023 artfynd.xlsx", "A 31842-2023")</f>
        <v/>
      </c>
      <c r="T290">
        <f>HYPERLINK("https://klasma.github.io/Logging_0192/kartor/A 31842-2023 karta.png", "A 31842-2023")</f>
        <v/>
      </c>
      <c r="V290">
        <f>HYPERLINK("https://klasma.github.io/Logging_0192/klagomål/A 31842-2023 FSC-klagomål.docx", "A 31842-2023")</f>
        <v/>
      </c>
      <c r="W290">
        <f>HYPERLINK("https://klasma.github.io/Logging_0192/klagomålsmail/A 31842-2023 FSC-klagomål mail.docx", "A 31842-2023")</f>
        <v/>
      </c>
      <c r="X290">
        <f>HYPERLINK("https://klasma.github.io/Logging_0192/tillsyn/A 31842-2023 tillsynsbegäran.docx", "A 31842-2023")</f>
        <v/>
      </c>
      <c r="Y290">
        <f>HYPERLINK("https://klasma.github.io/Logging_0192/tillsynsmail/A 31842-2023 tillsynsbegäran mail.docx", "A 31842-2023")</f>
        <v/>
      </c>
    </row>
    <row r="291" ht="15" customHeight="1">
      <c r="A291" t="inlineStr">
        <is>
          <t>A 25709-2025</t>
        </is>
      </c>
      <c r="B291" s="1" t="n">
        <v>45800</v>
      </c>
      <c r="C291" s="1" t="n">
        <v>46089</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35649-2023</t>
        </is>
      </c>
      <c r="B292" s="1" t="n">
        <v>45146</v>
      </c>
      <c r="C292" s="1" t="n">
        <v>46089</v>
      </c>
      <c r="D292" t="inlineStr">
        <is>
          <t>STOCKHOLMS LÄN</t>
        </is>
      </c>
      <c r="E292" t="inlineStr">
        <is>
          <t>NORRTÄLJE</t>
        </is>
      </c>
      <c r="G292" t="n">
        <v>25.1</v>
      </c>
      <c r="H292" t="n">
        <v>0</v>
      </c>
      <c r="I292" t="n">
        <v>0</v>
      </c>
      <c r="J292" t="n">
        <v>1</v>
      </c>
      <c r="K292" t="n">
        <v>0</v>
      </c>
      <c r="L292" t="n">
        <v>0</v>
      </c>
      <c r="M292" t="n">
        <v>0</v>
      </c>
      <c r="N292" t="n">
        <v>0</v>
      </c>
      <c r="O292" t="n">
        <v>1</v>
      </c>
      <c r="P292" t="n">
        <v>0</v>
      </c>
      <c r="Q292" t="n">
        <v>1</v>
      </c>
      <c r="R292" s="2" t="inlineStr">
        <is>
          <t>Månlåsbräken</t>
        </is>
      </c>
      <c r="S292">
        <f>HYPERLINK("https://klasma.github.io/Logging_0188/artfynd/A 35649-2023 artfynd.xlsx", "A 35649-2023")</f>
        <v/>
      </c>
      <c r="T292">
        <f>HYPERLINK("https://klasma.github.io/Logging_0188/kartor/A 35649-2023 karta.png", "A 35649-2023")</f>
        <v/>
      </c>
      <c r="V292">
        <f>HYPERLINK("https://klasma.github.io/Logging_0188/klagomål/A 35649-2023 FSC-klagomål.docx", "A 35649-2023")</f>
        <v/>
      </c>
      <c r="W292">
        <f>HYPERLINK("https://klasma.github.io/Logging_0188/klagomålsmail/A 35649-2023 FSC-klagomål mail.docx", "A 35649-2023")</f>
        <v/>
      </c>
      <c r="X292">
        <f>HYPERLINK("https://klasma.github.io/Logging_0188/tillsyn/A 35649-2023 tillsynsbegäran.docx", "A 35649-2023")</f>
        <v/>
      </c>
      <c r="Y292">
        <f>HYPERLINK("https://klasma.github.io/Logging_0188/tillsynsmail/A 35649-2023 tillsynsbegäran mail.docx", "A 35649-2023")</f>
        <v/>
      </c>
    </row>
    <row r="293" ht="15" customHeight="1">
      <c r="A293" t="inlineStr">
        <is>
          <t>A 4532-2025</t>
        </is>
      </c>
      <c r="B293" s="1" t="n">
        <v>45687.34177083334</v>
      </c>
      <c r="C293" s="1" t="n">
        <v>46089</v>
      </c>
      <c r="D293" t="inlineStr">
        <is>
          <t>STOCKHOLMS LÄN</t>
        </is>
      </c>
      <c r="E293" t="inlineStr">
        <is>
          <t>NORRTÄLJE</t>
        </is>
      </c>
      <c r="F293" t="inlineStr">
        <is>
          <t>Holmen skog AB</t>
        </is>
      </c>
      <c r="G293" t="n">
        <v>6.4</v>
      </c>
      <c r="H293" t="n">
        <v>1</v>
      </c>
      <c r="I293" t="n">
        <v>0</v>
      </c>
      <c r="J293" t="n">
        <v>0</v>
      </c>
      <c r="K293" t="n">
        <v>0</v>
      </c>
      <c r="L293" t="n">
        <v>1</v>
      </c>
      <c r="M293" t="n">
        <v>0</v>
      </c>
      <c r="N293" t="n">
        <v>0</v>
      </c>
      <c r="O293" t="n">
        <v>1</v>
      </c>
      <c r="P293" t="n">
        <v>1</v>
      </c>
      <c r="Q293" t="n">
        <v>1</v>
      </c>
      <c r="R293" s="2" t="inlineStr">
        <is>
          <t>Asknätfjäril</t>
        </is>
      </c>
      <c r="S293">
        <f>HYPERLINK("https://klasma.github.io/Logging_0188/artfynd/A 4532-2025 artfynd.xlsx", "A 4532-2025")</f>
        <v/>
      </c>
      <c r="T293">
        <f>HYPERLINK("https://klasma.github.io/Logging_0188/kartor/A 4532-2025 karta.png", "A 4532-2025")</f>
        <v/>
      </c>
      <c r="V293">
        <f>HYPERLINK("https://klasma.github.io/Logging_0188/klagomål/A 4532-2025 FSC-klagomål.docx", "A 4532-2025")</f>
        <v/>
      </c>
      <c r="W293">
        <f>HYPERLINK("https://klasma.github.io/Logging_0188/klagomålsmail/A 4532-2025 FSC-klagomål mail.docx", "A 4532-2025")</f>
        <v/>
      </c>
      <c r="X293">
        <f>HYPERLINK("https://klasma.github.io/Logging_0188/tillsyn/A 4532-2025 tillsynsbegäran.docx", "A 4532-2025")</f>
        <v/>
      </c>
      <c r="Y293">
        <f>HYPERLINK("https://klasma.github.io/Logging_0188/tillsynsmail/A 4532-2025 tillsynsbegäran mail.docx", "A 4532-2025")</f>
        <v/>
      </c>
    </row>
    <row r="294" ht="15" customHeight="1">
      <c r="A294" t="inlineStr">
        <is>
          <t>A 40861-2025</t>
        </is>
      </c>
      <c r="B294" s="1" t="n">
        <v>45897.56356481482</v>
      </c>
      <c r="C294" s="1" t="n">
        <v>46089</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46089</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35691-2023</t>
        </is>
      </c>
      <c r="B296" s="1" t="n">
        <v>45147.65222222222</v>
      </c>
      <c r="C296" s="1" t="n">
        <v>46089</v>
      </c>
      <c r="D296" t="inlineStr">
        <is>
          <t>STOCKHOLMS LÄN</t>
        </is>
      </c>
      <c r="E296" t="inlineStr">
        <is>
          <t>NORRTÄLJE</t>
        </is>
      </c>
      <c r="G296" t="n">
        <v>2.3</v>
      </c>
      <c r="H296" t="n">
        <v>1</v>
      </c>
      <c r="I296" t="n">
        <v>0</v>
      </c>
      <c r="J296" t="n">
        <v>0</v>
      </c>
      <c r="K296" t="n">
        <v>0</v>
      </c>
      <c r="L296" t="n">
        <v>0</v>
      </c>
      <c r="M296" t="n">
        <v>0</v>
      </c>
      <c r="N296" t="n">
        <v>0</v>
      </c>
      <c r="O296" t="n">
        <v>0</v>
      </c>
      <c r="P296" t="n">
        <v>0</v>
      </c>
      <c r="Q296" t="n">
        <v>1</v>
      </c>
      <c r="R296" s="2" t="inlineStr">
        <is>
          <t>Kungsfågel</t>
        </is>
      </c>
      <c r="S296">
        <f>HYPERLINK("https://klasma.github.io/Logging_0188/artfynd/A 35691-2023 artfynd.xlsx", "A 35691-2023")</f>
        <v/>
      </c>
      <c r="T296">
        <f>HYPERLINK("https://klasma.github.io/Logging_0188/kartor/A 35691-2023 karta.png", "A 35691-2023")</f>
        <v/>
      </c>
      <c r="V296">
        <f>HYPERLINK("https://klasma.github.io/Logging_0188/klagomål/A 35691-2023 FSC-klagomål.docx", "A 35691-2023")</f>
        <v/>
      </c>
      <c r="W296">
        <f>HYPERLINK("https://klasma.github.io/Logging_0188/klagomålsmail/A 35691-2023 FSC-klagomål mail.docx", "A 35691-2023")</f>
        <v/>
      </c>
      <c r="X296">
        <f>HYPERLINK("https://klasma.github.io/Logging_0188/tillsyn/A 35691-2023 tillsynsbegäran.docx", "A 35691-2023")</f>
        <v/>
      </c>
      <c r="Y296">
        <f>HYPERLINK("https://klasma.github.io/Logging_0188/tillsynsmail/A 35691-2023 tillsynsbegäran mail.docx", "A 35691-2023")</f>
        <v/>
      </c>
      <c r="Z296">
        <f>HYPERLINK("https://klasma.github.io/Logging_0188/fåglar/A 35691-2023 prioriterade fågelarter.docx", "A 35691-2023")</f>
        <v/>
      </c>
    </row>
    <row r="297" ht="15" customHeight="1">
      <c r="A297" t="inlineStr">
        <is>
          <t>A 35693-2023</t>
        </is>
      </c>
      <c r="B297" s="1" t="n">
        <v>45147.65311342593</v>
      </c>
      <c r="C297" s="1" t="n">
        <v>46089</v>
      </c>
      <c r="D297" t="inlineStr">
        <is>
          <t>STOCKHOLMS LÄN</t>
        </is>
      </c>
      <c r="E297" t="inlineStr">
        <is>
          <t>NORRTÄLJE</t>
        </is>
      </c>
      <c r="G297" t="n">
        <v>2.2</v>
      </c>
      <c r="H297" t="n">
        <v>0</v>
      </c>
      <c r="I297" t="n">
        <v>0</v>
      </c>
      <c r="J297" t="n">
        <v>1</v>
      </c>
      <c r="K297" t="n">
        <v>0</v>
      </c>
      <c r="L297" t="n">
        <v>0</v>
      </c>
      <c r="M297" t="n">
        <v>0</v>
      </c>
      <c r="N297" t="n">
        <v>0</v>
      </c>
      <c r="O297" t="n">
        <v>1</v>
      </c>
      <c r="P297" t="n">
        <v>0</v>
      </c>
      <c r="Q297" t="n">
        <v>1</v>
      </c>
      <c r="R297" s="2" t="inlineStr">
        <is>
          <t>Motaggsvamp</t>
        </is>
      </c>
      <c r="S297">
        <f>HYPERLINK("https://klasma.github.io/Logging_0188/artfynd/A 35693-2023 artfynd.xlsx", "A 35693-2023")</f>
        <v/>
      </c>
      <c r="T297">
        <f>HYPERLINK("https://klasma.github.io/Logging_0188/kartor/A 35693-2023 karta.png", "A 35693-2023")</f>
        <v/>
      </c>
      <c r="V297">
        <f>HYPERLINK("https://klasma.github.io/Logging_0188/klagomål/A 35693-2023 FSC-klagomål.docx", "A 35693-2023")</f>
        <v/>
      </c>
      <c r="W297">
        <f>HYPERLINK("https://klasma.github.io/Logging_0188/klagomålsmail/A 35693-2023 FSC-klagomål mail.docx", "A 35693-2023")</f>
        <v/>
      </c>
      <c r="X297">
        <f>HYPERLINK("https://klasma.github.io/Logging_0188/tillsyn/A 35693-2023 tillsynsbegäran.docx", "A 35693-2023")</f>
        <v/>
      </c>
      <c r="Y297">
        <f>HYPERLINK("https://klasma.github.io/Logging_0188/tillsynsmail/A 35693-2023 tillsynsbegäran mail.docx", "A 35693-2023")</f>
        <v/>
      </c>
    </row>
    <row r="298" ht="15" customHeight="1">
      <c r="A298" t="inlineStr">
        <is>
          <t>A 42313-2025</t>
        </is>
      </c>
      <c r="B298" s="1" t="n">
        <v>45904.6575</v>
      </c>
      <c r="C298" s="1" t="n">
        <v>46089</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25612-2024</t>
        </is>
      </c>
      <c r="B299" s="1" t="n">
        <v>45463.63518518519</v>
      </c>
      <c r="C299" s="1" t="n">
        <v>46089</v>
      </c>
      <c r="D299" t="inlineStr">
        <is>
          <t>STOCKHOLMS LÄN</t>
        </is>
      </c>
      <c r="E299" t="inlineStr">
        <is>
          <t>NACKA</t>
        </is>
      </c>
      <c r="G299" t="n">
        <v>1.5</v>
      </c>
      <c r="H299" t="n">
        <v>0</v>
      </c>
      <c r="I299" t="n">
        <v>1</v>
      </c>
      <c r="J299" t="n">
        <v>0</v>
      </c>
      <c r="K299" t="n">
        <v>0</v>
      </c>
      <c r="L299" t="n">
        <v>0</v>
      </c>
      <c r="M299" t="n">
        <v>0</v>
      </c>
      <c r="N299" t="n">
        <v>0</v>
      </c>
      <c r="O299" t="n">
        <v>0</v>
      </c>
      <c r="P299" t="n">
        <v>0</v>
      </c>
      <c r="Q299" t="n">
        <v>1</v>
      </c>
      <c r="R299" s="2" t="inlineStr">
        <is>
          <t>Tibast</t>
        </is>
      </c>
      <c r="S299">
        <f>HYPERLINK("https://klasma.github.io/Logging_0182/artfynd/A 25612-2024 artfynd.xlsx", "A 25612-2024")</f>
        <v/>
      </c>
      <c r="T299">
        <f>HYPERLINK("https://klasma.github.io/Logging_0182/kartor/A 25612-2024 karta.png", "A 25612-2024")</f>
        <v/>
      </c>
      <c r="V299">
        <f>HYPERLINK("https://klasma.github.io/Logging_0182/klagomål/A 25612-2024 FSC-klagomål.docx", "A 25612-2024")</f>
        <v/>
      </c>
      <c r="W299">
        <f>HYPERLINK("https://klasma.github.io/Logging_0182/klagomålsmail/A 25612-2024 FSC-klagomål mail.docx", "A 25612-2024")</f>
        <v/>
      </c>
      <c r="X299">
        <f>HYPERLINK("https://klasma.github.io/Logging_0182/tillsyn/A 25612-2024 tillsynsbegäran.docx", "A 25612-2024")</f>
        <v/>
      </c>
      <c r="Y299">
        <f>HYPERLINK("https://klasma.github.io/Logging_0182/tillsynsmail/A 25612-2024 tillsynsbegäran mail.docx", "A 25612-2024")</f>
        <v/>
      </c>
    </row>
    <row r="300" ht="15" customHeight="1">
      <c r="A300" t="inlineStr">
        <is>
          <t>A 27921-2025</t>
        </is>
      </c>
      <c r="B300" s="1" t="n">
        <v>45817.4846875</v>
      </c>
      <c r="C300" s="1" t="n">
        <v>46089</v>
      </c>
      <c r="D300" t="inlineStr">
        <is>
          <t>STOCKHOLMS LÄN</t>
        </is>
      </c>
      <c r="E300" t="inlineStr">
        <is>
          <t>ÖSTERÅKER</t>
        </is>
      </c>
      <c r="G300" t="n">
        <v>11.8</v>
      </c>
      <c r="H300" t="n">
        <v>1</v>
      </c>
      <c r="I300" t="n">
        <v>0</v>
      </c>
      <c r="J300" t="n">
        <v>0</v>
      </c>
      <c r="K300" t="n">
        <v>0</v>
      </c>
      <c r="L300" t="n">
        <v>0</v>
      </c>
      <c r="M300" t="n">
        <v>0</v>
      </c>
      <c r="N300" t="n">
        <v>0</v>
      </c>
      <c r="O300" t="n">
        <v>0</v>
      </c>
      <c r="P300" t="n">
        <v>0</v>
      </c>
      <c r="Q300" t="n">
        <v>1</v>
      </c>
      <c r="R300" s="2" t="inlineStr">
        <is>
          <t>Mindre vattensalamander</t>
        </is>
      </c>
      <c r="S300">
        <f>HYPERLINK("https://klasma.github.io/Logging_0117/artfynd/A 27921-2025 artfynd.xlsx", "A 27921-2025")</f>
        <v/>
      </c>
      <c r="T300">
        <f>HYPERLINK("https://klasma.github.io/Logging_0117/kartor/A 27921-2025 karta.png", "A 27921-2025")</f>
        <v/>
      </c>
      <c r="V300">
        <f>HYPERLINK("https://klasma.github.io/Logging_0117/klagomål/A 27921-2025 FSC-klagomål.docx", "A 27921-2025")</f>
        <v/>
      </c>
      <c r="W300">
        <f>HYPERLINK("https://klasma.github.io/Logging_0117/klagomålsmail/A 27921-2025 FSC-klagomål mail.docx", "A 27921-2025")</f>
        <v/>
      </c>
      <c r="X300">
        <f>HYPERLINK("https://klasma.github.io/Logging_0117/tillsyn/A 27921-2025 tillsynsbegäran.docx", "A 27921-2025")</f>
        <v/>
      </c>
      <c r="Y300">
        <f>HYPERLINK("https://klasma.github.io/Logging_0117/tillsynsmail/A 27921-2025 tillsynsbegäran mail.docx", "A 27921-2025")</f>
        <v/>
      </c>
    </row>
    <row r="301" ht="15" customHeight="1">
      <c r="A301" t="inlineStr">
        <is>
          <t>A 47262-2024</t>
        </is>
      </c>
      <c r="B301" s="1" t="n">
        <v>45586</v>
      </c>
      <c r="C301" s="1" t="n">
        <v>46089</v>
      </c>
      <c r="D301" t="inlineStr">
        <is>
          <t>STOCKHOLMS LÄN</t>
        </is>
      </c>
      <c r="E301" t="inlineStr">
        <is>
          <t>SALEM</t>
        </is>
      </c>
      <c r="G301" t="n">
        <v>2</v>
      </c>
      <c r="H301" t="n">
        <v>1</v>
      </c>
      <c r="I301" t="n">
        <v>0</v>
      </c>
      <c r="J301" t="n">
        <v>1</v>
      </c>
      <c r="K301" t="n">
        <v>0</v>
      </c>
      <c r="L301" t="n">
        <v>0</v>
      </c>
      <c r="M301" t="n">
        <v>0</v>
      </c>
      <c r="N301" t="n">
        <v>0</v>
      </c>
      <c r="O301" t="n">
        <v>1</v>
      </c>
      <c r="P301" t="n">
        <v>0</v>
      </c>
      <c r="Q301" t="n">
        <v>1</v>
      </c>
      <c r="R301" s="2" t="inlineStr">
        <is>
          <t>Spillkråka</t>
        </is>
      </c>
      <c r="S301">
        <f>HYPERLINK("https://klasma.github.io/Logging_0128/artfynd/A 47262-2024 artfynd.xlsx", "A 47262-2024")</f>
        <v/>
      </c>
      <c r="T301">
        <f>HYPERLINK("https://klasma.github.io/Logging_0128/kartor/A 47262-2024 karta.png", "A 47262-2024")</f>
        <v/>
      </c>
      <c r="V301">
        <f>HYPERLINK("https://klasma.github.io/Logging_0128/klagomål/A 47262-2024 FSC-klagomål.docx", "A 47262-2024")</f>
        <v/>
      </c>
      <c r="W301">
        <f>HYPERLINK("https://klasma.github.io/Logging_0128/klagomålsmail/A 47262-2024 FSC-klagomål mail.docx", "A 47262-2024")</f>
        <v/>
      </c>
      <c r="X301">
        <f>HYPERLINK("https://klasma.github.io/Logging_0128/tillsyn/A 47262-2024 tillsynsbegäran.docx", "A 47262-2024")</f>
        <v/>
      </c>
      <c r="Y301">
        <f>HYPERLINK("https://klasma.github.io/Logging_0128/tillsynsmail/A 47262-2024 tillsynsbegäran mail.docx", "A 47262-2024")</f>
        <v/>
      </c>
      <c r="Z301">
        <f>HYPERLINK("https://klasma.github.io/Logging_0128/fåglar/A 47262-2024 prioriterade fågelarter.docx", "A 47262-2024")</f>
        <v/>
      </c>
    </row>
    <row r="302" ht="15" customHeight="1">
      <c r="A302" t="inlineStr">
        <is>
          <t>A 6381-2023</t>
        </is>
      </c>
      <c r="B302" s="1" t="n">
        <v>44965</v>
      </c>
      <c r="C302" s="1" t="n">
        <v>46089</v>
      </c>
      <c r="D302" t="inlineStr">
        <is>
          <t>STOCKHOLMS LÄN</t>
        </is>
      </c>
      <c r="E302" t="inlineStr">
        <is>
          <t>NORRTÄLJE</t>
        </is>
      </c>
      <c r="G302" t="n">
        <v>3.5</v>
      </c>
      <c r="H302" t="n">
        <v>1</v>
      </c>
      <c r="I302" t="n">
        <v>1</v>
      </c>
      <c r="J302" t="n">
        <v>0</v>
      </c>
      <c r="K302" t="n">
        <v>0</v>
      </c>
      <c r="L302" t="n">
        <v>0</v>
      </c>
      <c r="M302" t="n">
        <v>0</v>
      </c>
      <c r="N302" t="n">
        <v>0</v>
      </c>
      <c r="O302" t="n">
        <v>0</v>
      </c>
      <c r="P302" t="n">
        <v>0</v>
      </c>
      <c r="Q302" t="n">
        <v>1</v>
      </c>
      <c r="R302" s="2" t="inlineStr">
        <is>
          <t>Guckusko</t>
        </is>
      </c>
      <c r="S302">
        <f>HYPERLINK("https://klasma.github.io/Logging_0188/artfynd/A 6381-2023 artfynd.xlsx", "A 6381-2023")</f>
        <v/>
      </c>
      <c r="T302">
        <f>HYPERLINK("https://klasma.github.io/Logging_0188/kartor/A 6381-2023 karta.png", "A 6381-2023")</f>
        <v/>
      </c>
      <c r="V302">
        <f>HYPERLINK("https://klasma.github.io/Logging_0188/klagomål/A 6381-2023 FSC-klagomål.docx", "A 6381-2023")</f>
        <v/>
      </c>
      <c r="W302">
        <f>HYPERLINK("https://klasma.github.io/Logging_0188/klagomålsmail/A 6381-2023 FSC-klagomål mail.docx", "A 6381-2023")</f>
        <v/>
      </c>
      <c r="X302">
        <f>HYPERLINK("https://klasma.github.io/Logging_0188/tillsyn/A 6381-2023 tillsynsbegäran.docx", "A 6381-2023")</f>
        <v/>
      </c>
      <c r="Y302">
        <f>HYPERLINK("https://klasma.github.io/Logging_0188/tillsynsmail/A 6381-2023 tillsynsbegäran mail.docx", "A 6381-2023")</f>
        <v/>
      </c>
    </row>
    <row r="303" ht="15" customHeight="1">
      <c r="A303" t="inlineStr">
        <is>
          <t>A 73773-2021</t>
        </is>
      </c>
      <c r="B303" s="1" t="n">
        <v>44552</v>
      </c>
      <c r="C303" s="1" t="n">
        <v>46089</v>
      </c>
      <c r="D303" t="inlineStr">
        <is>
          <t>STOCKHOLMS LÄN</t>
        </is>
      </c>
      <c r="E303" t="inlineStr">
        <is>
          <t>UPPLANDS-BRO</t>
        </is>
      </c>
      <c r="G303" t="n">
        <v>1.9</v>
      </c>
      <c r="H303" t="n">
        <v>1</v>
      </c>
      <c r="I303" t="n">
        <v>0</v>
      </c>
      <c r="J303" t="n">
        <v>0</v>
      </c>
      <c r="K303" t="n">
        <v>0</v>
      </c>
      <c r="L303" t="n">
        <v>0</v>
      </c>
      <c r="M303" t="n">
        <v>0</v>
      </c>
      <c r="N303" t="n">
        <v>0</v>
      </c>
      <c r="O303" t="n">
        <v>0</v>
      </c>
      <c r="P303" t="n">
        <v>0</v>
      </c>
      <c r="Q303" t="n">
        <v>1</v>
      </c>
      <c r="R303" s="2" t="inlineStr">
        <is>
          <t>Kopparödla</t>
        </is>
      </c>
      <c r="S303">
        <f>HYPERLINK("https://klasma.github.io/Logging_0139/artfynd/A 73773-2021 artfynd.xlsx", "A 73773-2021")</f>
        <v/>
      </c>
      <c r="T303">
        <f>HYPERLINK("https://klasma.github.io/Logging_0139/kartor/A 73773-2021 karta.png", "A 73773-2021")</f>
        <v/>
      </c>
      <c r="V303">
        <f>HYPERLINK("https://klasma.github.io/Logging_0139/klagomål/A 73773-2021 FSC-klagomål.docx", "A 73773-2021")</f>
        <v/>
      </c>
      <c r="W303">
        <f>HYPERLINK("https://klasma.github.io/Logging_0139/klagomålsmail/A 73773-2021 FSC-klagomål mail.docx", "A 73773-2021")</f>
        <v/>
      </c>
      <c r="X303">
        <f>HYPERLINK("https://klasma.github.io/Logging_0139/tillsyn/A 73773-2021 tillsynsbegäran.docx", "A 73773-2021")</f>
        <v/>
      </c>
      <c r="Y303">
        <f>HYPERLINK("https://klasma.github.io/Logging_0139/tillsynsmail/A 73773-2021 tillsynsbegäran mail.docx", "A 73773-2021")</f>
        <v/>
      </c>
    </row>
    <row r="304" ht="15" customHeight="1">
      <c r="A304" t="inlineStr">
        <is>
          <t>A 50854-2022</t>
        </is>
      </c>
      <c r="B304" s="1" t="n">
        <v>44863</v>
      </c>
      <c r="C304" s="1" t="n">
        <v>46089</v>
      </c>
      <c r="D304" t="inlineStr">
        <is>
          <t>STOCKHOLMS LÄN</t>
        </is>
      </c>
      <c r="E304" t="inlineStr">
        <is>
          <t>NORRTÄLJE</t>
        </is>
      </c>
      <c r="G304" t="n">
        <v>2.9</v>
      </c>
      <c r="H304" t="n">
        <v>0</v>
      </c>
      <c r="I304" t="n">
        <v>1</v>
      </c>
      <c r="J304" t="n">
        <v>0</v>
      </c>
      <c r="K304" t="n">
        <v>0</v>
      </c>
      <c r="L304" t="n">
        <v>0</v>
      </c>
      <c r="M304" t="n">
        <v>0</v>
      </c>
      <c r="N304" t="n">
        <v>0</v>
      </c>
      <c r="O304" t="n">
        <v>0</v>
      </c>
      <c r="P304" t="n">
        <v>0</v>
      </c>
      <c r="Q304" t="n">
        <v>1</v>
      </c>
      <c r="R304" s="2" t="inlineStr">
        <is>
          <t>Tibast</t>
        </is>
      </c>
      <c r="S304">
        <f>HYPERLINK("https://klasma.github.io/Logging_0188/artfynd/A 50854-2022 artfynd.xlsx", "A 50854-2022")</f>
        <v/>
      </c>
      <c r="T304">
        <f>HYPERLINK("https://klasma.github.io/Logging_0188/kartor/A 50854-2022 karta.png", "A 50854-2022")</f>
        <v/>
      </c>
      <c r="V304">
        <f>HYPERLINK("https://klasma.github.io/Logging_0188/klagomål/A 50854-2022 FSC-klagomål.docx", "A 50854-2022")</f>
        <v/>
      </c>
      <c r="W304">
        <f>HYPERLINK("https://klasma.github.io/Logging_0188/klagomålsmail/A 50854-2022 FSC-klagomål mail.docx", "A 50854-2022")</f>
        <v/>
      </c>
      <c r="X304">
        <f>HYPERLINK("https://klasma.github.io/Logging_0188/tillsyn/A 50854-2022 tillsynsbegäran.docx", "A 50854-2022")</f>
        <v/>
      </c>
      <c r="Y304">
        <f>HYPERLINK("https://klasma.github.io/Logging_0188/tillsynsmail/A 50854-2022 tillsynsbegäran mail.docx", "A 50854-2022")</f>
        <v/>
      </c>
    </row>
    <row r="305" ht="15" customHeight="1">
      <c r="A305" t="inlineStr">
        <is>
          <t>A 64196-2023</t>
        </is>
      </c>
      <c r="B305" s="1" t="n">
        <v>45279</v>
      </c>
      <c r="C305" s="1" t="n">
        <v>46089</v>
      </c>
      <c r="D305" t="inlineStr">
        <is>
          <t>STOCKHOLMS LÄN</t>
        </is>
      </c>
      <c r="E305" t="inlineStr">
        <is>
          <t>NYNÄSHAMN</t>
        </is>
      </c>
      <c r="G305" t="n">
        <v>2.1</v>
      </c>
      <c r="H305" t="n">
        <v>1</v>
      </c>
      <c r="I305" t="n">
        <v>0</v>
      </c>
      <c r="J305" t="n">
        <v>0</v>
      </c>
      <c r="K305" t="n">
        <v>0</v>
      </c>
      <c r="L305" t="n">
        <v>0</v>
      </c>
      <c r="M305" t="n">
        <v>0</v>
      </c>
      <c r="N305" t="n">
        <v>0</v>
      </c>
      <c r="O305" t="n">
        <v>0</v>
      </c>
      <c r="P305" t="n">
        <v>0</v>
      </c>
      <c r="Q305" t="n">
        <v>1</v>
      </c>
      <c r="R305" s="2" t="inlineStr">
        <is>
          <t>Revlummer</t>
        </is>
      </c>
      <c r="S305">
        <f>HYPERLINK("https://klasma.github.io/Logging_0192/artfynd/A 64196-2023 artfynd.xlsx", "A 64196-2023")</f>
        <v/>
      </c>
      <c r="T305">
        <f>HYPERLINK("https://klasma.github.io/Logging_0192/kartor/A 64196-2023 karta.png", "A 64196-2023")</f>
        <v/>
      </c>
      <c r="V305">
        <f>HYPERLINK("https://klasma.github.io/Logging_0192/klagomål/A 64196-2023 FSC-klagomål.docx", "A 64196-2023")</f>
        <v/>
      </c>
      <c r="W305">
        <f>HYPERLINK("https://klasma.github.io/Logging_0192/klagomålsmail/A 64196-2023 FSC-klagomål mail.docx", "A 64196-2023")</f>
        <v/>
      </c>
      <c r="X305">
        <f>HYPERLINK("https://klasma.github.io/Logging_0192/tillsyn/A 64196-2023 tillsynsbegäran.docx", "A 64196-2023")</f>
        <v/>
      </c>
      <c r="Y305">
        <f>HYPERLINK("https://klasma.github.io/Logging_0192/tillsynsmail/A 64196-2023 tillsynsbegäran mail.docx", "A 64196-2023")</f>
        <v/>
      </c>
    </row>
    <row r="306" ht="15" customHeight="1">
      <c r="A306" t="inlineStr">
        <is>
          <t>A 29946-2025</t>
        </is>
      </c>
      <c r="B306" s="1" t="n">
        <v>45826.46392361111</v>
      </c>
      <c r="C306" s="1" t="n">
        <v>46089</v>
      </c>
      <c r="D306" t="inlineStr">
        <is>
          <t>STOCKHOLMS LÄN</t>
        </is>
      </c>
      <c r="E306" t="inlineStr">
        <is>
          <t>NORRTÄLJE</t>
        </is>
      </c>
      <c r="F306" t="inlineStr">
        <is>
          <t>Holmen skog AB</t>
        </is>
      </c>
      <c r="G306" t="n">
        <v>3.6</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29946-2025 artfynd.xlsx", "A 29946-2025")</f>
        <v/>
      </c>
      <c r="T306">
        <f>HYPERLINK("https://klasma.github.io/Logging_0188/kartor/A 29946-2025 karta.png", "A 29946-2025")</f>
        <v/>
      </c>
      <c r="V306">
        <f>HYPERLINK("https://klasma.github.io/Logging_0188/klagomål/A 29946-2025 FSC-klagomål.docx", "A 29946-2025")</f>
        <v/>
      </c>
      <c r="W306">
        <f>HYPERLINK("https://klasma.github.io/Logging_0188/klagomålsmail/A 29946-2025 FSC-klagomål mail.docx", "A 29946-2025")</f>
        <v/>
      </c>
      <c r="X306">
        <f>HYPERLINK("https://klasma.github.io/Logging_0188/tillsyn/A 29946-2025 tillsynsbegäran.docx", "A 29946-2025")</f>
        <v/>
      </c>
      <c r="Y306">
        <f>HYPERLINK("https://klasma.github.io/Logging_0188/tillsynsmail/A 29946-2025 tillsynsbegäran mail.docx", "A 29946-2025")</f>
        <v/>
      </c>
    </row>
    <row r="307" ht="15" customHeight="1">
      <c r="A307" t="inlineStr">
        <is>
          <t>A 37100-2021</t>
        </is>
      </c>
      <c r="B307" s="1" t="n">
        <v>44396</v>
      </c>
      <c r="C307" s="1" t="n">
        <v>46089</v>
      </c>
      <c r="D307" t="inlineStr">
        <is>
          <t>STOCKHOLMS LÄN</t>
        </is>
      </c>
      <c r="E307" t="inlineStr">
        <is>
          <t>NYNÄSHAMN</t>
        </is>
      </c>
      <c r="G307" t="n">
        <v>1.4</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37100-2021 artfynd.xlsx", "A 37100-2021")</f>
        <v/>
      </c>
      <c r="T307">
        <f>HYPERLINK("https://klasma.github.io/Logging_0192/kartor/A 37100-2021 karta.png", "A 37100-2021")</f>
        <v/>
      </c>
      <c r="V307">
        <f>HYPERLINK("https://klasma.github.io/Logging_0192/klagomål/A 37100-2021 FSC-klagomål.docx", "A 37100-2021")</f>
        <v/>
      </c>
      <c r="W307">
        <f>HYPERLINK("https://klasma.github.io/Logging_0192/klagomålsmail/A 37100-2021 FSC-klagomål mail.docx", "A 37100-2021")</f>
        <v/>
      </c>
      <c r="X307">
        <f>HYPERLINK("https://klasma.github.io/Logging_0192/tillsyn/A 37100-2021 tillsynsbegäran.docx", "A 37100-2021")</f>
        <v/>
      </c>
      <c r="Y307">
        <f>HYPERLINK("https://klasma.github.io/Logging_0192/tillsynsmail/A 37100-2021 tillsynsbegäran mail.docx", "A 37100-2021")</f>
        <v/>
      </c>
    </row>
    <row r="308" ht="15" customHeight="1">
      <c r="A308" t="inlineStr">
        <is>
          <t>A 31593-2025</t>
        </is>
      </c>
      <c r="B308" s="1" t="n">
        <v>45833.70085648148</v>
      </c>
      <c r="C308" s="1" t="n">
        <v>46089</v>
      </c>
      <c r="D308" t="inlineStr">
        <is>
          <t>STOCKHOLMS LÄN</t>
        </is>
      </c>
      <c r="E308" t="inlineStr">
        <is>
          <t>VÄRMDÖ</t>
        </is>
      </c>
      <c r="G308" t="n">
        <v>2</v>
      </c>
      <c r="H308" t="n">
        <v>0</v>
      </c>
      <c r="I308" t="n">
        <v>0</v>
      </c>
      <c r="J308" t="n">
        <v>1</v>
      </c>
      <c r="K308" t="n">
        <v>0</v>
      </c>
      <c r="L308" t="n">
        <v>0</v>
      </c>
      <c r="M308" t="n">
        <v>0</v>
      </c>
      <c r="N308" t="n">
        <v>0</v>
      </c>
      <c r="O308" t="n">
        <v>1</v>
      </c>
      <c r="P308" t="n">
        <v>0</v>
      </c>
      <c r="Q308" t="n">
        <v>1</v>
      </c>
      <c r="R308" s="2" t="inlineStr">
        <is>
          <t>Tallticka</t>
        </is>
      </c>
      <c r="S308">
        <f>HYPERLINK("https://klasma.github.io/Logging_0120/artfynd/A 31593-2025 artfynd.xlsx", "A 31593-2025")</f>
        <v/>
      </c>
      <c r="T308">
        <f>HYPERLINK("https://klasma.github.io/Logging_0120/kartor/A 31593-2025 karta.png", "A 31593-2025")</f>
        <v/>
      </c>
      <c r="V308">
        <f>HYPERLINK("https://klasma.github.io/Logging_0120/klagomål/A 31593-2025 FSC-klagomål.docx", "A 31593-2025")</f>
        <v/>
      </c>
      <c r="W308">
        <f>HYPERLINK("https://klasma.github.io/Logging_0120/klagomålsmail/A 31593-2025 FSC-klagomål mail.docx", "A 31593-2025")</f>
        <v/>
      </c>
      <c r="X308">
        <f>HYPERLINK("https://klasma.github.io/Logging_0120/tillsyn/A 31593-2025 tillsynsbegäran.docx", "A 31593-2025")</f>
        <v/>
      </c>
      <c r="Y308">
        <f>HYPERLINK("https://klasma.github.io/Logging_0120/tillsynsmail/A 31593-2025 tillsynsbegäran mail.docx", "A 31593-2025")</f>
        <v/>
      </c>
    </row>
    <row r="309" ht="15" customHeight="1">
      <c r="A309" t="inlineStr">
        <is>
          <t>A 24384-2023</t>
        </is>
      </c>
      <c r="B309" s="1" t="n">
        <v>45076</v>
      </c>
      <c r="C309" s="1" t="n">
        <v>46089</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31716-2025</t>
        </is>
      </c>
      <c r="B310" s="1" t="n">
        <v>45834</v>
      </c>
      <c r="C310" s="1" t="n">
        <v>46089</v>
      </c>
      <c r="D310" t="inlineStr">
        <is>
          <t>STOCKHOLMS LÄN</t>
        </is>
      </c>
      <c r="E310" t="inlineStr">
        <is>
          <t>ÖSTERÅKER</t>
        </is>
      </c>
      <c r="G310" t="n">
        <v>2.8</v>
      </c>
      <c r="H310" t="n">
        <v>1</v>
      </c>
      <c r="I310" t="n">
        <v>0</v>
      </c>
      <c r="J310" t="n">
        <v>0</v>
      </c>
      <c r="K310" t="n">
        <v>0</v>
      </c>
      <c r="L310" t="n">
        <v>0</v>
      </c>
      <c r="M310" t="n">
        <v>0</v>
      </c>
      <c r="N310" t="n">
        <v>0</v>
      </c>
      <c r="O310" t="n">
        <v>0</v>
      </c>
      <c r="P310" t="n">
        <v>0</v>
      </c>
      <c r="Q310" t="n">
        <v>1</v>
      </c>
      <c r="R310" s="2" t="inlineStr">
        <is>
          <t>Revlummer</t>
        </is>
      </c>
      <c r="S310">
        <f>HYPERLINK("https://klasma.github.io/Logging_0117/artfynd/A 31716-2025 artfynd.xlsx", "A 31716-2025")</f>
        <v/>
      </c>
      <c r="T310">
        <f>HYPERLINK("https://klasma.github.io/Logging_0117/kartor/A 31716-2025 karta.png", "A 31716-2025")</f>
        <v/>
      </c>
      <c r="V310">
        <f>HYPERLINK("https://klasma.github.io/Logging_0117/klagomål/A 31716-2025 FSC-klagomål.docx", "A 31716-2025")</f>
        <v/>
      </c>
      <c r="W310">
        <f>HYPERLINK("https://klasma.github.io/Logging_0117/klagomålsmail/A 31716-2025 FSC-klagomål mail.docx", "A 31716-2025")</f>
        <v/>
      </c>
      <c r="X310">
        <f>HYPERLINK("https://klasma.github.io/Logging_0117/tillsyn/A 31716-2025 tillsynsbegäran.docx", "A 31716-2025")</f>
        <v/>
      </c>
      <c r="Y310">
        <f>HYPERLINK("https://klasma.github.io/Logging_0117/tillsynsmail/A 31716-2025 tillsynsbegäran mail.docx", "A 31716-2025")</f>
        <v/>
      </c>
    </row>
    <row r="311" ht="15" customHeight="1">
      <c r="A311" t="inlineStr">
        <is>
          <t>A 10274-2025</t>
        </is>
      </c>
      <c r="B311" s="1" t="n">
        <v>45720.39356481482</v>
      </c>
      <c r="C311" s="1" t="n">
        <v>46089</v>
      </c>
      <c r="D311" t="inlineStr">
        <is>
          <t>STOCKHOLMS LÄN</t>
        </is>
      </c>
      <c r="E311" t="inlineStr">
        <is>
          <t>SÖDERTÄLJE</t>
        </is>
      </c>
      <c r="G311" t="n">
        <v>3.1</v>
      </c>
      <c r="H311" t="n">
        <v>0</v>
      </c>
      <c r="I311" t="n">
        <v>1</v>
      </c>
      <c r="J311" t="n">
        <v>0</v>
      </c>
      <c r="K311" t="n">
        <v>0</v>
      </c>
      <c r="L311" t="n">
        <v>0</v>
      </c>
      <c r="M311" t="n">
        <v>0</v>
      </c>
      <c r="N311" t="n">
        <v>0</v>
      </c>
      <c r="O311" t="n">
        <v>0</v>
      </c>
      <c r="P311" t="n">
        <v>0</v>
      </c>
      <c r="Q311" t="n">
        <v>1</v>
      </c>
      <c r="R311" s="2" t="inlineStr">
        <is>
          <t>Granbarkgnagare</t>
        </is>
      </c>
      <c r="S311">
        <f>HYPERLINK("https://klasma.github.io/Logging_0181/artfynd/A 10274-2025 artfynd.xlsx", "A 10274-2025")</f>
        <v/>
      </c>
      <c r="T311">
        <f>HYPERLINK("https://klasma.github.io/Logging_0181/kartor/A 10274-2025 karta.png", "A 10274-2025")</f>
        <v/>
      </c>
      <c r="V311">
        <f>HYPERLINK("https://klasma.github.io/Logging_0181/klagomål/A 10274-2025 FSC-klagomål.docx", "A 10274-2025")</f>
        <v/>
      </c>
      <c r="W311">
        <f>HYPERLINK("https://klasma.github.io/Logging_0181/klagomålsmail/A 10274-2025 FSC-klagomål mail.docx", "A 10274-2025")</f>
        <v/>
      </c>
      <c r="X311">
        <f>HYPERLINK("https://klasma.github.io/Logging_0181/tillsyn/A 10274-2025 tillsynsbegäran.docx", "A 10274-2025")</f>
        <v/>
      </c>
      <c r="Y311">
        <f>HYPERLINK("https://klasma.github.io/Logging_0181/tillsynsmail/A 10274-2025 tillsynsbegäran mail.docx", "A 10274-2025")</f>
        <v/>
      </c>
    </row>
    <row r="312" ht="15" customHeight="1">
      <c r="A312" t="inlineStr">
        <is>
          <t>A 33411-2025</t>
        </is>
      </c>
      <c r="B312" s="1" t="n">
        <v>45839</v>
      </c>
      <c r="C312" s="1" t="n">
        <v>46089</v>
      </c>
      <c r="D312" t="inlineStr">
        <is>
          <t>STOCKHOLMS LÄN</t>
        </is>
      </c>
      <c r="E312" t="inlineStr">
        <is>
          <t>SALEM</t>
        </is>
      </c>
      <c r="G312" t="n">
        <v>2.8</v>
      </c>
      <c r="H312" t="n">
        <v>1</v>
      </c>
      <c r="I312" t="n">
        <v>0</v>
      </c>
      <c r="J312" t="n">
        <v>1</v>
      </c>
      <c r="K312" t="n">
        <v>0</v>
      </c>
      <c r="L312" t="n">
        <v>0</v>
      </c>
      <c r="M312" t="n">
        <v>0</v>
      </c>
      <c r="N312" t="n">
        <v>0</v>
      </c>
      <c r="O312" t="n">
        <v>1</v>
      </c>
      <c r="P312" t="n">
        <v>0</v>
      </c>
      <c r="Q312" t="n">
        <v>1</v>
      </c>
      <c r="R312" s="2" t="inlineStr">
        <is>
          <t>Spillkråka</t>
        </is>
      </c>
      <c r="S312">
        <f>HYPERLINK("https://klasma.github.io/Logging_0128/artfynd/A 33411-2025 artfynd.xlsx", "A 33411-2025")</f>
        <v/>
      </c>
      <c r="T312">
        <f>HYPERLINK("https://klasma.github.io/Logging_0128/kartor/A 33411-2025 karta.png", "A 33411-2025")</f>
        <v/>
      </c>
      <c r="V312">
        <f>HYPERLINK("https://klasma.github.io/Logging_0128/klagomål/A 33411-2025 FSC-klagomål.docx", "A 33411-2025")</f>
        <v/>
      </c>
      <c r="W312">
        <f>HYPERLINK("https://klasma.github.io/Logging_0128/klagomålsmail/A 33411-2025 FSC-klagomål mail.docx", "A 33411-2025")</f>
        <v/>
      </c>
      <c r="X312">
        <f>HYPERLINK("https://klasma.github.io/Logging_0128/tillsyn/A 33411-2025 tillsynsbegäran.docx", "A 33411-2025")</f>
        <v/>
      </c>
      <c r="Y312">
        <f>HYPERLINK("https://klasma.github.io/Logging_0128/tillsynsmail/A 33411-2025 tillsynsbegäran mail.docx", "A 33411-2025")</f>
        <v/>
      </c>
      <c r="Z312">
        <f>HYPERLINK("https://klasma.github.io/Logging_0128/fåglar/A 33411-2025 prioriterade fågelarter.docx", "A 33411-2025")</f>
        <v/>
      </c>
    </row>
    <row r="313" ht="15" customHeight="1">
      <c r="A313" t="inlineStr">
        <is>
          <t>A 23829-2023</t>
        </is>
      </c>
      <c r="B313" s="1" t="n">
        <v>45078</v>
      </c>
      <c r="C313" s="1" t="n">
        <v>46089</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32951-2025</t>
        </is>
      </c>
      <c r="B314" s="1" t="n">
        <v>45839</v>
      </c>
      <c r="C314" s="1" t="n">
        <v>46089</v>
      </c>
      <c r="D314" t="inlineStr">
        <is>
          <t>STOCKHOLMS LÄN</t>
        </is>
      </c>
      <c r="E314" t="inlineStr">
        <is>
          <t>SALEM</t>
        </is>
      </c>
      <c r="G314" t="n">
        <v>2.6</v>
      </c>
      <c r="H314" t="n">
        <v>0</v>
      </c>
      <c r="I314" t="n">
        <v>0</v>
      </c>
      <c r="J314" t="n">
        <v>1</v>
      </c>
      <c r="K314" t="n">
        <v>0</v>
      </c>
      <c r="L314" t="n">
        <v>0</v>
      </c>
      <c r="M314" t="n">
        <v>0</v>
      </c>
      <c r="N314" t="n">
        <v>0</v>
      </c>
      <c r="O314" t="n">
        <v>1</v>
      </c>
      <c r="P314" t="n">
        <v>0</v>
      </c>
      <c r="Q314" t="n">
        <v>1</v>
      </c>
      <c r="R314" s="2" t="inlineStr">
        <is>
          <t>Etternässla</t>
        </is>
      </c>
      <c r="S314">
        <f>HYPERLINK("https://klasma.github.io/Logging_0128/artfynd/A 32951-2025 artfynd.xlsx", "A 32951-2025")</f>
        <v/>
      </c>
      <c r="T314">
        <f>HYPERLINK("https://klasma.github.io/Logging_0128/kartor/A 32951-2025 karta.png", "A 32951-2025")</f>
        <v/>
      </c>
      <c r="V314">
        <f>HYPERLINK("https://klasma.github.io/Logging_0128/klagomål/A 32951-2025 FSC-klagomål.docx", "A 32951-2025")</f>
        <v/>
      </c>
      <c r="W314">
        <f>HYPERLINK("https://klasma.github.io/Logging_0128/klagomålsmail/A 32951-2025 FSC-klagomål mail.docx", "A 32951-2025")</f>
        <v/>
      </c>
      <c r="X314">
        <f>HYPERLINK("https://klasma.github.io/Logging_0128/tillsyn/A 32951-2025 tillsynsbegäran.docx", "A 32951-2025")</f>
        <v/>
      </c>
      <c r="Y314">
        <f>HYPERLINK("https://klasma.github.io/Logging_0128/tillsynsmail/A 32951-2025 tillsynsbegäran mail.docx", "A 32951-2025")</f>
        <v/>
      </c>
    </row>
    <row r="315" ht="15" customHeight="1">
      <c r="A315" t="inlineStr">
        <is>
          <t>A 26120-2024</t>
        </is>
      </c>
      <c r="B315" s="1" t="n">
        <v>45468.45995370371</v>
      </c>
      <c r="C315" s="1" t="n">
        <v>46089</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364-2026</t>
        </is>
      </c>
      <c r="B316" s="1" t="n">
        <v>46027.67134259259</v>
      </c>
      <c r="C316" s="1" t="n">
        <v>46089</v>
      </c>
      <c r="D316" t="inlineStr">
        <is>
          <t>STOCKHOLMS LÄN</t>
        </is>
      </c>
      <c r="E316" t="inlineStr">
        <is>
          <t>NORRTÄLJE</t>
        </is>
      </c>
      <c r="F316" t="inlineStr">
        <is>
          <t>Holmen skog AB</t>
        </is>
      </c>
      <c r="G316" t="n">
        <v>4.3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364-2026 artfynd.xlsx", "A 364-2026")</f>
        <v/>
      </c>
      <c r="T316">
        <f>HYPERLINK("https://klasma.github.io/Logging_0188/kartor/A 364-2026 karta.png", "A 364-2026")</f>
        <v/>
      </c>
      <c r="V316">
        <f>HYPERLINK("https://klasma.github.io/Logging_0188/klagomål/A 364-2026 FSC-klagomål.docx", "A 364-2026")</f>
        <v/>
      </c>
      <c r="W316">
        <f>HYPERLINK("https://klasma.github.io/Logging_0188/klagomålsmail/A 364-2026 FSC-klagomål mail.docx", "A 364-2026")</f>
        <v/>
      </c>
      <c r="X316">
        <f>HYPERLINK("https://klasma.github.io/Logging_0188/tillsyn/A 364-2026 tillsynsbegäran.docx", "A 364-2026")</f>
        <v/>
      </c>
      <c r="Y316">
        <f>HYPERLINK("https://klasma.github.io/Logging_0188/tillsynsmail/A 364-2026 tillsynsbegäran mail.docx", "A 364-2026")</f>
        <v/>
      </c>
    </row>
    <row r="317" ht="15" customHeight="1">
      <c r="A317" t="inlineStr">
        <is>
          <t>A 51189-2022</t>
        </is>
      </c>
      <c r="B317" s="1" t="n">
        <v>44865</v>
      </c>
      <c r="C317" s="1" t="n">
        <v>46089</v>
      </c>
      <c r="D317" t="inlineStr">
        <is>
          <t>STOCKHOLMS LÄN</t>
        </is>
      </c>
      <c r="E317" t="inlineStr">
        <is>
          <t>SIGTUNA</t>
        </is>
      </c>
      <c r="G317" t="n">
        <v>32.8</v>
      </c>
      <c r="H317" t="n">
        <v>0</v>
      </c>
      <c r="I317" t="n">
        <v>0</v>
      </c>
      <c r="J317" t="n">
        <v>1</v>
      </c>
      <c r="K317" t="n">
        <v>0</v>
      </c>
      <c r="L317" t="n">
        <v>0</v>
      </c>
      <c r="M317" t="n">
        <v>0</v>
      </c>
      <c r="N317" t="n">
        <v>0</v>
      </c>
      <c r="O317" t="n">
        <v>1</v>
      </c>
      <c r="P317" t="n">
        <v>0</v>
      </c>
      <c r="Q317" t="n">
        <v>1</v>
      </c>
      <c r="R317" s="2" t="inlineStr">
        <is>
          <t>Vedskivlav</t>
        </is>
      </c>
      <c r="S317">
        <f>HYPERLINK("https://klasma.github.io/Logging_0191/artfynd/A 51189-2022 artfynd.xlsx", "A 51189-2022")</f>
        <v/>
      </c>
      <c r="T317">
        <f>HYPERLINK("https://klasma.github.io/Logging_0191/kartor/A 51189-2022 karta.png", "A 51189-2022")</f>
        <v/>
      </c>
      <c r="V317">
        <f>HYPERLINK("https://klasma.github.io/Logging_0191/klagomål/A 51189-2022 FSC-klagomål.docx", "A 51189-2022")</f>
        <v/>
      </c>
      <c r="W317">
        <f>HYPERLINK("https://klasma.github.io/Logging_0191/klagomålsmail/A 51189-2022 FSC-klagomål mail.docx", "A 51189-2022")</f>
        <v/>
      </c>
      <c r="X317">
        <f>HYPERLINK("https://klasma.github.io/Logging_0191/tillsyn/A 51189-2022 tillsynsbegäran.docx", "A 51189-2022")</f>
        <v/>
      </c>
      <c r="Y317">
        <f>HYPERLINK("https://klasma.github.io/Logging_0191/tillsynsmail/A 51189-2022 tillsynsbegäran mail.docx", "A 51189-2022")</f>
        <v/>
      </c>
    </row>
    <row r="318" ht="15" customHeight="1">
      <c r="A318" t="inlineStr">
        <is>
          <t>A 33546-2025</t>
        </is>
      </c>
      <c r="B318" s="1" t="n">
        <v>45841.56996527778</v>
      </c>
      <c r="C318" s="1" t="n">
        <v>46089</v>
      </c>
      <c r="D318" t="inlineStr">
        <is>
          <t>STOCKHOLMS LÄN</t>
        </is>
      </c>
      <c r="E318" t="inlineStr">
        <is>
          <t>NORRTÄLJE</t>
        </is>
      </c>
      <c r="G318" t="n">
        <v>7.2</v>
      </c>
      <c r="H318" t="n">
        <v>1</v>
      </c>
      <c r="I318" t="n">
        <v>1</v>
      </c>
      <c r="J318" t="n">
        <v>0</v>
      </c>
      <c r="K318" t="n">
        <v>0</v>
      </c>
      <c r="L318" t="n">
        <v>0</v>
      </c>
      <c r="M318" t="n">
        <v>0</v>
      </c>
      <c r="N318" t="n">
        <v>0</v>
      </c>
      <c r="O318" t="n">
        <v>0</v>
      </c>
      <c r="P318" t="n">
        <v>0</v>
      </c>
      <c r="Q318" t="n">
        <v>1</v>
      </c>
      <c r="R318" s="2" t="inlineStr">
        <is>
          <t>Nästrot</t>
        </is>
      </c>
      <c r="S318">
        <f>HYPERLINK("https://klasma.github.io/Logging_0188/artfynd/A 33546-2025 artfynd.xlsx", "A 33546-2025")</f>
        <v/>
      </c>
      <c r="T318">
        <f>HYPERLINK("https://klasma.github.io/Logging_0188/kartor/A 33546-2025 karta.png", "A 33546-2025")</f>
        <v/>
      </c>
      <c r="V318">
        <f>HYPERLINK("https://klasma.github.io/Logging_0188/klagomål/A 33546-2025 FSC-klagomål.docx", "A 33546-2025")</f>
        <v/>
      </c>
      <c r="W318">
        <f>HYPERLINK("https://klasma.github.io/Logging_0188/klagomålsmail/A 33546-2025 FSC-klagomål mail.docx", "A 33546-2025")</f>
        <v/>
      </c>
      <c r="X318">
        <f>HYPERLINK("https://klasma.github.io/Logging_0188/tillsyn/A 33546-2025 tillsynsbegäran.docx", "A 33546-2025")</f>
        <v/>
      </c>
      <c r="Y318">
        <f>HYPERLINK("https://klasma.github.io/Logging_0188/tillsynsmail/A 33546-2025 tillsynsbegäran mail.docx", "A 33546-2025")</f>
        <v/>
      </c>
    </row>
    <row r="319" ht="15" customHeight="1">
      <c r="A319" t="inlineStr">
        <is>
          <t>A 13291-2025</t>
        </is>
      </c>
      <c r="B319" s="1" t="n">
        <v>45735</v>
      </c>
      <c r="C319" s="1" t="n">
        <v>46089</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39158-2025</t>
        </is>
      </c>
      <c r="B320" s="1" t="n">
        <v>45888</v>
      </c>
      <c r="C320" s="1" t="n">
        <v>46089</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46089</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33801-2025</t>
        </is>
      </c>
      <c r="B322" s="1" t="n">
        <v>45842</v>
      </c>
      <c r="C322" s="1" t="n">
        <v>46089</v>
      </c>
      <c r="D322" t="inlineStr">
        <is>
          <t>STOCKHOLMS LÄN</t>
        </is>
      </c>
      <c r="E322" t="inlineStr">
        <is>
          <t>BOTKYRKA</t>
        </is>
      </c>
      <c r="G322" t="n">
        <v>1.3</v>
      </c>
      <c r="H322" t="n">
        <v>0</v>
      </c>
      <c r="I322" t="n">
        <v>1</v>
      </c>
      <c r="J322" t="n">
        <v>0</v>
      </c>
      <c r="K322" t="n">
        <v>0</v>
      </c>
      <c r="L322" t="n">
        <v>0</v>
      </c>
      <c r="M322" t="n">
        <v>0</v>
      </c>
      <c r="N322" t="n">
        <v>0</v>
      </c>
      <c r="O322" t="n">
        <v>0</v>
      </c>
      <c r="P322" t="n">
        <v>0</v>
      </c>
      <c r="Q322" t="n">
        <v>1</v>
      </c>
      <c r="R322" s="2" t="inlineStr">
        <is>
          <t>Strutbräken</t>
        </is>
      </c>
      <c r="S322">
        <f>HYPERLINK("https://klasma.github.io/Logging_0127/artfynd/A 33801-2025 artfynd.xlsx", "A 33801-2025")</f>
        <v/>
      </c>
      <c r="T322">
        <f>HYPERLINK("https://klasma.github.io/Logging_0127/kartor/A 33801-2025 karta.png", "A 33801-2025")</f>
        <v/>
      </c>
      <c r="V322">
        <f>HYPERLINK("https://klasma.github.io/Logging_0127/klagomål/A 33801-2025 FSC-klagomål.docx", "A 33801-2025")</f>
        <v/>
      </c>
      <c r="W322">
        <f>HYPERLINK("https://klasma.github.io/Logging_0127/klagomålsmail/A 33801-2025 FSC-klagomål mail.docx", "A 33801-2025")</f>
        <v/>
      </c>
      <c r="X322">
        <f>HYPERLINK("https://klasma.github.io/Logging_0127/tillsyn/A 33801-2025 tillsynsbegäran.docx", "A 33801-2025")</f>
        <v/>
      </c>
      <c r="Y322">
        <f>HYPERLINK("https://klasma.github.io/Logging_0127/tillsynsmail/A 33801-2025 tillsynsbegäran mail.docx", "A 33801-2025")</f>
        <v/>
      </c>
    </row>
    <row r="323" ht="15" customHeight="1">
      <c r="A323" t="inlineStr">
        <is>
          <t>A 24262-2023</t>
        </is>
      </c>
      <c r="B323" s="1" t="n">
        <v>45076</v>
      </c>
      <c r="C323" s="1" t="n">
        <v>46089</v>
      </c>
      <c r="D323" t="inlineStr">
        <is>
          <t>STOCKHOLMS LÄN</t>
        </is>
      </c>
      <c r="E323" t="inlineStr">
        <is>
          <t>HUDDINGE</t>
        </is>
      </c>
      <c r="G323" t="n">
        <v>2.5</v>
      </c>
      <c r="H323" t="n">
        <v>0</v>
      </c>
      <c r="I323" t="n">
        <v>1</v>
      </c>
      <c r="J323" t="n">
        <v>0</v>
      </c>
      <c r="K323" t="n">
        <v>0</v>
      </c>
      <c r="L323" t="n">
        <v>0</v>
      </c>
      <c r="M323" t="n">
        <v>0</v>
      </c>
      <c r="N323" t="n">
        <v>0</v>
      </c>
      <c r="O323" t="n">
        <v>0</v>
      </c>
      <c r="P323" t="n">
        <v>0</v>
      </c>
      <c r="Q323" t="n">
        <v>1</v>
      </c>
      <c r="R323" s="2" t="inlineStr">
        <is>
          <t>Tibast</t>
        </is>
      </c>
      <c r="S323">
        <f>HYPERLINK("https://klasma.github.io/Logging_0126/artfynd/A 24262-2023 artfynd.xlsx", "A 24262-2023")</f>
        <v/>
      </c>
      <c r="T323">
        <f>HYPERLINK("https://klasma.github.io/Logging_0126/kartor/A 24262-2023 karta.png", "A 24262-2023")</f>
        <v/>
      </c>
      <c r="V323">
        <f>HYPERLINK("https://klasma.github.io/Logging_0126/klagomål/A 24262-2023 FSC-klagomål.docx", "A 24262-2023")</f>
        <v/>
      </c>
      <c r="W323">
        <f>HYPERLINK("https://klasma.github.io/Logging_0126/klagomålsmail/A 24262-2023 FSC-klagomål mail.docx", "A 24262-2023")</f>
        <v/>
      </c>
      <c r="X323">
        <f>HYPERLINK("https://klasma.github.io/Logging_0126/tillsyn/A 24262-2023 tillsynsbegäran.docx", "A 24262-2023")</f>
        <v/>
      </c>
      <c r="Y323">
        <f>HYPERLINK("https://klasma.github.io/Logging_0126/tillsynsmail/A 24262-2023 tillsynsbegäran mail.docx", "A 24262-2023")</f>
        <v/>
      </c>
    </row>
    <row r="324" ht="15" customHeight="1">
      <c r="A324" t="inlineStr">
        <is>
          <t>A 31142-2023</t>
        </is>
      </c>
      <c r="B324" s="1" t="n">
        <v>45113</v>
      </c>
      <c r="C324" s="1" t="n">
        <v>46089</v>
      </c>
      <c r="D324" t="inlineStr">
        <is>
          <t>STOCKHOLMS LÄN</t>
        </is>
      </c>
      <c r="E324" t="inlineStr">
        <is>
          <t>NYNÄSHAMN</t>
        </is>
      </c>
      <c r="G324" t="n">
        <v>5.7</v>
      </c>
      <c r="H324" t="n">
        <v>0</v>
      </c>
      <c r="I324" t="n">
        <v>0</v>
      </c>
      <c r="J324" t="n">
        <v>0</v>
      </c>
      <c r="K324" t="n">
        <v>0</v>
      </c>
      <c r="L324" t="n">
        <v>1</v>
      </c>
      <c r="M324" t="n">
        <v>0</v>
      </c>
      <c r="N324" t="n">
        <v>0</v>
      </c>
      <c r="O324" t="n">
        <v>1</v>
      </c>
      <c r="P324" t="n">
        <v>1</v>
      </c>
      <c r="Q324" t="n">
        <v>1</v>
      </c>
      <c r="R324" s="2" t="inlineStr">
        <is>
          <t>Ask</t>
        </is>
      </c>
      <c r="S324">
        <f>HYPERLINK("https://klasma.github.io/Logging_0192/artfynd/A 31142-2023 artfynd.xlsx", "A 31142-2023")</f>
        <v/>
      </c>
      <c r="T324">
        <f>HYPERLINK("https://klasma.github.io/Logging_0192/kartor/A 31142-2023 karta.png", "A 31142-2023")</f>
        <v/>
      </c>
      <c r="V324">
        <f>HYPERLINK("https://klasma.github.io/Logging_0192/klagomål/A 31142-2023 FSC-klagomål.docx", "A 31142-2023")</f>
        <v/>
      </c>
      <c r="W324">
        <f>HYPERLINK("https://klasma.github.io/Logging_0192/klagomålsmail/A 31142-2023 FSC-klagomål mail.docx", "A 31142-2023")</f>
        <v/>
      </c>
      <c r="X324">
        <f>HYPERLINK("https://klasma.github.io/Logging_0192/tillsyn/A 31142-2023 tillsynsbegäran.docx", "A 31142-2023")</f>
        <v/>
      </c>
      <c r="Y324">
        <f>HYPERLINK("https://klasma.github.io/Logging_0192/tillsynsmail/A 31142-2023 tillsynsbegäran mail.docx", "A 31142-2023")</f>
        <v/>
      </c>
    </row>
    <row r="325" ht="15" customHeight="1">
      <c r="A325" t="inlineStr">
        <is>
          <t>A 64456-2023</t>
        </is>
      </c>
      <c r="B325" s="1" t="n">
        <v>45280</v>
      </c>
      <c r="C325" s="1" t="n">
        <v>46089</v>
      </c>
      <c r="D325" t="inlineStr">
        <is>
          <t>STOCKHOLMS LÄN</t>
        </is>
      </c>
      <c r="E325" t="inlineStr">
        <is>
          <t>NORRTÄLJE</t>
        </is>
      </c>
      <c r="G325" t="n">
        <v>2.5</v>
      </c>
      <c r="H325" t="n">
        <v>0</v>
      </c>
      <c r="I325" t="n">
        <v>1</v>
      </c>
      <c r="J325" t="n">
        <v>0</v>
      </c>
      <c r="K325" t="n">
        <v>0</v>
      </c>
      <c r="L325" t="n">
        <v>0</v>
      </c>
      <c r="M325" t="n">
        <v>0</v>
      </c>
      <c r="N325" t="n">
        <v>0</v>
      </c>
      <c r="O325" t="n">
        <v>0</v>
      </c>
      <c r="P325" t="n">
        <v>0</v>
      </c>
      <c r="Q325" t="n">
        <v>1</v>
      </c>
      <c r="R325" s="2" t="inlineStr">
        <is>
          <t>Rödgul trumpetsvamp</t>
        </is>
      </c>
      <c r="S325">
        <f>HYPERLINK("https://klasma.github.io/Logging_0188/artfynd/A 64456-2023 artfynd.xlsx", "A 64456-2023")</f>
        <v/>
      </c>
      <c r="T325">
        <f>HYPERLINK("https://klasma.github.io/Logging_0188/kartor/A 64456-2023 karta.png", "A 64456-2023")</f>
        <v/>
      </c>
      <c r="V325">
        <f>HYPERLINK("https://klasma.github.io/Logging_0188/klagomål/A 64456-2023 FSC-klagomål.docx", "A 64456-2023")</f>
        <v/>
      </c>
      <c r="W325">
        <f>HYPERLINK("https://klasma.github.io/Logging_0188/klagomålsmail/A 64456-2023 FSC-klagomål mail.docx", "A 64456-2023")</f>
        <v/>
      </c>
      <c r="X325">
        <f>HYPERLINK("https://klasma.github.io/Logging_0188/tillsyn/A 64456-2023 tillsynsbegäran.docx", "A 64456-2023")</f>
        <v/>
      </c>
      <c r="Y325">
        <f>HYPERLINK("https://klasma.github.io/Logging_0188/tillsynsmail/A 64456-2023 tillsynsbegäran mail.docx", "A 64456-2023")</f>
        <v/>
      </c>
    </row>
    <row r="326" ht="15" customHeight="1">
      <c r="A326" t="inlineStr">
        <is>
          <t>A 49128-2025</t>
        </is>
      </c>
      <c r="B326" s="1" t="n">
        <v>45937.8944675926</v>
      </c>
      <c r="C326" s="1" t="n">
        <v>46089</v>
      </c>
      <c r="D326" t="inlineStr">
        <is>
          <t>STOCKHOLMS LÄN</t>
        </is>
      </c>
      <c r="E326" t="inlineStr">
        <is>
          <t>EKERÖ</t>
        </is>
      </c>
      <c r="G326" t="n">
        <v>3.6</v>
      </c>
      <c r="H326" t="n">
        <v>0</v>
      </c>
      <c r="I326" t="n">
        <v>1</v>
      </c>
      <c r="J326" t="n">
        <v>0</v>
      </c>
      <c r="K326" t="n">
        <v>0</v>
      </c>
      <c r="L326" t="n">
        <v>0</v>
      </c>
      <c r="M326" t="n">
        <v>0</v>
      </c>
      <c r="N326" t="n">
        <v>0</v>
      </c>
      <c r="O326" t="n">
        <v>0</v>
      </c>
      <c r="P326" t="n">
        <v>0</v>
      </c>
      <c r="Q326" t="n">
        <v>1</v>
      </c>
      <c r="R326" s="2" t="inlineStr">
        <is>
          <t>Rödgul trumpetsvamp</t>
        </is>
      </c>
      <c r="S326">
        <f>HYPERLINK("https://klasma.github.io/Logging_0125/artfynd/A 49128-2025 artfynd.xlsx", "A 49128-2025")</f>
        <v/>
      </c>
      <c r="T326">
        <f>HYPERLINK("https://klasma.github.io/Logging_0125/kartor/A 49128-2025 karta.png", "A 49128-2025")</f>
        <v/>
      </c>
      <c r="V326">
        <f>HYPERLINK("https://klasma.github.io/Logging_0125/klagomål/A 49128-2025 FSC-klagomål.docx", "A 49128-2025")</f>
        <v/>
      </c>
      <c r="W326">
        <f>HYPERLINK("https://klasma.github.io/Logging_0125/klagomålsmail/A 49128-2025 FSC-klagomål mail.docx", "A 49128-2025")</f>
        <v/>
      </c>
      <c r="X326">
        <f>HYPERLINK("https://klasma.github.io/Logging_0125/tillsyn/A 49128-2025 tillsynsbegäran.docx", "A 49128-2025")</f>
        <v/>
      </c>
      <c r="Y326">
        <f>HYPERLINK("https://klasma.github.io/Logging_0125/tillsynsmail/A 49128-2025 tillsynsbegäran mail.docx", "A 49128-2025")</f>
        <v/>
      </c>
    </row>
    <row r="327" ht="15" customHeight="1">
      <c r="A327" t="inlineStr">
        <is>
          <t>A 491-2026</t>
        </is>
      </c>
      <c r="B327" s="1" t="n">
        <v>46029.42581018519</v>
      </c>
      <c r="C327" s="1" t="n">
        <v>46089</v>
      </c>
      <c r="D327" t="inlineStr">
        <is>
          <t>STOCKHOLMS LÄN</t>
        </is>
      </c>
      <c r="E327" t="inlineStr">
        <is>
          <t>HUDDINGE</t>
        </is>
      </c>
      <c r="G327" t="n">
        <v>3.2</v>
      </c>
      <c r="H327" t="n">
        <v>1</v>
      </c>
      <c r="I327" t="n">
        <v>0</v>
      </c>
      <c r="J327" t="n">
        <v>0</v>
      </c>
      <c r="K327" t="n">
        <v>0</v>
      </c>
      <c r="L327" t="n">
        <v>0</v>
      </c>
      <c r="M327" t="n">
        <v>0</v>
      </c>
      <c r="N327" t="n">
        <v>0</v>
      </c>
      <c r="O327" t="n">
        <v>0</v>
      </c>
      <c r="P327" t="n">
        <v>0</v>
      </c>
      <c r="Q327" t="n">
        <v>1</v>
      </c>
      <c r="R327" s="2" t="inlineStr">
        <is>
          <t>Blåsippa</t>
        </is>
      </c>
      <c r="S327">
        <f>HYPERLINK("https://klasma.github.io/Logging_0126/artfynd/A 491-2026 artfynd.xlsx", "A 491-2026")</f>
        <v/>
      </c>
      <c r="T327">
        <f>HYPERLINK("https://klasma.github.io/Logging_0126/kartor/A 491-2026 karta.png", "A 491-2026")</f>
        <v/>
      </c>
      <c r="V327">
        <f>HYPERLINK("https://klasma.github.io/Logging_0126/klagomål/A 491-2026 FSC-klagomål.docx", "A 491-2026")</f>
        <v/>
      </c>
      <c r="W327">
        <f>HYPERLINK("https://klasma.github.io/Logging_0126/klagomålsmail/A 491-2026 FSC-klagomål mail.docx", "A 491-2026")</f>
        <v/>
      </c>
      <c r="X327">
        <f>HYPERLINK("https://klasma.github.io/Logging_0126/tillsyn/A 491-2026 tillsynsbegäran.docx", "A 491-2026")</f>
        <v/>
      </c>
      <c r="Y327">
        <f>HYPERLINK("https://klasma.github.io/Logging_0126/tillsynsmail/A 491-2026 tillsynsbegäran mail.docx", "A 491-2026")</f>
        <v/>
      </c>
    </row>
    <row r="328" ht="15" customHeight="1">
      <c r="A328" t="inlineStr">
        <is>
          <t>A 9205-2026</t>
        </is>
      </c>
      <c r="B328" s="1" t="n">
        <v>46070.41689814815</v>
      </c>
      <c r="C328" s="1" t="n">
        <v>46089</v>
      </c>
      <c r="D328" t="inlineStr">
        <is>
          <t>STOCKHOLMS LÄN</t>
        </is>
      </c>
      <c r="E328" t="inlineStr">
        <is>
          <t>SÖDERTÄLJE</t>
        </is>
      </c>
      <c r="G328" t="n">
        <v>6</v>
      </c>
      <c r="H328" t="n">
        <v>0</v>
      </c>
      <c r="I328" t="n">
        <v>1</v>
      </c>
      <c r="J328" t="n">
        <v>0</v>
      </c>
      <c r="K328" t="n">
        <v>0</v>
      </c>
      <c r="L328" t="n">
        <v>0</v>
      </c>
      <c r="M328" t="n">
        <v>0</v>
      </c>
      <c r="N328" t="n">
        <v>0</v>
      </c>
      <c r="O328" t="n">
        <v>0</v>
      </c>
      <c r="P328" t="n">
        <v>0</v>
      </c>
      <c r="Q328" t="n">
        <v>1</v>
      </c>
      <c r="R328" s="2" t="inlineStr">
        <is>
          <t>Gullgröppa</t>
        </is>
      </c>
      <c r="S328">
        <f>HYPERLINK("https://klasma.github.io/Logging_0181/artfynd/A 9205-2026 artfynd.xlsx", "A 9205-2026")</f>
        <v/>
      </c>
      <c r="T328">
        <f>HYPERLINK("https://klasma.github.io/Logging_0181/kartor/A 9205-2026 karta.png", "A 9205-2026")</f>
        <v/>
      </c>
      <c r="V328">
        <f>HYPERLINK("https://klasma.github.io/Logging_0181/klagomål/A 9205-2026 FSC-klagomål.docx", "A 9205-2026")</f>
        <v/>
      </c>
      <c r="W328">
        <f>HYPERLINK("https://klasma.github.io/Logging_0181/klagomålsmail/A 9205-2026 FSC-klagomål mail.docx", "A 9205-2026")</f>
        <v/>
      </c>
      <c r="X328">
        <f>HYPERLINK("https://klasma.github.io/Logging_0181/tillsyn/A 9205-2026 tillsynsbegäran.docx", "A 9205-2026")</f>
        <v/>
      </c>
      <c r="Y328">
        <f>HYPERLINK("https://klasma.github.io/Logging_0181/tillsynsmail/A 9205-2026 tillsynsbegäran mail.docx", "A 9205-2026")</f>
        <v/>
      </c>
    </row>
    <row r="329" ht="15" customHeight="1">
      <c r="A329" t="inlineStr">
        <is>
          <t>A 36505-2025</t>
        </is>
      </c>
      <c r="B329" s="1" t="n">
        <v>45869.57192129629</v>
      </c>
      <c r="C329" s="1" t="n">
        <v>46089</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7890-2023</t>
        </is>
      </c>
      <c r="B330" s="1" t="n">
        <v>44973</v>
      </c>
      <c r="C330" s="1" t="n">
        <v>46089</v>
      </c>
      <c r="D330" t="inlineStr">
        <is>
          <t>STOCKHOLMS LÄN</t>
        </is>
      </c>
      <c r="E330" t="inlineStr">
        <is>
          <t>VALLENTUNA</t>
        </is>
      </c>
      <c r="G330" t="n">
        <v>0.5</v>
      </c>
      <c r="H330" t="n">
        <v>0</v>
      </c>
      <c r="I330" t="n">
        <v>0</v>
      </c>
      <c r="J330" t="n">
        <v>1</v>
      </c>
      <c r="K330" t="n">
        <v>0</v>
      </c>
      <c r="L330" t="n">
        <v>0</v>
      </c>
      <c r="M330" t="n">
        <v>0</v>
      </c>
      <c r="N330" t="n">
        <v>0</v>
      </c>
      <c r="O330" t="n">
        <v>1</v>
      </c>
      <c r="P330" t="n">
        <v>0</v>
      </c>
      <c r="Q330" t="n">
        <v>1</v>
      </c>
      <c r="R330" s="2" t="inlineStr">
        <is>
          <t>Ullticka</t>
        </is>
      </c>
      <c r="S330">
        <f>HYPERLINK("https://klasma.github.io/Logging_0115/artfynd/A 7890-2023 artfynd.xlsx", "A 7890-2023")</f>
        <v/>
      </c>
      <c r="T330">
        <f>HYPERLINK("https://klasma.github.io/Logging_0115/kartor/A 7890-2023 karta.png", "A 7890-2023")</f>
        <v/>
      </c>
      <c r="V330">
        <f>HYPERLINK("https://klasma.github.io/Logging_0115/klagomål/A 7890-2023 FSC-klagomål.docx", "A 7890-2023")</f>
        <v/>
      </c>
      <c r="W330">
        <f>HYPERLINK("https://klasma.github.io/Logging_0115/klagomålsmail/A 7890-2023 FSC-klagomål mail.docx", "A 7890-2023")</f>
        <v/>
      </c>
      <c r="X330">
        <f>HYPERLINK("https://klasma.github.io/Logging_0115/tillsyn/A 7890-2023 tillsynsbegäran.docx", "A 7890-2023")</f>
        <v/>
      </c>
      <c r="Y330">
        <f>HYPERLINK("https://klasma.github.io/Logging_0115/tillsynsmail/A 7890-2023 tillsynsbegäran mail.docx", "A 7890-2023")</f>
        <v/>
      </c>
    </row>
    <row r="331" ht="15" customHeight="1">
      <c r="A331" t="inlineStr">
        <is>
          <t>A 35155-2023</t>
        </is>
      </c>
      <c r="B331" s="1" t="n">
        <v>45145</v>
      </c>
      <c r="C331" s="1" t="n">
        <v>46089</v>
      </c>
      <c r="D331" t="inlineStr">
        <is>
          <t>STOCKHOLMS LÄN</t>
        </is>
      </c>
      <c r="E331" t="inlineStr">
        <is>
          <t>SÖDERTÄLJE</t>
        </is>
      </c>
      <c r="G331" t="n">
        <v>4.1</v>
      </c>
      <c r="H331" t="n">
        <v>1</v>
      </c>
      <c r="I331" t="n">
        <v>0</v>
      </c>
      <c r="J331" t="n">
        <v>0</v>
      </c>
      <c r="K331" t="n">
        <v>0</v>
      </c>
      <c r="L331" t="n">
        <v>0</v>
      </c>
      <c r="M331" t="n">
        <v>0</v>
      </c>
      <c r="N331" t="n">
        <v>0</v>
      </c>
      <c r="O331" t="n">
        <v>0</v>
      </c>
      <c r="P331" t="n">
        <v>0</v>
      </c>
      <c r="Q331" t="n">
        <v>1</v>
      </c>
      <c r="R331" s="2" t="inlineStr">
        <is>
          <t>Mattlummer</t>
        </is>
      </c>
      <c r="S331">
        <f>HYPERLINK("https://klasma.github.io/Logging_0181/artfynd/A 35155-2023 artfynd.xlsx", "A 35155-2023")</f>
        <v/>
      </c>
      <c r="T331">
        <f>HYPERLINK("https://klasma.github.io/Logging_0181/kartor/A 35155-2023 karta.png", "A 35155-2023")</f>
        <v/>
      </c>
      <c r="V331">
        <f>HYPERLINK("https://klasma.github.io/Logging_0181/klagomål/A 35155-2023 FSC-klagomål.docx", "A 35155-2023")</f>
        <v/>
      </c>
      <c r="W331">
        <f>HYPERLINK("https://klasma.github.io/Logging_0181/klagomålsmail/A 35155-2023 FSC-klagomål mail.docx", "A 35155-2023")</f>
        <v/>
      </c>
      <c r="X331">
        <f>HYPERLINK("https://klasma.github.io/Logging_0181/tillsyn/A 35155-2023 tillsynsbegäran.docx", "A 35155-2023")</f>
        <v/>
      </c>
      <c r="Y331">
        <f>HYPERLINK("https://klasma.github.io/Logging_0181/tillsynsmail/A 35155-2023 tillsynsbegäran mail.docx", "A 35155-2023")</f>
        <v/>
      </c>
    </row>
    <row r="332" ht="15" customHeight="1">
      <c r="A332" t="inlineStr">
        <is>
          <t>A 10059-2022</t>
        </is>
      </c>
      <c r="B332" s="1" t="n">
        <v>44621</v>
      </c>
      <c r="C332" s="1" t="n">
        <v>46089</v>
      </c>
      <c r="D332" t="inlineStr">
        <is>
          <t>STOCKHOLMS LÄN</t>
        </is>
      </c>
      <c r="E332" t="inlineStr">
        <is>
          <t>NYNÄSHAMN</t>
        </is>
      </c>
      <c r="G332" t="n">
        <v>17</v>
      </c>
      <c r="H332" t="n">
        <v>0</v>
      </c>
      <c r="I332" t="n">
        <v>1</v>
      </c>
      <c r="J332" t="n">
        <v>0</v>
      </c>
      <c r="K332" t="n">
        <v>0</v>
      </c>
      <c r="L332" t="n">
        <v>0</v>
      </c>
      <c r="M332" t="n">
        <v>0</v>
      </c>
      <c r="N332" t="n">
        <v>0</v>
      </c>
      <c r="O332" t="n">
        <v>0</v>
      </c>
      <c r="P332" t="n">
        <v>0</v>
      </c>
      <c r="Q332" t="n">
        <v>1</v>
      </c>
      <c r="R332" s="2" t="inlineStr">
        <is>
          <t>Bollvitmossa</t>
        </is>
      </c>
      <c r="S332">
        <f>HYPERLINK("https://klasma.github.io/Logging_0192/artfynd/A 10059-2022 artfynd.xlsx", "A 10059-2022")</f>
        <v/>
      </c>
      <c r="T332">
        <f>HYPERLINK("https://klasma.github.io/Logging_0192/kartor/A 10059-2022 karta.png", "A 10059-2022")</f>
        <v/>
      </c>
      <c r="V332">
        <f>HYPERLINK("https://klasma.github.io/Logging_0192/klagomål/A 10059-2022 FSC-klagomål.docx", "A 10059-2022")</f>
        <v/>
      </c>
      <c r="W332">
        <f>HYPERLINK("https://klasma.github.io/Logging_0192/klagomålsmail/A 10059-2022 FSC-klagomål mail.docx", "A 10059-2022")</f>
        <v/>
      </c>
      <c r="X332">
        <f>HYPERLINK("https://klasma.github.io/Logging_0192/tillsyn/A 10059-2022 tillsynsbegäran.docx", "A 10059-2022")</f>
        <v/>
      </c>
      <c r="Y332">
        <f>HYPERLINK("https://klasma.github.io/Logging_0192/tillsynsmail/A 10059-2022 tillsynsbegäran mail.docx", "A 10059-2022")</f>
        <v/>
      </c>
    </row>
    <row r="333" ht="15" customHeight="1">
      <c r="A333" t="inlineStr">
        <is>
          <t>A 52791-2024</t>
        </is>
      </c>
      <c r="B333" s="1" t="n">
        <v>45610.55574074074</v>
      </c>
      <c r="C333" s="1" t="n">
        <v>46089</v>
      </c>
      <c r="D333" t="inlineStr">
        <is>
          <t>STOCKHOLMS LÄN</t>
        </is>
      </c>
      <c r="E333" t="inlineStr">
        <is>
          <t>SÖDERTÄLJE</t>
        </is>
      </c>
      <c r="G333" t="n">
        <v>0.7</v>
      </c>
      <c r="H333" t="n">
        <v>1</v>
      </c>
      <c r="I333" t="n">
        <v>0</v>
      </c>
      <c r="J333" t="n">
        <v>1</v>
      </c>
      <c r="K333" t="n">
        <v>0</v>
      </c>
      <c r="L333" t="n">
        <v>0</v>
      </c>
      <c r="M333" t="n">
        <v>0</v>
      </c>
      <c r="N333" t="n">
        <v>0</v>
      </c>
      <c r="O333" t="n">
        <v>1</v>
      </c>
      <c r="P333" t="n">
        <v>0</v>
      </c>
      <c r="Q333" t="n">
        <v>1</v>
      </c>
      <c r="R333" s="2" t="inlineStr">
        <is>
          <t>Spillkråka</t>
        </is>
      </c>
      <c r="S333">
        <f>HYPERLINK("https://klasma.github.io/Logging_0181/artfynd/A 52791-2024 artfynd.xlsx", "A 52791-2024")</f>
        <v/>
      </c>
      <c r="T333">
        <f>HYPERLINK("https://klasma.github.io/Logging_0181/kartor/A 52791-2024 karta.png", "A 52791-2024")</f>
        <v/>
      </c>
      <c r="U333">
        <f>HYPERLINK("https://klasma.github.io/Logging_0181/knärot/A 52791-2024 karta knärot.png", "A 52791-2024")</f>
        <v/>
      </c>
      <c r="V333">
        <f>HYPERLINK("https://klasma.github.io/Logging_0181/klagomål/A 52791-2024 FSC-klagomål.docx", "A 52791-2024")</f>
        <v/>
      </c>
      <c r="W333">
        <f>HYPERLINK("https://klasma.github.io/Logging_0181/klagomålsmail/A 52791-2024 FSC-klagomål mail.docx", "A 52791-2024")</f>
        <v/>
      </c>
      <c r="X333">
        <f>HYPERLINK("https://klasma.github.io/Logging_0181/tillsyn/A 52791-2024 tillsynsbegäran.docx", "A 52791-2024")</f>
        <v/>
      </c>
      <c r="Y333">
        <f>HYPERLINK("https://klasma.github.io/Logging_0181/tillsynsmail/A 52791-2024 tillsynsbegäran mail.docx", "A 52791-2024")</f>
        <v/>
      </c>
      <c r="Z333">
        <f>HYPERLINK("https://klasma.github.io/Logging_0181/fåglar/A 52791-2024 prioriterade fågelarter.docx", "A 52791-2024")</f>
        <v/>
      </c>
    </row>
    <row r="334" ht="15" customHeight="1">
      <c r="A334" t="inlineStr">
        <is>
          <t>A 8371-2025</t>
        </is>
      </c>
      <c r="B334" s="1" t="n">
        <v>45708</v>
      </c>
      <c r="C334" s="1" t="n">
        <v>46089</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22830-2024</t>
        </is>
      </c>
      <c r="B335" s="1" t="n">
        <v>45448.56583333333</v>
      </c>
      <c r="C335" s="1" t="n">
        <v>46089</v>
      </c>
      <c r="D335" t="inlineStr">
        <is>
          <t>STOCKHOLMS LÄN</t>
        </is>
      </c>
      <c r="E335" t="inlineStr">
        <is>
          <t>VALLENTUNA</t>
        </is>
      </c>
      <c r="G335" t="n">
        <v>0.3</v>
      </c>
      <c r="H335" t="n">
        <v>0</v>
      </c>
      <c r="I335" t="n">
        <v>0</v>
      </c>
      <c r="J335" t="n">
        <v>1</v>
      </c>
      <c r="K335" t="n">
        <v>0</v>
      </c>
      <c r="L335" t="n">
        <v>0</v>
      </c>
      <c r="M335" t="n">
        <v>0</v>
      </c>
      <c r="N335" t="n">
        <v>0</v>
      </c>
      <c r="O335" t="n">
        <v>1</v>
      </c>
      <c r="P335" t="n">
        <v>0</v>
      </c>
      <c r="Q335" t="n">
        <v>1</v>
      </c>
      <c r="R335" s="2" t="inlineStr">
        <is>
          <t>Tallticka</t>
        </is>
      </c>
      <c r="S335">
        <f>HYPERLINK("https://klasma.github.io/Logging_0115/artfynd/A 22830-2024 artfynd.xlsx", "A 22830-2024")</f>
        <v/>
      </c>
      <c r="T335">
        <f>HYPERLINK("https://klasma.github.io/Logging_0115/kartor/A 22830-2024 karta.png", "A 22830-2024")</f>
        <v/>
      </c>
      <c r="V335">
        <f>HYPERLINK("https://klasma.github.io/Logging_0115/klagomål/A 22830-2024 FSC-klagomål.docx", "A 22830-2024")</f>
        <v/>
      </c>
      <c r="W335">
        <f>HYPERLINK("https://klasma.github.io/Logging_0115/klagomålsmail/A 22830-2024 FSC-klagomål mail.docx", "A 22830-2024")</f>
        <v/>
      </c>
      <c r="X335">
        <f>HYPERLINK("https://klasma.github.io/Logging_0115/tillsyn/A 22830-2024 tillsynsbegäran.docx", "A 22830-2024")</f>
        <v/>
      </c>
      <c r="Y335">
        <f>HYPERLINK("https://klasma.github.io/Logging_0115/tillsynsmail/A 22830-2024 tillsynsbegäran mail.docx", "A 22830-2024")</f>
        <v/>
      </c>
    </row>
    <row r="336" ht="15" customHeight="1">
      <c r="A336" t="inlineStr">
        <is>
          <t>A 24330-2023</t>
        </is>
      </c>
      <c r="B336" s="1" t="n">
        <v>45081</v>
      </c>
      <c r="C336" s="1" t="n">
        <v>46089</v>
      </c>
      <c r="D336" t="inlineStr">
        <is>
          <t>STOCKHOLMS LÄN</t>
        </is>
      </c>
      <c r="E336" t="inlineStr">
        <is>
          <t>NORRTÄLJE</t>
        </is>
      </c>
      <c r="G336" t="n">
        <v>5</v>
      </c>
      <c r="H336" t="n">
        <v>1</v>
      </c>
      <c r="I336" t="n">
        <v>0</v>
      </c>
      <c r="J336" t="n">
        <v>1</v>
      </c>
      <c r="K336" t="n">
        <v>0</v>
      </c>
      <c r="L336" t="n">
        <v>0</v>
      </c>
      <c r="M336" t="n">
        <v>0</v>
      </c>
      <c r="N336" t="n">
        <v>0</v>
      </c>
      <c r="O336" t="n">
        <v>1</v>
      </c>
      <c r="P336" t="n">
        <v>0</v>
      </c>
      <c r="Q336" t="n">
        <v>1</v>
      </c>
      <c r="R336" s="2" t="inlineStr">
        <is>
          <t>Mindre hackspett</t>
        </is>
      </c>
      <c r="S336">
        <f>HYPERLINK("https://klasma.github.io/Logging_0188/artfynd/A 24330-2023 artfynd.xlsx", "A 24330-2023")</f>
        <v/>
      </c>
      <c r="T336">
        <f>HYPERLINK("https://klasma.github.io/Logging_0188/kartor/A 24330-2023 karta.png", "A 24330-2023")</f>
        <v/>
      </c>
      <c r="V336">
        <f>HYPERLINK("https://klasma.github.io/Logging_0188/klagomål/A 24330-2023 FSC-klagomål.docx", "A 24330-2023")</f>
        <v/>
      </c>
      <c r="W336">
        <f>HYPERLINK("https://klasma.github.io/Logging_0188/klagomålsmail/A 24330-2023 FSC-klagomål mail.docx", "A 24330-2023")</f>
        <v/>
      </c>
      <c r="X336">
        <f>HYPERLINK("https://klasma.github.io/Logging_0188/tillsyn/A 24330-2023 tillsynsbegäran.docx", "A 24330-2023")</f>
        <v/>
      </c>
      <c r="Y336">
        <f>HYPERLINK("https://klasma.github.io/Logging_0188/tillsynsmail/A 24330-2023 tillsynsbegäran mail.docx", "A 24330-2023")</f>
        <v/>
      </c>
      <c r="Z336">
        <f>HYPERLINK("https://klasma.github.io/Logging_0188/fåglar/A 24330-2023 prioriterade fågelarter.docx", "A 24330-2023")</f>
        <v/>
      </c>
    </row>
    <row r="337" ht="15" customHeight="1">
      <c r="A337" t="inlineStr">
        <is>
          <t>A 24368-2023</t>
        </is>
      </c>
      <c r="B337" s="1" t="n">
        <v>45076</v>
      </c>
      <c r="C337" s="1" t="n">
        <v>46089</v>
      </c>
      <c r="D337" t="inlineStr">
        <is>
          <t>STOCKHOLMS LÄN</t>
        </is>
      </c>
      <c r="E337" t="inlineStr">
        <is>
          <t>HUDDINGE</t>
        </is>
      </c>
      <c r="G337" t="n">
        <v>3</v>
      </c>
      <c r="H337" t="n">
        <v>1</v>
      </c>
      <c r="I337" t="n">
        <v>1</v>
      </c>
      <c r="J337" t="n">
        <v>0</v>
      </c>
      <c r="K337" t="n">
        <v>0</v>
      </c>
      <c r="L337" t="n">
        <v>0</v>
      </c>
      <c r="M337" t="n">
        <v>0</v>
      </c>
      <c r="N337" t="n">
        <v>0</v>
      </c>
      <c r="O337" t="n">
        <v>0</v>
      </c>
      <c r="P337" t="n">
        <v>0</v>
      </c>
      <c r="Q337" t="n">
        <v>1</v>
      </c>
      <c r="R337" s="2" t="inlineStr">
        <is>
          <t>Plattlummer</t>
        </is>
      </c>
      <c r="S337">
        <f>HYPERLINK("https://klasma.github.io/Logging_0126/artfynd/A 24368-2023 artfynd.xlsx", "A 24368-2023")</f>
        <v/>
      </c>
      <c r="T337">
        <f>HYPERLINK("https://klasma.github.io/Logging_0126/kartor/A 24368-2023 karta.png", "A 24368-2023")</f>
        <v/>
      </c>
      <c r="V337">
        <f>HYPERLINK("https://klasma.github.io/Logging_0126/klagomål/A 24368-2023 FSC-klagomål.docx", "A 24368-2023")</f>
        <v/>
      </c>
      <c r="W337">
        <f>HYPERLINK("https://klasma.github.io/Logging_0126/klagomålsmail/A 24368-2023 FSC-klagomål mail.docx", "A 24368-2023")</f>
        <v/>
      </c>
      <c r="X337">
        <f>HYPERLINK("https://klasma.github.io/Logging_0126/tillsyn/A 24368-2023 tillsynsbegäran.docx", "A 24368-2023")</f>
        <v/>
      </c>
      <c r="Y337">
        <f>HYPERLINK("https://klasma.github.io/Logging_0126/tillsynsmail/A 24368-2023 tillsynsbegäran mail.docx", "A 24368-2023")</f>
        <v/>
      </c>
    </row>
    <row r="338" ht="15" customHeight="1">
      <c r="A338" t="inlineStr">
        <is>
          <t>A 21744-2023</t>
        </is>
      </c>
      <c r="B338" s="1" t="n">
        <v>45065</v>
      </c>
      <c r="C338" s="1" t="n">
        <v>46089</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52775-2025</t>
        </is>
      </c>
      <c r="B339" s="1" t="n">
        <v>45957.41608796296</v>
      </c>
      <c r="C339" s="1" t="n">
        <v>46089</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53357-2025</t>
        </is>
      </c>
      <c r="B340" s="1" t="n">
        <v>45959.46942129629</v>
      </c>
      <c r="C340" s="1" t="n">
        <v>46089</v>
      </c>
      <c r="D340" t="inlineStr">
        <is>
          <t>STOCKHOLMS LÄN</t>
        </is>
      </c>
      <c r="E340" t="inlineStr">
        <is>
          <t>UPPLANDS-BRO</t>
        </is>
      </c>
      <c r="G340" t="n">
        <v>2.4</v>
      </c>
      <c r="H340" t="n">
        <v>1</v>
      </c>
      <c r="I340" t="n">
        <v>0</v>
      </c>
      <c r="J340" t="n">
        <v>0</v>
      </c>
      <c r="K340" t="n">
        <v>1</v>
      </c>
      <c r="L340" t="n">
        <v>0</v>
      </c>
      <c r="M340" t="n">
        <v>0</v>
      </c>
      <c r="N340" t="n">
        <v>0</v>
      </c>
      <c r="O340" t="n">
        <v>1</v>
      </c>
      <c r="P340" t="n">
        <v>1</v>
      </c>
      <c r="Q340" t="n">
        <v>1</v>
      </c>
      <c r="R340" s="2" t="inlineStr">
        <is>
          <t>Bombmurkla</t>
        </is>
      </c>
      <c r="S340">
        <f>HYPERLINK("https://klasma.github.io/Logging_0139/artfynd/A 53357-2025 artfynd.xlsx", "A 53357-2025")</f>
        <v/>
      </c>
      <c r="T340">
        <f>HYPERLINK("https://klasma.github.io/Logging_0139/kartor/A 53357-2025 karta.png", "A 53357-2025")</f>
        <v/>
      </c>
      <c r="V340">
        <f>HYPERLINK("https://klasma.github.io/Logging_0139/klagomål/A 53357-2025 FSC-klagomål.docx", "A 53357-2025")</f>
        <v/>
      </c>
      <c r="W340">
        <f>HYPERLINK("https://klasma.github.io/Logging_0139/klagomålsmail/A 53357-2025 FSC-klagomål mail.docx", "A 53357-2025")</f>
        <v/>
      </c>
      <c r="X340">
        <f>HYPERLINK("https://klasma.github.io/Logging_0139/tillsyn/A 53357-2025 tillsynsbegäran.docx", "A 53357-2025")</f>
        <v/>
      </c>
      <c r="Y340">
        <f>HYPERLINK("https://klasma.github.io/Logging_0139/tillsynsmail/A 53357-2025 tillsynsbegäran mail.docx", "A 53357-2025")</f>
        <v/>
      </c>
    </row>
    <row r="341" ht="15" customHeight="1">
      <c r="A341" t="inlineStr">
        <is>
          <t>A 53716-2025</t>
        </is>
      </c>
      <c r="B341" s="1" t="n">
        <v>45960.61782407408</v>
      </c>
      <c r="C341" s="1" t="n">
        <v>46089</v>
      </c>
      <c r="D341" t="inlineStr">
        <is>
          <t>STOCKHOLMS LÄN</t>
        </is>
      </c>
      <c r="E341" t="inlineStr">
        <is>
          <t>NORRTÄLJE</t>
        </is>
      </c>
      <c r="G341" t="n">
        <v>3.4</v>
      </c>
      <c r="H341" t="n">
        <v>0</v>
      </c>
      <c r="I341" t="n">
        <v>0</v>
      </c>
      <c r="J341" t="n">
        <v>0</v>
      </c>
      <c r="K341" t="n">
        <v>0</v>
      </c>
      <c r="L341" t="n">
        <v>1</v>
      </c>
      <c r="M341" t="n">
        <v>0</v>
      </c>
      <c r="N341" t="n">
        <v>0</v>
      </c>
      <c r="O341" t="n">
        <v>1</v>
      </c>
      <c r="P341" t="n">
        <v>1</v>
      </c>
      <c r="Q341" t="n">
        <v>1</v>
      </c>
      <c r="R341" s="2" t="inlineStr">
        <is>
          <t>Fältgentiana</t>
        </is>
      </c>
      <c r="S341">
        <f>HYPERLINK("https://klasma.github.io/Logging_0188/artfynd/A 53716-2025 artfynd.xlsx", "A 53716-2025")</f>
        <v/>
      </c>
      <c r="T341">
        <f>HYPERLINK("https://klasma.github.io/Logging_0188/kartor/A 53716-2025 karta.png", "A 53716-2025")</f>
        <v/>
      </c>
      <c r="V341">
        <f>HYPERLINK("https://klasma.github.io/Logging_0188/klagomål/A 53716-2025 FSC-klagomål.docx", "A 53716-2025")</f>
        <v/>
      </c>
      <c r="W341">
        <f>HYPERLINK("https://klasma.github.io/Logging_0188/klagomålsmail/A 53716-2025 FSC-klagomål mail.docx", "A 53716-2025")</f>
        <v/>
      </c>
      <c r="X341">
        <f>HYPERLINK("https://klasma.github.io/Logging_0188/tillsyn/A 53716-2025 tillsynsbegäran.docx", "A 53716-2025")</f>
        <v/>
      </c>
      <c r="Y341">
        <f>HYPERLINK("https://klasma.github.io/Logging_0188/tillsynsmail/A 53716-2025 tillsynsbegäran mail.docx", "A 53716-2025")</f>
        <v/>
      </c>
    </row>
    <row r="342" ht="15" customHeight="1">
      <c r="A342" t="inlineStr">
        <is>
          <t>A 38968-2025</t>
        </is>
      </c>
      <c r="B342" s="1" t="n">
        <v>45887.70863425926</v>
      </c>
      <c r="C342" s="1" t="n">
        <v>46089</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54481-2025</t>
        </is>
      </c>
      <c r="B343" s="1" t="n">
        <v>45965.58837962963</v>
      </c>
      <c r="C343" s="1" t="n">
        <v>46089</v>
      </c>
      <c r="D343" t="inlineStr">
        <is>
          <t>STOCKHOLMS LÄN</t>
        </is>
      </c>
      <c r="E343" t="inlineStr">
        <is>
          <t>VALLENTUNA</t>
        </is>
      </c>
      <c r="G343" t="n">
        <v>1.4</v>
      </c>
      <c r="H343" t="n">
        <v>0</v>
      </c>
      <c r="I343" t="n">
        <v>0</v>
      </c>
      <c r="J343" t="n">
        <v>1</v>
      </c>
      <c r="K343" t="n">
        <v>0</v>
      </c>
      <c r="L343" t="n">
        <v>0</v>
      </c>
      <c r="M343" t="n">
        <v>0</v>
      </c>
      <c r="N343" t="n">
        <v>0</v>
      </c>
      <c r="O343" t="n">
        <v>1</v>
      </c>
      <c r="P343" t="n">
        <v>0</v>
      </c>
      <c r="Q343" t="n">
        <v>1</v>
      </c>
      <c r="R343" s="2" t="inlineStr">
        <is>
          <t>Gullklöver</t>
        </is>
      </c>
      <c r="S343">
        <f>HYPERLINK("https://klasma.github.io/Logging_0115/artfynd/A 54481-2025 artfynd.xlsx", "A 54481-2025")</f>
        <v/>
      </c>
      <c r="T343">
        <f>HYPERLINK("https://klasma.github.io/Logging_0115/kartor/A 54481-2025 karta.png", "A 54481-2025")</f>
        <v/>
      </c>
      <c r="V343">
        <f>HYPERLINK("https://klasma.github.io/Logging_0115/klagomål/A 54481-2025 FSC-klagomål.docx", "A 54481-2025")</f>
        <v/>
      </c>
      <c r="W343">
        <f>HYPERLINK("https://klasma.github.io/Logging_0115/klagomålsmail/A 54481-2025 FSC-klagomål mail.docx", "A 54481-2025")</f>
        <v/>
      </c>
      <c r="X343">
        <f>HYPERLINK("https://klasma.github.io/Logging_0115/tillsyn/A 54481-2025 tillsynsbegäran.docx", "A 54481-2025")</f>
        <v/>
      </c>
      <c r="Y343">
        <f>HYPERLINK("https://klasma.github.io/Logging_0115/tillsynsmail/A 54481-2025 tillsynsbegäran mail.docx", "A 54481-2025")</f>
        <v/>
      </c>
    </row>
    <row r="344" ht="15" customHeight="1">
      <c r="A344" t="inlineStr">
        <is>
          <t>A 16870-2025</t>
        </is>
      </c>
      <c r="B344" s="1" t="n">
        <v>45754</v>
      </c>
      <c r="C344" s="1" t="n">
        <v>46089</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55044-2025</t>
        </is>
      </c>
      <c r="B345" s="1" t="n">
        <v>45967.66005787037</v>
      </c>
      <c r="C345" s="1" t="n">
        <v>46089</v>
      </c>
      <c r="D345" t="inlineStr">
        <is>
          <t>STOCKHOLMS LÄN</t>
        </is>
      </c>
      <c r="E345" t="inlineStr">
        <is>
          <t>SÖDERTÄLJE</t>
        </is>
      </c>
      <c r="G345" t="n">
        <v>3.8</v>
      </c>
      <c r="H345" t="n">
        <v>1</v>
      </c>
      <c r="I345" t="n">
        <v>0</v>
      </c>
      <c r="J345" t="n">
        <v>1</v>
      </c>
      <c r="K345" t="n">
        <v>0</v>
      </c>
      <c r="L345" t="n">
        <v>0</v>
      </c>
      <c r="M345" t="n">
        <v>0</v>
      </c>
      <c r="N345" t="n">
        <v>0</v>
      </c>
      <c r="O345" t="n">
        <v>1</v>
      </c>
      <c r="P345" t="n">
        <v>0</v>
      </c>
      <c r="Q345" t="n">
        <v>1</v>
      </c>
      <c r="R345" s="2" t="inlineStr">
        <is>
          <t>Spillkråka</t>
        </is>
      </c>
      <c r="S345">
        <f>HYPERLINK("https://klasma.github.io/Logging_0181/artfynd/A 55044-2025 artfynd.xlsx", "A 55044-2025")</f>
        <v/>
      </c>
      <c r="T345">
        <f>HYPERLINK("https://klasma.github.io/Logging_0181/kartor/A 55044-2025 karta.png", "A 55044-2025")</f>
        <v/>
      </c>
      <c r="V345">
        <f>HYPERLINK("https://klasma.github.io/Logging_0181/klagomål/A 55044-2025 FSC-klagomål.docx", "A 55044-2025")</f>
        <v/>
      </c>
      <c r="W345">
        <f>HYPERLINK("https://klasma.github.io/Logging_0181/klagomålsmail/A 55044-2025 FSC-klagomål mail.docx", "A 55044-2025")</f>
        <v/>
      </c>
      <c r="X345">
        <f>HYPERLINK("https://klasma.github.io/Logging_0181/tillsyn/A 55044-2025 tillsynsbegäran.docx", "A 55044-2025")</f>
        <v/>
      </c>
      <c r="Y345">
        <f>HYPERLINK("https://klasma.github.io/Logging_0181/tillsynsmail/A 55044-2025 tillsynsbegäran mail.docx", "A 55044-2025")</f>
        <v/>
      </c>
      <c r="Z345">
        <f>HYPERLINK("https://klasma.github.io/Logging_0181/fåglar/A 55044-2025 prioriterade fågelarter.docx", "A 55044-2025")</f>
        <v/>
      </c>
    </row>
    <row r="346" ht="15" customHeight="1">
      <c r="A346" t="inlineStr">
        <is>
          <t>A 52611-2024</t>
        </is>
      </c>
      <c r="B346" s="1" t="n">
        <v>45609.83747685186</v>
      </c>
      <c r="C346" s="1" t="n">
        <v>46089</v>
      </c>
      <c r="D346" t="inlineStr">
        <is>
          <t>STOCKHOLMS LÄN</t>
        </is>
      </c>
      <c r="E346" t="inlineStr">
        <is>
          <t>NORRTÄLJE</t>
        </is>
      </c>
      <c r="G346" t="n">
        <v>10.6</v>
      </c>
      <c r="H346" t="n">
        <v>1</v>
      </c>
      <c r="I346" t="n">
        <v>0</v>
      </c>
      <c r="J346" t="n">
        <v>0</v>
      </c>
      <c r="K346" t="n">
        <v>0</v>
      </c>
      <c r="L346" t="n">
        <v>0</v>
      </c>
      <c r="M346" t="n">
        <v>0</v>
      </c>
      <c r="N346" t="n">
        <v>0</v>
      </c>
      <c r="O346" t="n">
        <v>0</v>
      </c>
      <c r="P346" t="n">
        <v>0</v>
      </c>
      <c r="Q346" t="n">
        <v>1</v>
      </c>
      <c r="R346" s="2" t="inlineStr">
        <is>
          <t>Blåsippa</t>
        </is>
      </c>
      <c r="S346">
        <f>HYPERLINK("https://klasma.github.io/Logging_0188/artfynd/A 52611-2024 artfynd.xlsx", "A 52611-2024")</f>
        <v/>
      </c>
      <c r="T346">
        <f>HYPERLINK("https://klasma.github.io/Logging_0188/kartor/A 52611-2024 karta.png", "A 52611-2024")</f>
        <v/>
      </c>
      <c r="V346">
        <f>HYPERLINK("https://klasma.github.io/Logging_0188/klagomål/A 52611-2024 FSC-klagomål.docx", "A 52611-2024")</f>
        <v/>
      </c>
      <c r="W346">
        <f>HYPERLINK("https://klasma.github.io/Logging_0188/klagomålsmail/A 52611-2024 FSC-klagomål mail.docx", "A 52611-2024")</f>
        <v/>
      </c>
      <c r="X346">
        <f>HYPERLINK("https://klasma.github.io/Logging_0188/tillsyn/A 52611-2024 tillsynsbegäran.docx", "A 52611-2024")</f>
        <v/>
      </c>
      <c r="Y346">
        <f>HYPERLINK("https://klasma.github.io/Logging_0188/tillsynsmail/A 52611-2024 tillsynsbegäran mail.docx", "A 52611-2024")</f>
        <v/>
      </c>
    </row>
    <row r="347" ht="15" customHeight="1">
      <c r="A347" t="inlineStr">
        <is>
          <t>A 2409-2026</t>
        </is>
      </c>
      <c r="B347" s="1" t="n">
        <v>46034</v>
      </c>
      <c r="C347" s="1" t="n">
        <v>46089</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35013-2024</t>
        </is>
      </c>
      <c r="B348" s="1" t="n">
        <v>45527</v>
      </c>
      <c r="C348" s="1" t="n">
        <v>46089</v>
      </c>
      <c r="D348" t="inlineStr">
        <is>
          <t>STOCKHOLMS LÄN</t>
        </is>
      </c>
      <c r="E348" t="inlineStr">
        <is>
          <t>SÖDERTÄLJE</t>
        </is>
      </c>
      <c r="F348" t="inlineStr">
        <is>
          <t>Sveaskog</t>
        </is>
      </c>
      <c r="G348" t="n">
        <v>5.8</v>
      </c>
      <c r="H348" t="n">
        <v>0</v>
      </c>
      <c r="I348" t="n">
        <v>1</v>
      </c>
      <c r="J348" t="n">
        <v>0</v>
      </c>
      <c r="K348" t="n">
        <v>0</v>
      </c>
      <c r="L348" t="n">
        <v>0</v>
      </c>
      <c r="M348" t="n">
        <v>0</v>
      </c>
      <c r="N348" t="n">
        <v>0</v>
      </c>
      <c r="O348" t="n">
        <v>0</v>
      </c>
      <c r="P348" t="n">
        <v>0</v>
      </c>
      <c r="Q348" t="n">
        <v>1</v>
      </c>
      <c r="R348" s="2" t="inlineStr">
        <is>
          <t>Platt fjädermossa</t>
        </is>
      </c>
      <c r="S348">
        <f>HYPERLINK("https://klasma.github.io/Logging_0181/artfynd/A 35013-2024 artfynd.xlsx", "A 35013-2024")</f>
        <v/>
      </c>
      <c r="T348">
        <f>HYPERLINK("https://klasma.github.io/Logging_0181/kartor/A 35013-2024 karta.png", "A 35013-2024")</f>
        <v/>
      </c>
      <c r="V348">
        <f>HYPERLINK("https://klasma.github.io/Logging_0181/klagomål/A 35013-2024 FSC-klagomål.docx", "A 35013-2024")</f>
        <v/>
      </c>
      <c r="W348">
        <f>HYPERLINK("https://klasma.github.io/Logging_0181/klagomålsmail/A 35013-2024 FSC-klagomål mail.docx", "A 35013-2024")</f>
        <v/>
      </c>
      <c r="X348">
        <f>HYPERLINK("https://klasma.github.io/Logging_0181/tillsyn/A 35013-2024 tillsynsbegäran.docx", "A 35013-2024")</f>
        <v/>
      </c>
      <c r="Y348">
        <f>HYPERLINK("https://klasma.github.io/Logging_0181/tillsynsmail/A 35013-2024 tillsynsbegäran mail.docx", "A 35013-2024")</f>
        <v/>
      </c>
    </row>
    <row r="349" ht="15" customHeight="1">
      <c r="A349" t="inlineStr">
        <is>
          <t>A 2423-2026</t>
        </is>
      </c>
      <c r="B349" s="1" t="n">
        <v>46034</v>
      </c>
      <c r="C349" s="1" t="n">
        <v>46089</v>
      </c>
      <c r="D349" t="inlineStr">
        <is>
          <t>STOCKHOLMS LÄN</t>
        </is>
      </c>
      <c r="E349" t="inlineStr">
        <is>
          <t>NYKVARN</t>
        </is>
      </c>
      <c r="G349" t="n">
        <v>11.8</v>
      </c>
      <c r="H349" t="n">
        <v>1</v>
      </c>
      <c r="I349" t="n">
        <v>0</v>
      </c>
      <c r="J349" t="n">
        <v>0</v>
      </c>
      <c r="K349" t="n">
        <v>1</v>
      </c>
      <c r="L349" t="n">
        <v>0</v>
      </c>
      <c r="M349" t="n">
        <v>0</v>
      </c>
      <c r="N349" t="n">
        <v>0</v>
      </c>
      <c r="O349" t="n">
        <v>1</v>
      </c>
      <c r="P349" t="n">
        <v>1</v>
      </c>
      <c r="Q349" t="n">
        <v>1</v>
      </c>
      <c r="R349" s="2" t="inlineStr">
        <is>
          <t>Knärot</t>
        </is>
      </c>
      <c r="S349">
        <f>HYPERLINK("https://klasma.github.io/Logging_0140/artfynd/A 2423-2026 artfynd.xlsx", "A 2423-2026")</f>
        <v/>
      </c>
      <c r="T349">
        <f>HYPERLINK("https://klasma.github.io/Logging_0140/kartor/A 2423-2026 karta.png", "A 2423-2026")</f>
        <v/>
      </c>
      <c r="U349">
        <f>HYPERLINK("https://klasma.github.io/Logging_0140/knärot/A 2423-2026 karta knärot.png", "A 2423-2026")</f>
        <v/>
      </c>
      <c r="V349">
        <f>HYPERLINK("https://klasma.github.io/Logging_0140/klagomål/A 2423-2026 FSC-klagomål.docx", "A 2423-2026")</f>
        <v/>
      </c>
      <c r="W349">
        <f>HYPERLINK("https://klasma.github.io/Logging_0140/klagomålsmail/A 2423-2026 FSC-klagomål mail.docx", "A 2423-2026")</f>
        <v/>
      </c>
      <c r="X349">
        <f>HYPERLINK("https://klasma.github.io/Logging_0140/tillsyn/A 2423-2026 tillsynsbegäran.docx", "A 2423-2026")</f>
        <v/>
      </c>
      <c r="Y349">
        <f>HYPERLINK("https://klasma.github.io/Logging_0140/tillsynsmail/A 2423-2026 tillsynsbegäran mail.docx", "A 2423-2026")</f>
        <v/>
      </c>
    </row>
    <row r="350" ht="15" customHeight="1">
      <c r="A350" t="inlineStr">
        <is>
          <t>A 23099-2024</t>
        </is>
      </c>
      <c r="B350" s="1" t="n">
        <v>45450</v>
      </c>
      <c r="C350" s="1" t="n">
        <v>46089</v>
      </c>
      <c r="D350" t="inlineStr">
        <is>
          <t>STOCKHOLMS LÄN</t>
        </is>
      </c>
      <c r="E350" t="inlineStr">
        <is>
          <t>UPPLANDS-BRO</t>
        </is>
      </c>
      <c r="F350" t="inlineStr">
        <is>
          <t>Övriga statliga verk och myndigheter</t>
        </is>
      </c>
      <c r="G350" t="n">
        <v>0.7</v>
      </c>
      <c r="H350" t="n">
        <v>0</v>
      </c>
      <c r="I350" t="n">
        <v>0</v>
      </c>
      <c r="J350" t="n">
        <v>1</v>
      </c>
      <c r="K350" t="n">
        <v>0</v>
      </c>
      <c r="L350" t="n">
        <v>0</v>
      </c>
      <c r="M350" t="n">
        <v>0</v>
      </c>
      <c r="N350" t="n">
        <v>0</v>
      </c>
      <c r="O350" t="n">
        <v>1</v>
      </c>
      <c r="P350" t="n">
        <v>0</v>
      </c>
      <c r="Q350" t="n">
        <v>1</v>
      </c>
      <c r="R350" s="2" t="inlineStr">
        <is>
          <t>Bredbrämad bastardsvärmare</t>
        </is>
      </c>
      <c r="S350">
        <f>HYPERLINK("https://klasma.github.io/Logging_0139/artfynd/A 23099-2024 artfynd.xlsx", "A 23099-2024")</f>
        <v/>
      </c>
      <c r="T350">
        <f>HYPERLINK("https://klasma.github.io/Logging_0139/kartor/A 23099-2024 karta.png", "A 23099-2024")</f>
        <v/>
      </c>
      <c r="V350">
        <f>HYPERLINK("https://klasma.github.io/Logging_0139/klagomål/A 23099-2024 FSC-klagomål.docx", "A 23099-2024")</f>
        <v/>
      </c>
      <c r="W350">
        <f>HYPERLINK("https://klasma.github.io/Logging_0139/klagomålsmail/A 23099-2024 FSC-klagomål mail.docx", "A 23099-2024")</f>
        <v/>
      </c>
      <c r="X350">
        <f>HYPERLINK("https://klasma.github.io/Logging_0139/tillsyn/A 23099-2024 tillsynsbegäran.docx", "A 23099-2024")</f>
        <v/>
      </c>
      <c r="Y350">
        <f>HYPERLINK("https://klasma.github.io/Logging_0139/tillsynsmail/A 23099-2024 tillsynsbegäran mail.docx", "A 23099-2024")</f>
        <v/>
      </c>
    </row>
    <row r="351" ht="15" customHeight="1">
      <c r="A351" t="inlineStr">
        <is>
          <t>A 3914-2023</t>
        </is>
      </c>
      <c r="B351" s="1" t="n">
        <v>44952.30934027778</v>
      </c>
      <c r="C351" s="1" t="n">
        <v>46089</v>
      </c>
      <c r="D351" t="inlineStr">
        <is>
          <t>STOCKHOLMS LÄN</t>
        </is>
      </c>
      <c r="E351" t="inlineStr">
        <is>
          <t>ÖSTERÅKER</t>
        </is>
      </c>
      <c r="F351" t="inlineStr">
        <is>
          <t>Kommuner</t>
        </is>
      </c>
      <c r="G351" t="n">
        <v>15.3</v>
      </c>
      <c r="H351" t="n">
        <v>1</v>
      </c>
      <c r="I351" t="n">
        <v>0</v>
      </c>
      <c r="J351" t="n">
        <v>1</v>
      </c>
      <c r="K351" t="n">
        <v>0</v>
      </c>
      <c r="L351" t="n">
        <v>0</v>
      </c>
      <c r="M351" t="n">
        <v>0</v>
      </c>
      <c r="N351" t="n">
        <v>0</v>
      </c>
      <c r="O351" t="n">
        <v>1</v>
      </c>
      <c r="P351" t="n">
        <v>0</v>
      </c>
      <c r="Q351" t="n">
        <v>1</v>
      </c>
      <c r="R351" s="2" t="inlineStr">
        <is>
          <t>Kråka</t>
        </is>
      </c>
      <c r="S351">
        <f>HYPERLINK("https://klasma.github.io/Logging_0117/artfynd/A 3914-2023 artfynd.xlsx", "A 3914-2023")</f>
        <v/>
      </c>
      <c r="T351">
        <f>HYPERLINK("https://klasma.github.io/Logging_0117/kartor/A 3914-2023 karta.png", "A 3914-2023")</f>
        <v/>
      </c>
      <c r="V351">
        <f>HYPERLINK("https://klasma.github.io/Logging_0117/klagomål/A 3914-2023 FSC-klagomål.docx", "A 3914-2023")</f>
        <v/>
      </c>
      <c r="W351">
        <f>HYPERLINK("https://klasma.github.io/Logging_0117/klagomålsmail/A 3914-2023 FSC-klagomål mail.docx", "A 3914-2023")</f>
        <v/>
      </c>
      <c r="X351">
        <f>HYPERLINK("https://klasma.github.io/Logging_0117/tillsyn/A 3914-2023 tillsynsbegäran.docx", "A 3914-2023")</f>
        <v/>
      </c>
      <c r="Y351">
        <f>HYPERLINK("https://klasma.github.io/Logging_0117/tillsynsmail/A 3914-2023 tillsynsbegäran mail.docx", "A 3914-2023")</f>
        <v/>
      </c>
      <c r="Z351">
        <f>HYPERLINK("https://klasma.github.io/Logging_0117/fåglar/A 3914-2023 prioriterade fågelarter.docx", "A 3914-2023")</f>
        <v/>
      </c>
    </row>
    <row r="352" ht="15" customHeight="1">
      <c r="A352" t="inlineStr">
        <is>
          <t>A 59682-2025</t>
        </is>
      </c>
      <c r="B352" s="1" t="n">
        <v>45992.47116898148</v>
      </c>
      <c r="C352" s="1" t="n">
        <v>46089</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12968-2024</t>
        </is>
      </c>
      <c r="B353" s="1" t="n">
        <v>45385.50599537037</v>
      </c>
      <c r="C353" s="1" t="n">
        <v>46089</v>
      </c>
      <c r="D353" t="inlineStr">
        <is>
          <t>STOCKHOLMS LÄN</t>
        </is>
      </c>
      <c r="E353" t="inlineStr">
        <is>
          <t>SÖDERTÄLJE</t>
        </is>
      </c>
      <c r="F353" t="inlineStr">
        <is>
          <t>Kommuner</t>
        </is>
      </c>
      <c r="G353" t="n">
        <v>5.5</v>
      </c>
      <c r="H353" t="n">
        <v>0</v>
      </c>
      <c r="I353" t="n">
        <v>0</v>
      </c>
      <c r="J353" t="n">
        <v>0</v>
      </c>
      <c r="K353" t="n">
        <v>0</v>
      </c>
      <c r="L353" t="n">
        <v>1</v>
      </c>
      <c r="M353" t="n">
        <v>0</v>
      </c>
      <c r="N353" t="n">
        <v>0</v>
      </c>
      <c r="O353" t="n">
        <v>1</v>
      </c>
      <c r="P353" t="n">
        <v>1</v>
      </c>
      <c r="Q353" t="n">
        <v>1</v>
      </c>
      <c r="R353" s="2" t="inlineStr">
        <is>
          <t>Ask</t>
        </is>
      </c>
      <c r="S353">
        <f>HYPERLINK("https://klasma.github.io/Logging_0181/artfynd/A 12968-2024 artfynd.xlsx", "A 12968-2024")</f>
        <v/>
      </c>
      <c r="T353">
        <f>HYPERLINK("https://klasma.github.io/Logging_0181/kartor/A 12968-2024 karta.png", "A 12968-2024")</f>
        <v/>
      </c>
      <c r="V353">
        <f>HYPERLINK("https://klasma.github.io/Logging_0181/klagomål/A 12968-2024 FSC-klagomål.docx", "A 12968-2024")</f>
        <v/>
      </c>
      <c r="W353">
        <f>HYPERLINK("https://klasma.github.io/Logging_0181/klagomålsmail/A 12968-2024 FSC-klagomål mail.docx", "A 12968-2024")</f>
        <v/>
      </c>
      <c r="X353">
        <f>HYPERLINK("https://klasma.github.io/Logging_0181/tillsyn/A 12968-2024 tillsynsbegäran.docx", "A 12968-2024")</f>
        <v/>
      </c>
      <c r="Y353">
        <f>HYPERLINK("https://klasma.github.io/Logging_0181/tillsynsmail/A 12968-2024 tillsynsbegäran mail.docx", "A 12968-2024")</f>
        <v/>
      </c>
    </row>
    <row r="354" ht="15" customHeight="1">
      <c r="A354" t="inlineStr">
        <is>
          <t>A 34823-2022</t>
        </is>
      </c>
      <c r="B354" s="1" t="n">
        <v>44796</v>
      </c>
      <c r="C354" s="1" t="n">
        <v>46089</v>
      </c>
      <c r="D354" t="inlineStr">
        <is>
          <t>STOCKHOLMS LÄN</t>
        </is>
      </c>
      <c r="E354" t="inlineStr">
        <is>
          <t>HANINGE</t>
        </is>
      </c>
      <c r="G354" t="n">
        <v>12</v>
      </c>
      <c r="H354" t="n">
        <v>0</v>
      </c>
      <c r="I354" t="n">
        <v>0</v>
      </c>
      <c r="J354" t="n">
        <v>0</v>
      </c>
      <c r="K354" t="n">
        <v>1</v>
      </c>
      <c r="L354" t="n">
        <v>0</v>
      </c>
      <c r="M354" t="n">
        <v>0</v>
      </c>
      <c r="N354" t="n">
        <v>0</v>
      </c>
      <c r="O354" t="n">
        <v>1</v>
      </c>
      <c r="P354" t="n">
        <v>1</v>
      </c>
      <c r="Q354" t="n">
        <v>1</v>
      </c>
      <c r="R354" s="2" t="inlineStr">
        <is>
          <t>Mörk kraterlav</t>
        </is>
      </c>
      <c r="S354">
        <f>HYPERLINK("https://klasma.github.io/Logging_0136/artfynd/A 34823-2022 artfynd.xlsx", "A 34823-2022")</f>
        <v/>
      </c>
      <c r="T354">
        <f>HYPERLINK("https://klasma.github.io/Logging_0136/kartor/A 34823-2022 karta.png", "A 34823-2022")</f>
        <v/>
      </c>
      <c r="V354">
        <f>HYPERLINK("https://klasma.github.io/Logging_0136/klagomål/A 34823-2022 FSC-klagomål.docx", "A 34823-2022")</f>
        <v/>
      </c>
      <c r="W354">
        <f>HYPERLINK("https://klasma.github.io/Logging_0136/klagomålsmail/A 34823-2022 FSC-klagomål mail.docx", "A 34823-2022")</f>
        <v/>
      </c>
      <c r="X354">
        <f>HYPERLINK("https://klasma.github.io/Logging_0136/tillsyn/A 34823-2022 tillsynsbegäran.docx", "A 34823-2022")</f>
        <v/>
      </c>
      <c r="Y354">
        <f>HYPERLINK("https://klasma.github.io/Logging_0136/tillsynsmail/A 34823-2022 tillsynsbegäran mail.docx", "A 34823-2022")</f>
        <v/>
      </c>
    </row>
    <row r="355" ht="15" customHeight="1">
      <c r="A355" t="inlineStr">
        <is>
          <t>A 33528-2023</t>
        </is>
      </c>
      <c r="B355" s="1" t="n">
        <v>45131</v>
      </c>
      <c r="C355" s="1" t="n">
        <v>46089</v>
      </c>
      <c r="D355" t="inlineStr">
        <is>
          <t>STOCKHOLMS LÄN</t>
        </is>
      </c>
      <c r="E355" t="inlineStr">
        <is>
          <t>NYNÄSHAMN</t>
        </is>
      </c>
      <c r="G355" t="n">
        <v>4</v>
      </c>
      <c r="H355" t="n">
        <v>0</v>
      </c>
      <c r="I355" t="n">
        <v>1</v>
      </c>
      <c r="J355" t="n">
        <v>0</v>
      </c>
      <c r="K355" t="n">
        <v>0</v>
      </c>
      <c r="L355" t="n">
        <v>0</v>
      </c>
      <c r="M355" t="n">
        <v>0</v>
      </c>
      <c r="N355" t="n">
        <v>0</v>
      </c>
      <c r="O355" t="n">
        <v>0</v>
      </c>
      <c r="P355" t="n">
        <v>0</v>
      </c>
      <c r="Q355" t="n">
        <v>1</v>
      </c>
      <c r="R355" s="2" t="inlineStr">
        <is>
          <t>Strutbräken</t>
        </is>
      </c>
      <c r="S355">
        <f>HYPERLINK("https://klasma.github.io/Logging_0192/artfynd/A 33528-2023 artfynd.xlsx", "A 33528-2023")</f>
        <v/>
      </c>
      <c r="T355">
        <f>HYPERLINK("https://klasma.github.io/Logging_0192/kartor/A 33528-2023 karta.png", "A 33528-2023")</f>
        <v/>
      </c>
      <c r="V355">
        <f>HYPERLINK("https://klasma.github.io/Logging_0192/klagomål/A 33528-2023 FSC-klagomål.docx", "A 33528-2023")</f>
        <v/>
      </c>
      <c r="W355">
        <f>HYPERLINK("https://klasma.github.io/Logging_0192/klagomålsmail/A 33528-2023 FSC-klagomål mail.docx", "A 33528-2023")</f>
        <v/>
      </c>
      <c r="X355">
        <f>HYPERLINK("https://klasma.github.io/Logging_0192/tillsyn/A 33528-2023 tillsynsbegäran.docx", "A 33528-2023")</f>
        <v/>
      </c>
      <c r="Y355">
        <f>HYPERLINK("https://klasma.github.io/Logging_0192/tillsynsmail/A 33528-2023 tillsynsbegäran mail.docx", "A 33528-2023")</f>
        <v/>
      </c>
    </row>
    <row r="356" ht="15" customHeight="1">
      <c r="A356" t="inlineStr">
        <is>
          <t>A 59570-2025</t>
        </is>
      </c>
      <c r="B356" s="1" t="n">
        <v>45991.93646990741</v>
      </c>
      <c r="C356" s="1" t="n">
        <v>46089</v>
      </c>
      <c r="D356" t="inlineStr">
        <is>
          <t>STOCKHOLMS LÄN</t>
        </is>
      </c>
      <c r="E356" t="inlineStr">
        <is>
          <t>HANINGE</t>
        </is>
      </c>
      <c r="G356" t="n">
        <v>2.3</v>
      </c>
      <c r="H356" t="n">
        <v>1</v>
      </c>
      <c r="I356" t="n">
        <v>0</v>
      </c>
      <c r="J356" t="n">
        <v>1</v>
      </c>
      <c r="K356" t="n">
        <v>0</v>
      </c>
      <c r="L356" t="n">
        <v>0</v>
      </c>
      <c r="M356" t="n">
        <v>0</v>
      </c>
      <c r="N356" t="n">
        <v>0</v>
      </c>
      <c r="O356" t="n">
        <v>1</v>
      </c>
      <c r="P356" t="n">
        <v>0</v>
      </c>
      <c r="Q356" t="n">
        <v>1</v>
      </c>
      <c r="R356" s="2" t="inlineStr">
        <is>
          <t>Fjällvråk</t>
        </is>
      </c>
      <c r="S356">
        <f>HYPERLINK("https://klasma.github.io/Logging_0136/artfynd/A 59570-2025 artfynd.xlsx", "A 59570-2025")</f>
        <v/>
      </c>
      <c r="T356">
        <f>HYPERLINK("https://klasma.github.io/Logging_0136/kartor/A 59570-2025 karta.png", "A 59570-2025")</f>
        <v/>
      </c>
      <c r="V356">
        <f>HYPERLINK("https://klasma.github.io/Logging_0136/klagomål/A 59570-2025 FSC-klagomål.docx", "A 59570-2025")</f>
        <v/>
      </c>
      <c r="W356">
        <f>HYPERLINK("https://klasma.github.io/Logging_0136/klagomålsmail/A 59570-2025 FSC-klagomål mail.docx", "A 59570-2025")</f>
        <v/>
      </c>
      <c r="X356">
        <f>HYPERLINK("https://klasma.github.io/Logging_0136/tillsyn/A 59570-2025 tillsynsbegäran.docx", "A 59570-2025")</f>
        <v/>
      </c>
      <c r="Y356">
        <f>HYPERLINK("https://klasma.github.io/Logging_0136/tillsynsmail/A 59570-2025 tillsynsbegäran mail.docx", "A 59570-2025")</f>
        <v/>
      </c>
      <c r="Z356">
        <f>HYPERLINK("https://klasma.github.io/Logging_0136/fåglar/A 59570-2025 prioriterade fågelarter.docx", "A 59570-2025")</f>
        <v/>
      </c>
    </row>
    <row r="357" ht="15" customHeight="1">
      <c r="A357" t="inlineStr">
        <is>
          <t>A 55263-2021</t>
        </is>
      </c>
      <c r="B357" s="1" t="n">
        <v>44475</v>
      </c>
      <c r="C357" s="1" t="n">
        <v>46089</v>
      </c>
      <c r="D357" t="inlineStr">
        <is>
          <t>STOCKHOLMS LÄN</t>
        </is>
      </c>
      <c r="E357" t="inlineStr">
        <is>
          <t>SÖDERTÄLJE</t>
        </is>
      </c>
      <c r="G357" t="n">
        <v>2.3</v>
      </c>
      <c r="H357" t="n">
        <v>0</v>
      </c>
      <c r="I357" t="n">
        <v>0</v>
      </c>
      <c r="J357" t="n">
        <v>1</v>
      </c>
      <c r="K357" t="n">
        <v>0</v>
      </c>
      <c r="L357" t="n">
        <v>0</v>
      </c>
      <c r="M357" t="n">
        <v>0</v>
      </c>
      <c r="N357" t="n">
        <v>0</v>
      </c>
      <c r="O357" t="n">
        <v>1</v>
      </c>
      <c r="P357" t="n">
        <v>0</v>
      </c>
      <c r="Q357" t="n">
        <v>1</v>
      </c>
      <c r="R357" s="2" t="inlineStr">
        <is>
          <t>Backklöver</t>
        </is>
      </c>
      <c r="S357">
        <f>HYPERLINK("https://klasma.github.io/Logging_0181/artfynd/A 55263-2021 artfynd.xlsx", "A 55263-2021")</f>
        <v/>
      </c>
      <c r="T357">
        <f>HYPERLINK("https://klasma.github.io/Logging_0181/kartor/A 55263-2021 karta.png", "A 55263-2021")</f>
        <v/>
      </c>
      <c r="V357">
        <f>HYPERLINK("https://klasma.github.io/Logging_0181/klagomål/A 55263-2021 FSC-klagomål.docx", "A 55263-2021")</f>
        <v/>
      </c>
      <c r="W357">
        <f>HYPERLINK("https://klasma.github.io/Logging_0181/klagomålsmail/A 55263-2021 FSC-klagomål mail.docx", "A 55263-2021")</f>
        <v/>
      </c>
      <c r="X357">
        <f>HYPERLINK("https://klasma.github.io/Logging_0181/tillsyn/A 55263-2021 tillsynsbegäran.docx", "A 55263-2021")</f>
        <v/>
      </c>
      <c r="Y357">
        <f>HYPERLINK("https://klasma.github.io/Logging_0181/tillsynsmail/A 55263-2021 tillsynsbegäran mail.docx", "A 55263-2021")</f>
        <v/>
      </c>
    </row>
    <row r="358" ht="15" customHeight="1">
      <c r="A358" t="inlineStr">
        <is>
          <t>A 26635-2023</t>
        </is>
      </c>
      <c r="B358" s="1" t="n">
        <v>45092</v>
      </c>
      <c r="C358" s="1" t="n">
        <v>46089</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35953-2023</t>
        </is>
      </c>
      <c r="B359" s="1" t="n">
        <v>45148</v>
      </c>
      <c r="C359" s="1" t="n">
        <v>46089</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34460-2023</t>
        </is>
      </c>
      <c r="B360" s="1" t="n">
        <v>45139</v>
      </c>
      <c r="C360" s="1" t="n">
        <v>46089</v>
      </c>
      <c r="D360" t="inlineStr">
        <is>
          <t>STOCKHOLMS LÄN</t>
        </is>
      </c>
      <c r="E360" t="inlineStr">
        <is>
          <t>VALLENTUNA</t>
        </is>
      </c>
      <c r="G360" t="n">
        <v>1.7</v>
      </c>
      <c r="H360" t="n">
        <v>0</v>
      </c>
      <c r="I360" t="n">
        <v>0</v>
      </c>
      <c r="J360" t="n">
        <v>1</v>
      </c>
      <c r="K360" t="n">
        <v>0</v>
      </c>
      <c r="L360" t="n">
        <v>0</v>
      </c>
      <c r="M360" t="n">
        <v>0</v>
      </c>
      <c r="N360" t="n">
        <v>0</v>
      </c>
      <c r="O360" t="n">
        <v>1</v>
      </c>
      <c r="P360" t="n">
        <v>0</v>
      </c>
      <c r="Q360" t="n">
        <v>1</v>
      </c>
      <c r="R360" s="2" t="inlineStr">
        <is>
          <t>Orange taggsvamp</t>
        </is>
      </c>
      <c r="S360">
        <f>HYPERLINK("https://klasma.github.io/Logging_0115/artfynd/A 34460-2023 artfynd.xlsx", "A 34460-2023")</f>
        <v/>
      </c>
      <c r="T360">
        <f>HYPERLINK("https://klasma.github.io/Logging_0115/kartor/A 34460-2023 karta.png", "A 34460-2023")</f>
        <v/>
      </c>
      <c r="V360">
        <f>HYPERLINK("https://klasma.github.io/Logging_0115/klagomål/A 34460-2023 FSC-klagomål.docx", "A 34460-2023")</f>
        <v/>
      </c>
      <c r="W360">
        <f>HYPERLINK("https://klasma.github.io/Logging_0115/klagomålsmail/A 34460-2023 FSC-klagomål mail.docx", "A 34460-2023")</f>
        <v/>
      </c>
      <c r="X360">
        <f>HYPERLINK("https://klasma.github.io/Logging_0115/tillsyn/A 34460-2023 tillsynsbegäran.docx", "A 34460-2023")</f>
        <v/>
      </c>
      <c r="Y360">
        <f>HYPERLINK("https://klasma.github.io/Logging_0115/tillsynsmail/A 34460-2023 tillsynsbegäran mail.docx", "A 34460-2023")</f>
        <v/>
      </c>
    </row>
    <row r="361" ht="15" customHeight="1">
      <c r="A361" t="inlineStr">
        <is>
          <t>A 62715-2025</t>
        </is>
      </c>
      <c r="B361" s="1" t="n">
        <v>46008.52034722222</v>
      </c>
      <c r="C361" s="1" t="n">
        <v>46089</v>
      </c>
      <c r="D361" t="inlineStr">
        <is>
          <t>STOCKHOLMS LÄN</t>
        </is>
      </c>
      <c r="E361" t="inlineStr">
        <is>
          <t>NORRTÄLJE</t>
        </is>
      </c>
      <c r="G361" t="n">
        <v>0.8</v>
      </c>
      <c r="H361" t="n">
        <v>0</v>
      </c>
      <c r="I361" t="n">
        <v>1</v>
      </c>
      <c r="J361" t="n">
        <v>0</v>
      </c>
      <c r="K361" t="n">
        <v>0</v>
      </c>
      <c r="L361" t="n">
        <v>0</v>
      </c>
      <c r="M361" t="n">
        <v>0</v>
      </c>
      <c r="N361" t="n">
        <v>0</v>
      </c>
      <c r="O361" t="n">
        <v>0</v>
      </c>
      <c r="P361" t="n">
        <v>0</v>
      </c>
      <c r="Q361" t="n">
        <v>1</v>
      </c>
      <c r="R361" s="2" t="inlineStr">
        <is>
          <t>Granbarkgnagare</t>
        </is>
      </c>
      <c r="S361">
        <f>HYPERLINK("https://klasma.github.io/Logging_0188/artfynd/A 62715-2025 artfynd.xlsx", "A 62715-2025")</f>
        <v/>
      </c>
      <c r="T361">
        <f>HYPERLINK("https://klasma.github.io/Logging_0188/kartor/A 62715-2025 karta.png", "A 62715-2025")</f>
        <v/>
      </c>
      <c r="V361">
        <f>HYPERLINK("https://klasma.github.io/Logging_0188/klagomål/A 62715-2025 FSC-klagomål.docx", "A 62715-2025")</f>
        <v/>
      </c>
      <c r="W361">
        <f>HYPERLINK("https://klasma.github.io/Logging_0188/klagomålsmail/A 62715-2025 FSC-klagomål mail.docx", "A 62715-2025")</f>
        <v/>
      </c>
      <c r="X361">
        <f>HYPERLINK("https://klasma.github.io/Logging_0188/tillsyn/A 62715-2025 tillsynsbegäran.docx", "A 62715-2025")</f>
        <v/>
      </c>
      <c r="Y361">
        <f>HYPERLINK("https://klasma.github.io/Logging_0188/tillsynsmail/A 62715-2025 tillsynsbegäran mail.docx", "A 62715-2025")</f>
        <v/>
      </c>
    </row>
    <row r="362" ht="15" customHeight="1">
      <c r="A362" t="inlineStr">
        <is>
          <t>A 68883-2021</t>
        </is>
      </c>
      <c r="B362" s="1" t="n">
        <v>44526</v>
      </c>
      <c r="C362" s="1" t="n">
        <v>46089</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63539-2025</t>
        </is>
      </c>
      <c r="B363" s="1" t="n">
        <v>46013.58824074074</v>
      </c>
      <c r="C363" s="1" t="n">
        <v>46089</v>
      </c>
      <c r="D363" t="inlineStr">
        <is>
          <t>STOCKHOLMS LÄN</t>
        </is>
      </c>
      <c r="E363" t="inlineStr">
        <is>
          <t>VALLENTUNA</t>
        </is>
      </c>
      <c r="G363" t="n">
        <v>1.1</v>
      </c>
      <c r="H363" t="n">
        <v>0</v>
      </c>
      <c r="I363" t="n">
        <v>1</v>
      </c>
      <c r="J363" t="n">
        <v>0</v>
      </c>
      <c r="K363" t="n">
        <v>0</v>
      </c>
      <c r="L363" t="n">
        <v>0</v>
      </c>
      <c r="M363" t="n">
        <v>0</v>
      </c>
      <c r="N363" t="n">
        <v>0</v>
      </c>
      <c r="O363" t="n">
        <v>0</v>
      </c>
      <c r="P363" t="n">
        <v>0</v>
      </c>
      <c r="Q363" t="n">
        <v>1</v>
      </c>
      <c r="R363" s="2" t="inlineStr">
        <is>
          <t>Vårärt</t>
        </is>
      </c>
      <c r="S363">
        <f>HYPERLINK("https://klasma.github.io/Logging_0115/artfynd/A 63539-2025 artfynd.xlsx", "A 63539-2025")</f>
        <v/>
      </c>
      <c r="T363">
        <f>HYPERLINK("https://klasma.github.io/Logging_0115/kartor/A 63539-2025 karta.png", "A 63539-2025")</f>
        <v/>
      </c>
      <c r="V363">
        <f>HYPERLINK("https://klasma.github.io/Logging_0115/klagomål/A 63539-2025 FSC-klagomål.docx", "A 63539-2025")</f>
        <v/>
      </c>
      <c r="W363">
        <f>HYPERLINK("https://klasma.github.io/Logging_0115/klagomålsmail/A 63539-2025 FSC-klagomål mail.docx", "A 63539-2025")</f>
        <v/>
      </c>
      <c r="X363">
        <f>HYPERLINK("https://klasma.github.io/Logging_0115/tillsyn/A 63539-2025 tillsynsbegäran.docx", "A 63539-2025")</f>
        <v/>
      </c>
      <c r="Y363">
        <f>HYPERLINK("https://klasma.github.io/Logging_0115/tillsynsmail/A 63539-2025 tillsynsbegäran mail.docx", "A 63539-2025")</f>
        <v/>
      </c>
    </row>
    <row r="364" ht="15" customHeight="1">
      <c r="A364" t="inlineStr">
        <is>
          <t>A 63543-2025</t>
        </is>
      </c>
      <c r="B364" s="1" t="n">
        <v>46013.59207175926</v>
      </c>
      <c r="C364" s="1" t="n">
        <v>46089</v>
      </c>
      <c r="D364" t="inlineStr">
        <is>
          <t>STOCKHOLMS LÄN</t>
        </is>
      </c>
      <c r="E364" t="inlineStr">
        <is>
          <t>VALLENTUNA</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HYPERLINK("https://klasma.github.io/Logging_0115/artfynd/A 63543-2025 artfynd.xlsx", "A 63543-2025")</f>
        <v/>
      </c>
      <c r="T364">
        <f>HYPERLINK("https://klasma.github.io/Logging_0115/kartor/A 63543-2025 karta.png", "A 63543-2025")</f>
        <v/>
      </c>
      <c r="V364">
        <f>HYPERLINK("https://klasma.github.io/Logging_0115/klagomål/A 63543-2025 FSC-klagomål.docx", "A 63543-2025")</f>
        <v/>
      </c>
      <c r="W364">
        <f>HYPERLINK("https://klasma.github.io/Logging_0115/klagomålsmail/A 63543-2025 FSC-klagomål mail.docx", "A 63543-2025")</f>
        <v/>
      </c>
      <c r="X364">
        <f>HYPERLINK("https://klasma.github.io/Logging_0115/tillsyn/A 63543-2025 tillsynsbegäran.docx", "A 63543-2025")</f>
        <v/>
      </c>
      <c r="Y364">
        <f>HYPERLINK("https://klasma.github.io/Logging_0115/tillsynsmail/A 63543-2025 tillsynsbegäran mail.docx", "A 63543-2025")</f>
        <v/>
      </c>
    </row>
    <row r="365" ht="15" customHeight="1">
      <c r="A365" t="inlineStr">
        <is>
          <t>A 63292-2025</t>
        </is>
      </c>
      <c r="B365" s="1" t="n">
        <v>46010.59232638889</v>
      </c>
      <c r="C365" s="1" t="n">
        <v>46089</v>
      </c>
      <c r="D365" t="inlineStr">
        <is>
          <t>STOCKHOLMS LÄN</t>
        </is>
      </c>
      <c r="E365" t="inlineStr">
        <is>
          <t>NORRTÄLJE</t>
        </is>
      </c>
      <c r="G365" t="n">
        <v>11.1</v>
      </c>
      <c r="H365" t="n">
        <v>1</v>
      </c>
      <c r="I365" t="n">
        <v>1</v>
      </c>
      <c r="J365" t="n">
        <v>0</v>
      </c>
      <c r="K365" t="n">
        <v>0</v>
      </c>
      <c r="L365" t="n">
        <v>0</v>
      </c>
      <c r="M365" t="n">
        <v>0</v>
      </c>
      <c r="N365" t="n">
        <v>0</v>
      </c>
      <c r="O365" t="n">
        <v>0</v>
      </c>
      <c r="P365" t="n">
        <v>0</v>
      </c>
      <c r="Q365" t="n">
        <v>1</v>
      </c>
      <c r="R365" s="2" t="inlineStr">
        <is>
          <t>Nästrot</t>
        </is>
      </c>
      <c r="S365">
        <f>HYPERLINK("https://klasma.github.io/Logging_0188/artfynd/A 63292-2025 artfynd.xlsx", "A 63292-2025")</f>
        <v/>
      </c>
      <c r="T365">
        <f>HYPERLINK("https://klasma.github.io/Logging_0188/kartor/A 63292-2025 karta.png", "A 63292-2025")</f>
        <v/>
      </c>
      <c r="V365">
        <f>HYPERLINK("https://klasma.github.io/Logging_0188/klagomål/A 63292-2025 FSC-klagomål.docx", "A 63292-2025")</f>
        <v/>
      </c>
      <c r="W365">
        <f>HYPERLINK("https://klasma.github.io/Logging_0188/klagomålsmail/A 63292-2025 FSC-klagomål mail.docx", "A 63292-2025")</f>
        <v/>
      </c>
      <c r="X365">
        <f>HYPERLINK("https://klasma.github.io/Logging_0188/tillsyn/A 63292-2025 tillsynsbegäran.docx", "A 63292-2025")</f>
        <v/>
      </c>
      <c r="Y365">
        <f>HYPERLINK("https://klasma.github.io/Logging_0188/tillsynsmail/A 63292-2025 tillsynsbegäran mail.docx", "A 63292-2025")</f>
        <v/>
      </c>
    </row>
    <row r="366" ht="15" customHeight="1">
      <c r="A366" t="inlineStr">
        <is>
          <t>A 47898-2022</t>
        </is>
      </c>
      <c r="B366" s="1" t="n">
        <v>44855</v>
      </c>
      <c r="C366" s="1" t="n">
        <v>46089</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46089</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46089</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46089</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46089</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46089</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46089</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46089</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46089</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46089</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46089</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46089</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46089</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46089</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46089</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46089</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46089</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46089</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46089</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46089</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28816-2023</t>
        </is>
      </c>
      <c r="B386" s="1" t="n">
        <v>45104</v>
      </c>
      <c r="C386" s="1" t="n">
        <v>46089</v>
      </c>
      <c r="D386" t="inlineStr">
        <is>
          <t>STOCKHOLMS LÄN</t>
        </is>
      </c>
      <c r="E386" t="inlineStr">
        <is>
          <t>NORRTÄLJE</t>
        </is>
      </c>
      <c r="F386" t="inlineStr">
        <is>
          <t>Kommuner</t>
        </is>
      </c>
      <c r="G386" t="n">
        <v>0.5</v>
      </c>
      <c r="H386" t="n">
        <v>1</v>
      </c>
      <c r="I386" t="n">
        <v>0</v>
      </c>
      <c r="J386" t="n">
        <v>0</v>
      </c>
      <c r="K386" t="n">
        <v>0</v>
      </c>
      <c r="L386" t="n">
        <v>0</v>
      </c>
      <c r="M386" t="n">
        <v>0</v>
      </c>
      <c r="N386" t="n">
        <v>0</v>
      </c>
      <c r="O386" t="n">
        <v>0</v>
      </c>
      <c r="P386" t="n">
        <v>0</v>
      </c>
      <c r="Q386" t="n">
        <v>1</v>
      </c>
      <c r="R386" s="2" t="inlineStr">
        <is>
          <t>Kungsfågel</t>
        </is>
      </c>
      <c r="S386">
        <f>HYPERLINK("https://klasma.github.io/Logging_0188/artfynd/A 28816-2023 artfynd.xlsx", "A 28816-2023")</f>
        <v/>
      </c>
      <c r="T386">
        <f>HYPERLINK("https://klasma.github.io/Logging_0188/kartor/A 28816-2023 karta.png", "A 28816-2023")</f>
        <v/>
      </c>
      <c r="V386">
        <f>HYPERLINK("https://klasma.github.io/Logging_0188/klagomål/A 28816-2023 FSC-klagomål.docx", "A 28816-2023")</f>
        <v/>
      </c>
      <c r="W386">
        <f>HYPERLINK("https://klasma.github.io/Logging_0188/klagomålsmail/A 28816-2023 FSC-klagomål mail.docx", "A 28816-2023")</f>
        <v/>
      </c>
      <c r="X386">
        <f>HYPERLINK("https://klasma.github.io/Logging_0188/tillsyn/A 28816-2023 tillsynsbegäran.docx", "A 28816-2023")</f>
        <v/>
      </c>
      <c r="Y386">
        <f>HYPERLINK("https://klasma.github.io/Logging_0188/tillsynsmail/A 28816-2023 tillsynsbegäran mail.docx", "A 28816-2023")</f>
        <v/>
      </c>
      <c r="Z386">
        <f>HYPERLINK("https://klasma.github.io/Logging_0188/fåglar/A 28816-2023 prioriterade fågelarter.docx", "A 28816-2023")</f>
        <v/>
      </c>
    </row>
    <row r="387" ht="15" customHeight="1">
      <c r="A387" t="inlineStr">
        <is>
          <t>A 2987-2023</t>
        </is>
      </c>
      <c r="B387" s="1" t="n">
        <v>44945</v>
      </c>
      <c r="C387" s="1" t="n">
        <v>46089</v>
      </c>
      <c r="D387" t="inlineStr">
        <is>
          <t>STOCKHOLMS LÄN</t>
        </is>
      </c>
      <c r="E387" t="inlineStr">
        <is>
          <t>SALEM</t>
        </is>
      </c>
      <c r="F387" t="inlineStr">
        <is>
          <t>Kommuner</t>
        </is>
      </c>
      <c r="G387" t="n">
        <v>6.2</v>
      </c>
      <c r="H387" t="n">
        <v>0</v>
      </c>
      <c r="I387" t="n">
        <v>0</v>
      </c>
      <c r="J387" t="n">
        <v>1</v>
      </c>
      <c r="K387" t="n">
        <v>0</v>
      </c>
      <c r="L387" t="n">
        <v>0</v>
      </c>
      <c r="M387" t="n">
        <v>0</v>
      </c>
      <c r="N387" t="n">
        <v>0</v>
      </c>
      <c r="O387" t="n">
        <v>1</v>
      </c>
      <c r="P387" t="n">
        <v>0</v>
      </c>
      <c r="Q387" t="n">
        <v>1</v>
      </c>
      <c r="R387" s="2" t="inlineStr">
        <is>
          <t>Tallticka</t>
        </is>
      </c>
      <c r="S387">
        <f>HYPERLINK("https://klasma.github.io/Logging_0128/artfynd/A 2987-2023 artfynd.xlsx", "A 2987-2023")</f>
        <v/>
      </c>
      <c r="T387">
        <f>HYPERLINK("https://klasma.github.io/Logging_0128/kartor/A 2987-2023 karta.png", "A 2987-2023")</f>
        <v/>
      </c>
      <c r="V387">
        <f>HYPERLINK("https://klasma.github.io/Logging_0128/klagomål/A 2987-2023 FSC-klagomål.docx", "A 2987-2023")</f>
        <v/>
      </c>
      <c r="W387">
        <f>HYPERLINK("https://klasma.github.io/Logging_0128/klagomålsmail/A 2987-2023 FSC-klagomål mail.docx", "A 2987-2023")</f>
        <v/>
      </c>
      <c r="X387">
        <f>HYPERLINK("https://klasma.github.io/Logging_0128/tillsyn/A 2987-2023 tillsynsbegäran.docx", "A 2987-2023")</f>
        <v/>
      </c>
      <c r="Y387">
        <f>HYPERLINK("https://klasma.github.io/Logging_0128/tillsynsmail/A 2987-2023 tillsynsbegäran mail.docx", "A 2987-2023")</f>
        <v/>
      </c>
    </row>
    <row r="388" ht="15" customHeight="1">
      <c r="A388" t="inlineStr">
        <is>
          <t>A 1946-2022</t>
        </is>
      </c>
      <c r="B388" s="1" t="n">
        <v>44575</v>
      </c>
      <c r="C388" s="1" t="n">
        <v>46089</v>
      </c>
      <c r="D388" t="inlineStr">
        <is>
          <t>STOCKHOLMS LÄN</t>
        </is>
      </c>
      <c r="E388" t="inlineStr">
        <is>
          <t>SÖDERTÄLJE</t>
        </is>
      </c>
      <c r="G388" t="n">
        <v>6.7</v>
      </c>
      <c r="H388" t="n">
        <v>1</v>
      </c>
      <c r="I388" t="n">
        <v>0</v>
      </c>
      <c r="J388" t="n">
        <v>0</v>
      </c>
      <c r="K388" t="n">
        <v>0</v>
      </c>
      <c r="L388" t="n">
        <v>0</v>
      </c>
      <c r="M388" t="n">
        <v>0</v>
      </c>
      <c r="N388" t="n">
        <v>0</v>
      </c>
      <c r="O388" t="n">
        <v>0</v>
      </c>
      <c r="P388" t="n">
        <v>0</v>
      </c>
      <c r="Q388" t="n">
        <v>1</v>
      </c>
      <c r="R388" s="2" t="inlineStr">
        <is>
          <t>Större vattensalamander</t>
        </is>
      </c>
      <c r="S388">
        <f>HYPERLINK("https://klasma.github.io/Logging_0181/artfynd/A 1946-2022 artfynd.xlsx", "A 1946-2022")</f>
        <v/>
      </c>
      <c r="T388">
        <f>HYPERLINK("https://klasma.github.io/Logging_0181/kartor/A 1946-2022 karta.png", "A 1946-2022")</f>
        <v/>
      </c>
      <c r="V388">
        <f>HYPERLINK("https://klasma.github.io/Logging_0181/klagomål/A 1946-2022 FSC-klagomål.docx", "A 1946-2022")</f>
        <v/>
      </c>
      <c r="W388">
        <f>HYPERLINK("https://klasma.github.io/Logging_0181/klagomålsmail/A 1946-2022 FSC-klagomål mail.docx", "A 1946-2022")</f>
        <v/>
      </c>
      <c r="X388">
        <f>HYPERLINK("https://klasma.github.io/Logging_0181/tillsyn/A 1946-2022 tillsynsbegäran.docx", "A 1946-2022")</f>
        <v/>
      </c>
      <c r="Y388">
        <f>HYPERLINK("https://klasma.github.io/Logging_0181/tillsynsmail/A 1946-2022 tillsynsbegäran mail.docx", "A 1946-2022")</f>
        <v/>
      </c>
    </row>
    <row r="389" ht="15" customHeight="1">
      <c r="A389" t="inlineStr">
        <is>
          <t>A 37597-2024</t>
        </is>
      </c>
      <c r="B389" s="1" t="n">
        <v>45541.47459490741</v>
      </c>
      <c r="C389" s="1" t="n">
        <v>46089</v>
      </c>
      <c r="D389" t="inlineStr">
        <is>
          <t>STOCKHOLMS LÄN</t>
        </is>
      </c>
      <c r="E389" t="inlineStr">
        <is>
          <t>NYKVARN</t>
        </is>
      </c>
      <c r="G389" t="n">
        <v>1.3</v>
      </c>
      <c r="H389" t="n">
        <v>1</v>
      </c>
      <c r="I389" t="n">
        <v>0</v>
      </c>
      <c r="J389" t="n">
        <v>0</v>
      </c>
      <c r="K389" t="n">
        <v>0</v>
      </c>
      <c r="L389" t="n">
        <v>0</v>
      </c>
      <c r="M389" t="n">
        <v>0</v>
      </c>
      <c r="N389" t="n">
        <v>0</v>
      </c>
      <c r="O389" t="n">
        <v>0</v>
      </c>
      <c r="P389" t="n">
        <v>0</v>
      </c>
      <c r="Q389" t="n">
        <v>1</v>
      </c>
      <c r="R389" s="2" t="inlineStr">
        <is>
          <t>Röd glada</t>
        </is>
      </c>
      <c r="S389">
        <f>HYPERLINK("https://klasma.github.io/Logging_0140/artfynd/A 37597-2024 artfynd.xlsx", "A 37597-2024")</f>
        <v/>
      </c>
      <c r="T389">
        <f>HYPERLINK("https://klasma.github.io/Logging_0140/kartor/A 37597-2024 karta.png", "A 37597-2024")</f>
        <v/>
      </c>
      <c r="V389">
        <f>HYPERLINK("https://klasma.github.io/Logging_0140/klagomål/A 37597-2024 FSC-klagomål.docx", "A 37597-2024")</f>
        <v/>
      </c>
      <c r="W389">
        <f>HYPERLINK("https://klasma.github.io/Logging_0140/klagomålsmail/A 37597-2024 FSC-klagomål mail.docx", "A 37597-2024")</f>
        <v/>
      </c>
      <c r="X389">
        <f>HYPERLINK("https://klasma.github.io/Logging_0140/tillsyn/A 37597-2024 tillsynsbegäran.docx", "A 37597-2024")</f>
        <v/>
      </c>
      <c r="Y389">
        <f>HYPERLINK("https://klasma.github.io/Logging_0140/tillsynsmail/A 37597-2024 tillsynsbegäran mail.docx", "A 37597-2024")</f>
        <v/>
      </c>
      <c r="Z389">
        <f>HYPERLINK("https://klasma.github.io/Logging_0140/fåglar/A 37597-2024 prioriterade fågelarter.docx", "A 37597-2024")</f>
        <v/>
      </c>
    </row>
    <row r="390" ht="15" customHeight="1">
      <c r="A390" t="inlineStr">
        <is>
          <t>A 21-2022</t>
        </is>
      </c>
      <c r="B390" s="1" t="n">
        <v>44560</v>
      </c>
      <c r="C390" s="1" t="n">
        <v>46089</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8285-2022</t>
        </is>
      </c>
      <c r="B391" s="1" t="n">
        <v>44610</v>
      </c>
      <c r="C391" s="1" t="n">
        <v>46089</v>
      </c>
      <c r="D391" t="inlineStr">
        <is>
          <t>STOCKHOLMS LÄN</t>
        </is>
      </c>
      <c r="E391" t="inlineStr">
        <is>
          <t>NYKVARN</t>
        </is>
      </c>
      <c r="G391" t="n">
        <v>5</v>
      </c>
      <c r="H391" t="n">
        <v>1</v>
      </c>
      <c r="I391" t="n">
        <v>0</v>
      </c>
      <c r="J391" t="n">
        <v>0</v>
      </c>
      <c r="K391" t="n">
        <v>0</v>
      </c>
      <c r="L391" t="n">
        <v>0</v>
      </c>
      <c r="M391" t="n">
        <v>0</v>
      </c>
      <c r="N391" t="n">
        <v>0</v>
      </c>
      <c r="O391" t="n">
        <v>0</v>
      </c>
      <c r="P391" t="n">
        <v>0</v>
      </c>
      <c r="Q391" t="n">
        <v>1</v>
      </c>
      <c r="R391" s="2" t="inlineStr">
        <is>
          <t>Blåsippa</t>
        </is>
      </c>
      <c r="S391">
        <f>HYPERLINK("https://klasma.github.io/Logging_0140/artfynd/A 8285-2022 artfynd.xlsx", "A 8285-2022")</f>
        <v/>
      </c>
      <c r="T391">
        <f>HYPERLINK("https://klasma.github.io/Logging_0140/kartor/A 8285-2022 karta.png", "A 8285-2022")</f>
        <v/>
      </c>
      <c r="V391">
        <f>HYPERLINK("https://klasma.github.io/Logging_0140/klagomål/A 8285-2022 FSC-klagomål.docx", "A 8285-2022")</f>
        <v/>
      </c>
      <c r="W391">
        <f>HYPERLINK("https://klasma.github.io/Logging_0140/klagomålsmail/A 8285-2022 FSC-klagomål mail.docx", "A 8285-2022")</f>
        <v/>
      </c>
      <c r="X391">
        <f>HYPERLINK("https://klasma.github.io/Logging_0140/tillsyn/A 8285-2022 tillsynsbegäran.docx", "A 8285-2022")</f>
        <v/>
      </c>
      <c r="Y391">
        <f>HYPERLINK("https://klasma.github.io/Logging_0140/tillsynsmail/A 8285-2022 tillsynsbegäran mail.docx", "A 8285-2022")</f>
        <v/>
      </c>
    </row>
    <row r="392" ht="15" customHeight="1">
      <c r="A392" t="inlineStr">
        <is>
          <t>A 49421-2023</t>
        </is>
      </c>
      <c r="B392" s="1" t="n">
        <v>45211</v>
      </c>
      <c r="C392" s="1" t="n">
        <v>46089</v>
      </c>
      <c r="D392" t="inlineStr">
        <is>
          <t>STOCKHOLMS LÄN</t>
        </is>
      </c>
      <c r="E392" t="inlineStr">
        <is>
          <t>HUDDINGE</t>
        </is>
      </c>
      <c r="F392" t="inlineStr">
        <is>
          <t>Kommuner</t>
        </is>
      </c>
      <c r="G392" t="n">
        <v>1.4</v>
      </c>
      <c r="H392" t="n">
        <v>1</v>
      </c>
      <c r="I392" t="n">
        <v>0</v>
      </c>
      <c r="J392" t="n">
        <v>0</v>
      </c>
      <c r="K392" t="n">
        <v>0</v>
      </c>
      <c r="L392" t="n">
        <v>1</v>
      </c>
      <c r="M392" t="n">
        <v>0</v>
      </c>
      <c r="N392" t="n">
        <v>0</v>
      </c>
      <c r="O392" t="n">
        <v>1</v>
      </c>
      <c r="P392" t="n">
        <v>1</v>
      </c>
      <c r="Q392" t="n">
        <v>1</v>
      </c>
      <c r="R392" s="2" t="inlineStr">
        <is>
          <t>Grönfink</t>
        </is>
      </c>
      <c r="S392">
        <f>HYPERLINK("https://klasma.github.io/Logging_0126/artfynd/A 49421-2023 artfynd.xlsx", "A 49421-2023")</f>
        <v/>
      </c>
      <c r="T392">
        <f>HYPERLINK("https://klasma.github.io/Logging_0126/kartor/A 49421-2023 karta.png", "A 49421-2023")</f>
        <v/>
      </c>
      <c r="V392">
        <f>HYPERLINK("https://klasma.github.io/Logging_0126/klagomål/A 49421-2023 FSC-klagomål.docx", "A 49421-2023")</f>
        <v/>
      </c>
      <c r="W392">
        <f>HYPERLINK("https://klasma.github.io/Logging_0126/klagomålsmail/A 49421-2023 FSC-klagomål mail.docx", "A 49421-2023")</f>
        <v/>
      </c>
      <c r="X392">
        <f>HYPERLINK("https://klasma.github.io/Logging_0126/tillsyn/A 49421-2023 tillsynsbegäran.docx", "A 49421-2023")</f>
        <v/>
      </c>
      <c r="Y392">
        <f>HYPERLINK("https://klasma.github.io/Logging_0126/tillsynsmail/A 49421-2023 tillsynsbegäran mail.docx", "A 49421-2023")</f>
        <v/>
      </c>
      <c r="Z392">
        <f>HYPERLINK("https://klasma.github.io/Logging_0126/fåglar/A 49421-2023 prioriterade fågelarter.docx", "A 49421-2023")</f>
        <v/>
      </c>
    </row>
    <row r="393" ht="15" customHeight="1">
      <c r="A393" t="inlineStr">
        <is>
          <t>A 64345-2023</t>
        </is>
      </c>
      <c r="B393" s="1" t="n">
        <v>45280</v>
      </c>
      <c r="C393" s="1" t="n">
        <v>46089</v>
      </c>
      <c r="D393" t="inlineStr">
        <is>
          <t>STOCKHOLMS LÄN</t>
        </is>
      </c>
      <c r="E393" t="inlineStr">
        <is>
          <t>SIGTUNA</t>
        </is>
      </c>
      <c r="G393" t="n">
        <v>2.7</v>
      </c>
      <c r="H393" t="n">
        <v>1</v>
      </c>
      <c r="I393" t="n">
        <v>0</v>
      </c>
      <c r="J393" t="n">
        <v>0</v>
      </c>
      <c r="K393" t="n">
        <v>0</v>
      </c>
      <c r="L393" t="n">
        <v>0</v>
      </c>
      <c r="M393" t="n">
        <v>0</v>
      </c>
      <c r="N393" t="n">
        <v>0</v>
      </c>
      <c r="O393" t="n">
        <v>0</v>
      </c>
      <c r="P393" t="n">
        <v>0</v>
      </c>
      <c r="Q393" t="n">
        <v>1</v>
      </c>
      <c r="R393" s="2" t="inlineStr">
        <is>
          <t>Kungsfågel</t>
        </is>
      </c>
      <c r="S393">
        <f>HYPERLINK("https://klasma.github.io/Logging_0191/artfynd/A 64345-2023 artfynd.xlsx", "A 64345-2023")</f>
        <v/>
      </c>
      <c r="T393">
        <f>HYPERLINK("https://klasma.github.io/Logging_0191/kartor/A 64345-2023 karta.png", "A 64345-2023")</f>
        <v/>
      </c>
      <c r="V393">
        <f>HYPERLINK("https://klasma.github.io/Logging_0191/klagomål/A 64345-2023 FSC-klagomål.docx", "A 64345-2023")</f>
        <v/>
      </c>
      <c r="W393">
        <f>HYPERLINK("https://klasma.github.io/Logging_0191/klagomålsmail/A 64345-2023 FSC-klagomål mail.docx", "A 64345-2023")</f>
        <v/>
      </c>
      <c r="X393">
        <f>HYPERLINK("https://klasma.github.io/Logging_0191/tillsyn/A 64345-2023 tillsynsbegäran.docx", "A 64345-2023")</f>
        <v/>
      </c>
      <c r="Y393">
        <f>HYPERLINK("https://klasma.github.io/Logging_0191/tillsynsmail/A 64345-2023 tillsynsbegäran mail.docx", "A 64345-2023")</f>
        <v/>
      </c>
      <c r="Z393">
        <f>HYPERLINK("https://klasma.github.io/Logging_0191/fåglar/A 64345-2023 prioriterade fågelarter.docx", "A 64345-2023")</f>
        <v/>
      </c>
    </row>
    <row r="394" ht="15" customHeight="1">
      <c r="A394" t="inlineStr">
        <is>
          <t>A 52508-2023</t>
        </is>
      </c>
      <c r="B394" s="1" t="n">
        <v>45225</v>
      </c>
      <c r="C394" s="1" t="n">
        <v>46089</v>
      </c>
      <c r="D394" t="inlineStr">
        <is>
          <t>STOCKHOLMS LÄN</t>
        </is>
      </c>
      <c r="E394" t="inlineStr">
        <is>
          <t>NORRTÄLJE</t>
        </is>
      </c>
      <c r="G394" t="n">
        <v>19.7</v>
      </c>
      <c r="H394" t="n">
        <v>1</v>
      </c>
      <c r="I394" t="n">
        <v>0</v>
      </c>
      <c r="J394" t="n">
        <v>0</v>
      </c>
      <c r="K394" t="n">
        <v>1</v>
      </c>
      <c r="L394" t="n">
        <v>0</v>
      </c>
      <c r="M394" t="n">
        <v>0</v>
      </c>
      <c r="N394" t="n">
        <v>0</v>
      </c>
      <c r="O394" t="n">
        <v>1</v>
      </c>
      <c r="P394" t="n">
        <v>1</v>
      </c>
      <c r="Q394" t="n">
        <v>1</v>
      </c>
      <c r="R394" s="2" t="inlineStr">
        <is>
          <t>Svärta</t>
        </is>
      </c>
      <c r="S394">
        <f>HYPERLINK("https://klasma.github.io/Logging_0188/artfynd/A 52508-2023 artfynd.xlsx", "A 52508-2023")</f>
        <v/>
      </c>
      <c r="T394">
        <f>HYPERLINK("https://klasma.github.io/Logging_0188/kartor/A 52508-2023 karta.png", "A 52508-2023")</f>
        <v/>
      </c>
      <c r="V394">
        <f>HYPERLINK("https://klasma.github.io/Logging_0188/klagomål/A 52508-2023 FSC-klagomål.docx", "A 52508-2023")</f>
        <v/>
      </c>
      <c r="W394">
        <f>HYPERLINK("https://klasma.github.io/Logging_0188/klagomålsmail/A 52508-2023 FSC-klagomål mail.docx", "A 52508-2023")</f>
        <v/>
      </c>
      <c r="X394">
        <f>HYPERLINK("https://klasma.github.io/Logging_0188/tillsyn/A 52508-2023 tillsynsbegäran.docx", "A 52508-2023")</f>
        <v/>
      </c>
      <c r="Y394">
        <f>HYPERLINK("https://klasma.github.io/Logging_0188/tillsynsmail/A 52508-2023 tillsynsbegäran mail.docx", "A 52508-2023")</f>
        <v/>
      </c>
    </row>
    <row r="395" ht="15" customHeight="1">
      <c r="A395" t="inlineStr">
        <is>
          <t>A 52046-2022</t>
        </is>
      </c>
      <c r="B395" s="1" t="n">
        <v>44868</v>
      </c>
      <c r="C395" s="1" t="n">
        <v>46089</v>
      </c>
      <c r="D395" t="inlineStr">
        <is>
          <t>STOCKHOLMS LÄN</t>
        </is>
      </c>
      <c r="E395" t="inlineStr">
        <is>
          <t>SÖDERTÄLJE</t>
        </is>
      </c>
      <c r="F395" t="inlineStr">
        <is>
          <t>Kommuner</t>
        </is>
      </c>
      <c r="G395" t="n">
        <v>14.4</v>
      </c>
      <c r="H395" t="n">
        <v>1</v>
      </c>
      <c r="I395" t="n">
        <v>0</v>
      </c>
      <c r="J395" t="n">
        <v>0</v>
      </c>
      <c r="K395" t="n">
        <v>0</v>
      </c>
      <c r="L395" t="n">
        <v>0</v>
      </c>
      <c r="M395" t="n">
        <v>0</v>
      </c>
      <c r="N395" t="n">
        <v>0</v>
      </c>
      <c r="O395" t="n">
        <v>0</v>
      </c>
      <c r="P395" t="n">
        <v>0</v>
      </c>
      <c r="Q395" t="n">
        <v>1</v>
      </c>
      <c r="R395" s="2" t="inlineStr">
        <is>
          <t>Nattviol</t>
        </is>
      </c>
      <c r="S395">
        <f>HYPERLINK("https://klasma.github.io/Logging_0181/artfynd/A 52046-2022 artfynd.xlsx", "A 52046-2022")</f>
        <v/>
      </c>
      <c r="T395">
        <f>HYPERLINK("https://klasma.github.io/Logging_0181/kartor/A 52046-2022 karta.png", "A 52046-2022")</f>
        <v/>
      </c>
      <c r="V395">
        <f>HYPERLINK("https://klasma.github.io/Logging_0181/klagomål/A 52046-2022 FSC-klagomål.docx", "A 52046-2022")</f>
        <v/>
      </c>
      <c r="W395">
        <f>HYPERLINK("https://klasma.github.io/Logging_0181/klagomålsmail/A 52046-2022 FSC-klagomål mail.docx", "A 52046-2022")</f>
        <v/>
      </c>
      <c r="X395">
        <f>HYPERLINK("https://klasma.github.io/Logging_0181/tillsyn/A 52046-2022 tillsynsbegäran.docx", "A 52046-2022")</f>
        <v/>
      </c>
      <c r="Y395">
        <f>HYPERLINK("https://klasma.github.io/Logging_0181/tillsynsmail/A 52046-2022 tillsynsbegäran mail.docx", "A 52046-2022")</f>
        <v/>
      </c>
    </row>
    <row r="396" ht="15" customHeight="1">
      <c r="A396" t="inlineStr">
        <is>
          <t>A 31828-2023</t>
        </is>
      </c>
      <c r="B396" s="1" t="n">
        <v>45118</v>
      </c>
      <c r="C396" s="1" t="n">
        <v>46089</v>
      </c>
      <c r="D396" t="inlineStr">
        <is>
          <t>STOCKHOLMS LÄN</t>
        </is>
      </c>
      <c r="E396" t="inlineStr">
        <is>
          <t>NYNÄSHAMN</t>
        </is>
      </c>
      <c r="F396" t="inlineStr">
        <is>
          <t>Kommuner</t>
        </is>
      </c>
      <c r="G396" t="n">
        <v>2.7</v>
      </c>
      <c r="H396" t="n">
        <v>0</v>
      </c>
      <c r="I396" t="n">
        <v>1</v>
      </c>
      <c r="J396" t="n">
        <v>0</v>
      </c>
      <c r="K396" t="n">
        <v>0</v>
      </c>
      <c r="L396" t="n">
        <v>0</v>
      </c>
      <c r="M396" t="n">
        <v>0</v>
      </c>
      <c r="N396" t="n">
        <v>0</v>
      </c>
      <c r="O396" t="n">
        <v>0</v>
      </c>
      <c r="P396" t="n">
        <v>0</v>
      </c>
      <c r="Q396" t="n">
        <v>1</v>
      </c>
      <c r="R396" s="2" t="inlineStr">
        <is>
          <t>Björksplintborre</t>
        </is>
      </c>
      <c r="S396">
        <f>HYPERLINK("https://klasma.github.io/Logging_0192/artfynd/A 31828-2023 artfynd.xlsx", "A 31828-2023")</f>
        <v/>
      </c>
      <c r="T396">
        <f>HYPERLINK("https://klasma.github.io/Logging_0192/kartor/A 31828-2023 karta.png", "A 31828-2023")</f>
        <v/>
      </c>
      <c r="V396">
        <f>HYPERLINK("https://klasma.github.io/Logging_0192/klagomål/A 31828-2023 FSC-klagomål.docx", "A 31828-2023")</f>
        <v/>
      </c>
      <c r="W396">
        <f>HYPERLINK("https://klasma.github.io/Logging_0192/klagomålsmail/A 31828-2023 FSC-klagomål mail.docx", "A 31828-2023")</f>
        <v/>
      </c>
      <c r="X396">
        <f>HYPERLINK("https://klasma.github.io/Logging_0192/tillsyn/A 31828-2023 tillsynsbegäran.docx", "A 31828-2023")</f>
        <v/>
      </c>
      <c r="Y396">
        <f>HYPERLINK("https://klasma.github.io/Logging_0192/tillsynsmail/A 31828-2023 tillsynsbegäran mail.docx", "A 31828-2023")</f>
        <v/>
      </c>
    </row>
    <row r="397" ht="15" customHeight="1">
      <c r="A397" t="inlineStr">
        <is>
          <t>A 19793-2024</t>
        </is>
      </c>
      <c r="B397" s="1" t="n">
        <v>45432</v>
      </c>
      <c r="C397" s="1" t="n">
        <v>46089</v>
      </c>
      <c r="D397" t="inlineStr">
        <is>
          <t>STOCKHOLMS LÄN</t>
        </is>
      </c>
      <c r="E397" t="inlineStr">
        <is>
          <t>SÖDERTÄLJE</t>
        </is>
      </c>
      <c r="F397" t="inlineStr">
        <is>
          <t>Övriga Aktiebolag</t>
        </is>
      </c>
      <c r="G397" t="n">
        <v>4.1</v>
      </c>
      <c r="H397" t="n">
        <v>0</v>
      </c>
      <c r="I397" t="n">
        <v>1</v>
      </c>
      <c r="J397" t="n">
        <v>0</v>
      </c>
      <c r="K397" t="n">
        <v>0</v>
      </c>
      <c r="L397" t="n">
        <v>0</v>
      </c>
      <c r="M397" t="n">
        <v>0</v>
      </c>
      <c r="N397" t="n">
        <v>0</v>
      </c>
      <c r="O397" t="n">
        <v>0</v>
      </c>
      <c r="P397" t="n">
        <v>0</v>
      </c>
      <c r="Q397" t="n">
        <v>1</v>
      </c>
      <c r="R397" s="2" t="inlineStr">
        <is>
          <t>Fjällig taggsvamp s.str.</t>
        </is>
      </c>
      <c r="S397">
        <f>HYPERLINK("https://klasma.github.io/Logging_0181/artfynd/A 19793-2024 artfynd.xlsx", "A 19793-2024")</f>
        <v/>
      </c>
      <c r="T397">
        <f>HYPERLINK("https://klasma.github.io/Logging_0181/kartor/A 19793-2024 karta.png", "A 19793-2024")</f>
        <v/>
      </c>
      <c r="V397">
        <f>HYPERLINK("https://klasma.github.io/Logging_0181/klagomål/A 19793-2024 FSC-klagomål.docx", "A 19793-2024")</f>
        <v/>
      </c>
      <c r="W397">
        <f>HYPERLINK("https://klasma.github.io/Logging_0181/klagomålsmail/A 19793-2024 FSC-klagomål mail.docx", "A 19793-2024")</f>
        <v/>
      </c>
      <c r="X397">
        <f>HYPERLINK("https://klasma.github.io/Logging_0181/tillsyn/A 19793-2024 tillsynsbegäran.docx", "A 19793-2024")</f>
        <v/>
      </c>
      <c r="Y397">
        <f>HYPERLINK("https://klasma.github.io/Logging_0181/tillsynsmail/A 19793-2024 tillsynsbegäran mail.docx", "A 19793-2024")</f>
        <v/>
      </c>
    </row>
    <row r="398" ht="15" customHeight="1">
      <c r="A398" t="inlineStr">
        <is>
          <t>A 1691-2023</t>
        </is>
      </c>
      <c r="B398" s="1" t="n">
        <v>44938</v>
      </c>
      <c r="C398" s="1" t="n">
        <v>46089</v>
      </c>
      <c r="D398" t="inlineStr">
        <is>
          <t>STOCKHOLMS LÄN</t>
        </is>
      </c>
      <c r="E398" t="inlineStr">
        <is>
          <t>BOTKYRKA</t>
        </is>
      </c>
      <c r="G398" t="n">
        <v>1.7</v>
      </c>
      <c r="H398" t="n">
        <v>0</v>
      </c>
      <c r="I398" t="n">
        <v>1</v>
      </c>
      <c r="J398" t="n">
        <v>0</v>
      </c>
      <c r="K398" t="n">
        <v>0</v>
      </c>
      <c r="L398" t="n">
        <v>0</v>
      </c>
      <c r="M398" t="n">
        <v>0</v>
      </c>
      <c r="N398" t="n">
        <v>0</v>
      </c>
      <c r="O398" t="n">
        <v>0</v>
      </c>
      <c r="P398" t="n">
        <v>0</v>
      </c>
      <c r="Q398" t="n">
        <v>1</v>
      </c>
      <c r="R398" s="2" t="inlineStr">
        <is>
          <t>Tibast</t>
        </is>
      </c>
      <c r="S398">
        <f>HYPERLINK("https://klasma.github.io/Logging_0127/artfynd/A 1691-2023 artfynd.xlsx", "A 1691-2023")</f>
        <v/>
      </c>
      <c r="T398">
        <f>HYPERLINK("https://klasma.github.io/Logging_0127/kartor/A 1691-2023 karta.png", "A 1691-2023")</f>
        <v/>
      </c>
      <c r="V398">
        <f>HYPERLINK("https://klasma.github.io/Logging_0127/klagomål/A 1691-2023 FSC-klagomål.docx", "A 1691-2023")</f>
        <v/>
      </c>
      <c r="W398">
        <f>HYPERLINK("https://klasma.github.io/Logging_0127/klagomålsmail/A 1691-2023 FSC-klagomål mail.docx", "A 1691-2023")</f>
        <v/>
      </c>
      <c r="X398">
        <f>HYPERLINK("https://klasma.github.io/Logging_0127/tillsyn/A 1691-2023 tillsynsbegäran.docx", "A 1691-2023")</f>
        <v/>
      </c>
      <c r="Y398">
        <f>HYPERLINK("https://klasma.github.io/Logging_0127/tillsynsmail/A 1691-2023 tillsynsbegäran mail.docx", "A 1691-2023")</f>
        <v/>
      </c>
    </row>
    <row r="399" ht="15" customHeight="1">
      <c r="A399" t="inlineStr">
        <is>
          <t>A 6435-2023</t>
        </is>
      </c>
      <c r="B399" s="1" t="n">
        <v>44965</v>
      </c>
      <c r="C399" s="1" t="n">
        <v>46089</v>
      </c>
      <c r="D399" t="inlineStr">
        <is>
          <t>STOCKHOLMS LÄN</t>
        </is>
      </c>
      <c r="E399" t="inlineStr">
        <is>
          <t>NYNÄSHAMN</t>
        </is>
      </c>
      <c r="G399" t="n">
        <v>1.8</v>
      </c>
      <c r="H399" t="n">
        <v>0</v>
      </c>
      <c r="I399" t="n">
        <v>0</v>
      </c>
      <c r="J399" t="n">
        <v>1</v>
      </c>
      <c r="K399" t="n">
        <v>0</v>
      </c>
      <c r="L399" t="n">
        <v>0</v>
      </c>
      <c r="M399" t="n">
        <v>0</v>
      </c>
      <c r="N399" t="n">
        <v>0</v>
      </c>
      <c r="O399" t="n">
        <v>1</v>
      </c>
      <c r="P399" t="n">
        <v>0</v>
      </c>
      <c r="Q399" t="n">
        <v>1</v>
      </c>
      <c r="R399" s="2" t="inlineStr">
        <is>
          <t>Tallticka</t>
        </is>
      </c>
      <c r="S399">
        <f>HYPERLINK("https://klasma.github.io/Logging_0192/artfynd/A 6435-2023 artfynd.xlsx", "A 6435-2023")</f>
        <v/>
      </c>
      <c r="T399">
        <f>HYPERLINK("https://klasma.github.io/Logging_0192/kartor/A 6435-2023 karta.png", "A 6435-2023")</f>
        <v/>
      </c>
      <c r="V399">
        <f>HYPERLINK("https://klasma.github.io/Logging_0192/klagomål/A 6435-2023 FSC-klagomål.docx", "A 6435-2023")</f>
        <v/>
      </c>
      <c r="W399">
        <f>HYPERLINK("https://klasma.github.io/Logging_0192/klagomålsmail/A 6435-2023 FSC-klagomål mail.docx", "A 6435-2023")</f>
        <v/>
      </c>
      <c r="X399">
        <f>HYPERLINK("https://klasma.github.io/Logging_0192/tillsyn/A 6435-2023 tillsynsbegäran.docx", "A 6435-2023")</f>
        <v/>
      </c>
      <c r="Y399">
        <f>HYPERLINK("https://klasma.github.io/Logging_0192/tillsynsmail/A 6435-2023 tillsynsbegäran mail.docx", "A 6435-2023")</f>
        <v/>
      </c>
    </row>
    <row r="400" ht="15" customHeight="1">
      <c r="A400" t="inlineStr">
        <is>
          <t>A 27827-2022</t>
        </is>
      </c>
      <c r="B400" s="1" t="n">
        <v>44743.59504629629</v>
      </c>
      <c r="C400" s="1" t="n">
        <v>46089</v>
      </c>
      <c r="D400" t="inlineStr">
        <is>
          <t>STOCKHOLMS LÄN</t>
        </is>
      </c>
      <c r="E400" t="inlineStr">
        <is>
          <t>NORRTÄLJE</t>
        </is>
      </c>
      <c r="F400" t="inlineStr">
        <is>
          <t>Holmen skog AB</t>
        </is>
      </c>
      <c r="G400" t="n">
        <v>4.7</v>
      </c>
      <c r="H400" t="n">
        <v>1</v>
      </c>
      <c r="I400" t="n">
        <v>0</v>
      </c>
      <c r="J400" t="n">
        <v>1</v>
      </c>
      <c r="K400" t="n">
        <v>0</v>
      </c>
      <c r="L400" t="n">
        <v>0</v>
      </c>
      <c r="M400" t="n">
        <v>0</v>
      </c>
      <c r="N400" t="n">
        <v>0</v>
      </c>
      <c r="O400" t="n">
        <v>1</v>
      </c>
      <c r="P400" t="n">
        <v>0</v>
      </c>
      <c r="Q400" t="n">
        <v>1</v>
      </c>
      <c r="R400" s="2" t="inlineStr">
        <is>
          <t>Nordfladdermus</t>
        </is>
      </c>
      <c r="S400">
        <f>HYPERLINK("https://klasma.github.io/Logging_0188/artfynd/A 27827-2022 artfynd.xlsx", "A 27827-2022")</f>
        <v/>
      </c>
      <c r="T400">
        <f>HYPERLINK("https://klasma.github.io/Logging_0188/kartor/A 27827-2022 karta.png", "A 27827-2022")</f>
        <v/>
      </c>
      <c r="V400">
        <f>HYPERLINK("https://klasma.github.io/Logging_0188/klagomål/A 27827-2022 FSC-klagomål.docx", "A 27827-2022")</f>
        <v/>
      </c>
      <c r="W400">
        <f>HYPERLINK("https://klasma.github.io/Logging_0188/klagomålsmail/A 27827-2022 FSC-klagomål mail.docx", "A 27827-2022")</f>
        <v/>
      </c>
      <c r="X400">
        <f>HYPERLINK("https://klasma.github.io/Logging_0188/tillsyn/A 27827-2022 tillsynsbegäran.docx", "A 27827-2022")</f>
        <v/>
      </c>
      <c r="Y400">
        <f>HYPERLINK("https://klasma.github.io/Logging_0188/tillsynsmail/A 27827-2022 tillsynsbegäran mail.docx", "A 27827-2022")</f>
        <v/>
      </c>
    </row>
    <row r="401" ht="15" customHeight="1">
      <c r="A401" t="inlineStr">
        <is>
          <t>A 18100-2022</t>
        </is>
      </c>
      <c r="B401" s="1" t="n">
        <v>44684</v>
      </c>
      <c r="C401" s="1" t="n">
        <v>46089</v>
      </c>
      <c r="D401" t="inlineStr">
        <is>
          <t>STOCKHOLMS LÄN</t>
        </is>
      </c>
      <c r="E401" t="inlineStr">
        <is>
          <t>BOTKYRKA</t>
        </is>
      </c>
      <c r="G401" t="n">
        <v>3.1</v>
      </c>
      <c r="H401" t="n">
        <v>1</v>
      </c>
      <c r="I401" t="n">
        <v>0</v>
      </c>
      <c r="J401" t="n">
        <v>0</v>
      </c>
      <c r="K401" t="n">
        <v>0</v>
      </c>
      <c r="L401" t="n">
        <v>0</v>
      </c>
      <c r="M401" t="n">
        <v>0</v>
      </c>
      <c r="N401" t="n">
        <v>0</v>
      </c>
      <c r="O401" t="n">
        <v>0</v>
      </c>
      <c r="P401" t="n">
        <v>0</v>
      </c>
      <c r="Q401" t="n">
        <v>1</v>
      </c>
      <c r="R401" s="2" t="inlineStr">
        <is>
          <t>Gullviva</t>
        </is>
      </c>
      <c r="S401">
        <f>HYPERLINK("https://klasma.github.io/Logging_0127/artfynd/A 18100-2022 artfynd.xlsx", "A 18100-2022")</f>
        <v/>
      </c>
      <c r="T401">
        <f>HYPERLINK("https://klasma.github.io/Logging_0127/kartor/A 18100-2022 karta.png", "A 18100-2022")</f>
        <v/>
      </c>
      <c r="V401">
        <f>HYPERLINK("https://klasma.github.io/Logging_0127/klagomål/A 18100-2022 FSC-klagomål.docx", "A 18100-2022")</f>
        <v/>
      </c>
      <c r="W401">
        <f>HYPERLINK("https://klasma.github.io/Logging_0127/klagomålsmail/A 18100-2022 FSC-klagomål mail.docx", "A 18100-2022")</f>
        <v/>
      </c>
      <c r="X401">
        <f>HYPERLINK("https://klasma.github.io/Logging_0127/tillsyn/A 18100-2022 tillsynsbegäran.docx", "A 18100-2022")</f>
        <v/>
      </c>
      <c r="Y401">
        <f>HYPERLINK("https://klasma.github.io/Logging_0127/tillsynsmail/A 18100-2022 tillsynsbegäran mail.docx", "A 18100-2022")</f>
        <v/>
      </c>
    </row>
    <row r="402" ht="15" customHeight="1">
      <c r="A402" t="inlineStr">
        <is>
          <t>A 23146-2024</t>
        </is>
      </c>
      <c r="B402" s="1" t="n">
        <v>45450.63958333333</v>
      </c>
      <c r="C402" s="1" t="n">
        <v>46089</v>
      </c>
      <c r="D402" t="inlineStr">
        <is>
          <t>STOCKHOLMS LÄN</t>
        </is>
      </c>
      <c r="E402" t="inlineStr">
        <is>
          <t>NORRTÄLJE</t>
        </is>
      </c>
      <c r="F402" t="inlineStr">
        <is>
          <t>Kommuner</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HYPERLINK("https://klasma.github.io/Logging_0188/artfynd/A 23146-2024 artfynd.xlsx", "A 23146-2024")</f>
        <v/>
      </c>
      <c r="T402">
        <f>HYPERLINK("https://klasma.github.io/Logging_0188/kartor/A 23146-2024 karta.png", "A 23146-2024")</f>
        <v/>
      </c>
      <c r="V402">
        <f>HYPERLINK("https://klasma.github.io/Logging_0188/klagomål/A 23146-2024 FSC-klagomål.docx", "A 23146-2024")</f>
        <v/>
      </c>
      <c r="W402">
        <f>HYPERLINK("https://klasma.github.io/Logging_0188/klagomålsmail/A 23146-2024 FSC-klagomål mail.docx", "A 23146-2024")</f>
        <v/>
      </c>
      <c r="X402">
        <f>HYPERLINK("https://klasma.github.io/Logging_0188/tillsyn/A 23146-2024 tillsynsbegäran.docx", "A 23146-2024")</f>
        <v/>
      </c>
      <c r="Y402">
        <f>HYPERLINK("https://klasma.github.io/Logging_0188/tillsynsmail/A 23146-2024 tillsynsbegäran mail.docx", "A 23146-2024")</f>
        <v/>
      </c>
    </row>
    <row r="403" ht="15" customHeight="1">
      <c r="A403" t="inlineStr">
        <is>
          <t>A 24233-2023</t>
        </is>
      </c>
      <c r="B403" s="1" t="n">
        <v>45076</v>
      </c>
      <c r="C403" s="1" t="n">
        <v>46089</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17341-2025</t>
        </is>
      </c>
      <c r="B404" s="1" t="n">
        <v>45756</v>
      </c>
      <c r="C404" s="1" t="n">
        <v>46089</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11393-2022</t>
        </is>
      </c>
      <c r="B405" s="1" t="n">
        <v>44630</v>
      </c>
      <c r="C405" s="1" t="n">
        <v>46089</v>
      </c>
      <c r="D405" t="inlineStr">
        <is>
          <t>STOCKHOLMS LÄN</t>
        </is>
      </c>
      <c r="E405" t="inlineStr">
        <is>
          <t>NYKVARN</t>
        </is>
      </c>
      <c r="G405" t="n">
        <v>3.8</v>
      </c>
      <c r="H405" t="n">
        <v>0</v>
      </c>
      <c r="I405" t="n">
        <v>1</v>
      </c>
      <c r="J405" t="n">
        <v>0</v>
      </c>
      <c r="K405" t="n">
        <v>0</v>
      </c>
      <c r="L405" t="n">
        <v>0</v>
      </c>
      <c r="M405" t="n">
        <v>0</v>
      </c>
      <c r="N405" t="n">
        <v>0</v>
      </c>
      <c r="O405" t="n">
        <v>0</v>
      </c>
      <c r="P405" t="n">
        <v>0</v>
      </c>
      <c r="Q405" t="n">
        <v>1</v>
      </c>
      <c r="R405" s="2" t="inlineStr">
        <is>
          <t>Björksplintborre</t>
        </is>
      </c>
      <c r="S405">
        <f>HYPERLINK("https://klasma.github.io/Logging_0140/artfynd/A 11393-2022 artfynd.xlsx", "A 11393-2022")</f>
        <v/>
      </c>
      <c r="T405">
        <f>HYPERLINK("https://klasma.github.io/Logging_0140/kartor/A 11393-2022 karta.png", "A 11393-2022")</f>
        <v/>
      </c>
      <c r="V405">
        <f>HYPERLINK("https://klasma.github.io/Logging_0140/klagomål/A 11393-2022 FSC-klagomål.docx", "A 11393-2022")</f>
        <v/>
      </c>
      <c r="W405">
        <f>HYPERLINK("https://klasma.github.io/Logging_0140/klagomålsmail/A 11393-2022 FSC-klagomål mail.docx", "A 11393-2022")</f>
        <v/>
      </c>
      <c r="X405">
        <f>HYPERLINK("https://klasma.github.io/Logging_0140/tillsyn/A 11393-2022 tillsynsbegäran.docx", "A 11393-2022")</f>
        <v/>
      </c>
      <c r="Y405">
        <f>HYPERLINK("https://klasma.github.io/Logging_0140/tillsynsmail/A 11393-2022 tillsynsbegäran mail.docx", "A 11393-2022")</f>
        <v/>
      </c>
    </row>
    <row r="406" ht="15" customHeight="1">
      <c r="A406" t="inlineStr">
        <is>
          <t>A 52545-2024</t>
        </is>
      </c>
      <c r="B406" s="1" t="n">
        <v>45609.63619212963</v>
      </c>
      <c r="C406" s="1" t="n">
        <v>46089</v>
      </c>
      <c r="D406" t="inlineStr">
        <is>
          <t>STOCKHOLMS LÄN</t>
        </is>
      </c>
      <c r="E406" t="inlineStr">
        <is>
          <t>EKERÖ</t>
        </is>
      </c>
      <c r="G406" t="n">
        <v>2.8</v>
      </c>
      <c r="H406" t="n">
        <v>1</v>
      </c>
      <c r="I406" t="n">
        <v>1</v>
      </c>
      <c r="J406" t="n">
        <v>0</v>
      </c>
      <c r="K406" t="n">
        <v>0</v>
      </c>
      <c r="L406" t="n">
        <v>0</v>
      </c>
      <c r="M406" t="n">
        <v>0</v>
      </c>
      <c r="N406" t="n">
        <v>0</v>
      </c>
      <c r="O406" t="n">
        <v>0</v>
      </c>
      <c r="P406" t="n">
        <v>0</v>
      </c>
      <c r="Q406" t="n">
        <v>1</v>
      </c>
      <c r="R406" s="2" t="inlineStr">
        <is>
          <t>Grön sköldmossa</t>
        </is>
      </c>
      <c r="S406">
        <f>HYPERLINK("https://klasma.github.io/Logging_0125/artfynd/A 52545-2024 artfynd.xlsx", "A 52545-2024")</f>
        <v/>
      </c>
      <c r="T406">
        <f>HYPERLINK("https://klasma.github.io/Logging_0125/kartor/A 52545-2024 karta.png", "A 52545-2024")</f>
        <v/>
      </c>
      <c r="V406">
        <f>HYPERLINK("https://klasma.github.io/Logging_0125/klagomål/A 52545-2024 FSC-klagomål.docx", "A 52545-2024")</f>
        <v/>
      </c>
      <c r="W406">
        <f>HYPERLINK("https://klasma.github.io/Logging_0125/klagomålsmail/A 52545-2024 FSC-klagomål mail.docx", "A 52545-2024")</f>
        <v/>
      </c>
      <c r="X406">
        <f>HYPERLINK("https://klasma.github.io/Logging_0125/tillsyn/A 52545-2024 tillsynsbegäran.docx", "A 52545-2024")</f>
        <v/>
      </c>
      <c r="Y406">
        <f>HYPERLINK("https://klasma.github.io/Logging_0125/tillsynsmail/A 52545-2024 tillsynsbegäran mail.docx", "A 52545-2024")</f>
        <v/>
      </c>
    </row>
    <row r="407" ht="15" customHeight="1">
      <c r="A407" t="inlineStr">
        <is>
          <t>A 27538-2024</t>
        </is>
      </c>
      <c r="B407" s="1" t="n">
        <v>45474</v>
      </c>
      <c r="C407" s="1" t="n">
        <v>46089</v>
      </c>
      <c r="D407" t="inlineStr">
        <is>
          <t>STOCKHOLMS LÄN</t>
        </is>
      </c>
      <c r="E407" t="inlineStr">
        <is>
          <t>NORRTÄLJE</t>
        </is>
      </c>
      <c r="G407" t="n">
        <v>1.5</v>
      </c>
      <c r="H407" t="n">
        <v>1</v>
      </c>
      <c r="I407" t="n">
        <v>1</v>
      </c>
      <c r="J407" t="n">
        <v>0</v>
      </c>
      <c r="K407" t="n">
        <v>0</v>
      </c>
      <c r="L407" t="n">
        <v>0</v>
      </c>
      <c r="M407" t="n">
        <v>0</v>
      </c>
      <c r="N407" t="n">
        <v>0</v>
      </c>
      <c r="O407" t="n">
        <v>0</v>
      </c>
      <c r="P407" t="n">
        <v>0</v>
      </c>
      <c r="Q407" t="n">
        <v>1</v>
      </c>
      <c r="R407" s="2" t="inlineStr">
        <is>
          <t>Skogsknipprot</t>
        </is>
      </c>
      <c r="S407">
        <f>HYPERLINK("https://klasma.github.io/Logging_0188/artfynd/A 27538-2024 artfynd.xlsx", "A 27538-2024")</f>
        <v/>
      </c>
      <c r="T407">
        <f>HYPERLINK("https://klasma.github.io/Logging_0188/kartor/A 27538-2024 karta.png", "A 27538-2024")</f>
        <v/>
      </c>
      <c r="V407">
        <f>HYPERLINK("https://klasma.github.io/Logging_0188/klagomål/A 27538-2024 FSC-klagomål.docx", "A 27538-2024")</f>
        <v/>
      </c>
      <c r="W407">
        <f>HYPERLINK("https://klasma.github.io/Logging_0188/klagomålsmail/A 27538-2024 FSC-klagomål mail.docx", "A 27538-2024")</f>
        <v/>
      </c>
      <c r="X407">
        <f>HYPERLINK("https://klasma.github.io/Logging_0188/tillsyn/A 27538-2024 tillsynsbegäran.docx", "A 27538-2024")</f>
        <v/>
      </c>
      <c r="Y407">
        <f>HYPERLINK("https://klasma.github.io/Logging_0188/tillsynsmail/A 27538-2024 tillsynsbegäran mail.docx", "A 27538-2024")</f>
        <v/>
      </c>
    </row>
    <row r="408" ht="15" customHeight="1">
      <c r="A408" t="inlineStr">
        <is>
          <t>A 39716-2023</t>
        </is>
      </c>
      <c r="B408" s="1" t="n">
        <v>45166</v>
      </c>
      <c r="C408" s="1" t="n">
        <v>46089</v>
      </c>
      <c r="D408" t="inlineStr">
        <is>
          <t>STOCKHOLMS LÄN</t>
        </is>
      </c>
      <c r="E408" t="inlineStr">
        <is>
          <t>SIGTUNA</t>
        </is>
      </c>
      <c r="G408" t="n">
        <v>3.5</v>
      </c>
      <c r="H408" t="n">
        <v>1</v>
      </c>
      <c r="I408" t="n">
        <v>0</v>
      </c>
      <c r="J408" t="n">
        <v>1</v>
      </c>
      <c r="K408" t="n">
        <v>0</v>
      </c>
      <c r="L408" t="n">
        <v>0</v>
      </c>
      <c r="M408" t="n">
        <v>0</v>
      </c>
      <c r="N408" t="n">
        <v>0</v>
      </c>
      <c r="O408" t="n">
        <v>1</v>
      </c>
      <c r="P408" t="n">
        <v>0</v>
      </c>
      <c r="Q408" t="n">
        <v>1</v>
      </c>
      <c r="R408" s="2" t="inlineStr">
        <is>
          <t>Hornuggla</t>
        </is>
      </c>
      <c r="S408">
        <f>HYPERLINK("https://klasma.github.io/Logging_0191/artfynd/A 39716-2023 artfynd.xlsx", "A 39716-2023")</f>
        <v/>
      </c>
      <c r="T408">
        <f>HYPERLINK("https://klasma.github.io/Logging_0191/kartor/A 39716-2023 karta.png", "A 39716-2023")</f>
        <v/>
      </c>
      <c r="V408">
        <f>HYPERLINK("https://klasma.github.io/Logging_0191/klagomål/A 39716-2023 FSC-klagomål.docx", "A 39716-2023")</f>
        <v/>
      </c>
      <c r="W408">
        <f>HYPERLINK("https://klasma.github.io/Logging_0191/klagomålsmail/A 39716-2023 FSC-klagomål mail.docx", "A 39716-2023")</f>
        <v/>
      </c>
      <c r="X408">
        <f>HYPERLINK("https://klasma.github.io/Logging_0191/tillsyn/A 39716-2023 tillsynsbegäran.docx", "A 39716-2023")</f>
        <v/>
      </c>
      <c r="Y408">
        <f>HYPERLINK("https://klasma.github.io/Logging_0191/tillsynsmail/A 39716-2023 tillsynsbegäran mail.docx", "A 39716-2023")</f>
        <v/>
      </c>
      <c r="Z408">
        <f>HYPERLINK("https://klasma.github.io/Logging_0191/fåglar/A 39716-2023 prioriterade fågelarter.docx", "A 39716-2023")</f>
        <v/>
      </c>
    </row>
    <row r="409" ht="15" customHeight="1">
      <c r="A409" t="inlineStr">
        <is>
          <t>A 48131-2023</t>
        </is>
      </c>
      <c r="B409" s="1" t="n">
        <v>45205</v>
      </c>
      <c r="C409" s="1" t="n">
        <v>46089</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46089</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46089</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46089</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46089</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46089</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46089</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46089</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46089</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46089</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46089</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46089</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Druvfingersvampar</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1793-2025</t>
        </is>
      </c>
      <c r="B421" s="1" t="n">
        <v>45671</v>
      </c>
      <c r="C421" s="1" t="n">
        <v>46089</v>
      </c>
      <c r="D421" t="inlineStr">
        <is>
          <t>STOCKHOLMS LÄN</t>
        </is>
      </c>
      <c r="E421" t="inlineStr">
        <is>
          <t>EKERÖ</t>
        </is>
      </c>
      <c r="G421" t="n">
        <v>1.7</v>
      </c>
      <c r="H421" t="n">
        <v>1</v>
      </c>
      <c r="I421" t="n">
        <v>0</v>
      </c>
      <c r="J421" t="n">
        <v>0</v>
      </c>
      <c r="K421" t="n">
        <v>0</v>
      </c>
      <c r="L421" t="n">
        <v>0</v>
      </c>
      <c r="M421" t="n">
        <v>0</v>
      </c>
      <c r="N421" t="n">
        <v>0</v>
      </c>
      <c r="O421" t="n">
        <v>0</v>
      </c>
      <c r="P421" t="n">
        <v>0</v>
      </c>
      <c r="Q421" t="n">
        <v>1</v>
      </c>
      <c r="R421" s="2" t="inlineStr">
        <is>
          <t>Mistel</t>
        </is>
      </c>
      <c r="S421">
        <f>HYPERLINK("https://klasma.github.io/Logging_0125/artfynd/A 1793-2025 artfynd.xlsx", "A 1793-2025")</f>
        <v/>
      </c>
      <c r="T421">
        <f>HYPERLINK("https://klasma.github.io/Logging_0125/kartor/A 1793-2025 karta.png", "A 1793-2025")</f>
        <v/>
      </c>
      <c r="V421">
        <f>HYPERLINK("https://klasma.github.io/Logging_0125/klagomål/A 1793-2025 FSC-klagomål.docx", "A 1793-2025")</f>
        <v/>
      </c>
      <c r="W421">
        <f>HYPERLINK("https://klasma.github.io/Logging_0125/klagomålsmail/A 1793-2025 FSC-klagomål mail.docx", "A 1793-2025")</f>
        <v/>
      </c>
      <c r="X421">
        <f>HYPERLINK("https://klasma.github.io/Logging_0125/tillsyn/A 1793-2025 tillsynsbegäran.docx", "A 1793-2025")</f>
        <v/>
      </c>
      <c r="Y421">
        <f>HYPERLINK("https://klasma.github.io/Logging_0125/tillsynsmail/A 1793-2025 tillsynsbegäran mail.docx", "A 1793-2025")</f>
        <v/>
      </c>
    </row>
    <row r="422" ht="15" customHeight="1">
      <c r="A422" t="inlineStr">
        <is>
          <t>A 9955-2022</t>
        </is>
      </c>
      <c r="B422" s="1" t="n">
        <v>44620</v>
      </c>
      <c r="C422" s="1" t="n">
        <v>46089</v>
      </c>
      <c r="D422" t="inlineStr">
        <is>
          <t>STOCKHOLMS LÄN</t>
        </is>
      </c>
      <c r="E422" t="inlineStr">
        <is>
          <t>NORRTÄLJE</t>
        </is>
      </c>
      <c r="G422" t="n">
        <v>7.8</v>
      </c>
      <c r="H422" t="n">
        <v>1</v>
      </c>
      <c r="I422" t="n">
        <v>0</v>
      </c>
      <c r="J422" t="n">
        <v>0</v>
      </c>
      <c r="K422" t="n">
        <v>0</v>
      </c>
      <c r="L422" t="n">
        <v>0</v>
      </c>
      <c r="M422" t="n">
        <v>0</v>
      </c>
      <c r="N422" t="n">
        <v>0</v>
      </c>
      <c r="O422" t="n">
        <v>0</v>
      </c>
      <c r="P422" t="n">
        <v>0</v>
      </c>
      <c r="Q422" t="n">
        <v>1</v>
      </c>
      <c r="R422" s="2" t="inlineStr">
        <is>
          <t>Åkergroda</t>
        </is>
      </c>
      <c r="S422">
        <f>HYPERLINK("https://klasma.github.io/Logging_0188/artfynd/A 9955-2022 artfynd.xlsx", "A 9955-2022")</f>
        <v/>
      </c>
      <c r="T422">
        <f>HYPERLINK("https://klasma.github.io/Logging_0188/kartor/A 9955-2022 karta.png", "A 9955-2022")</f>
        <v/>
      </c>
      <c r="V422">
        <f>HYPERLINK("https://klasma.github.io/Logging_0188/klagomål/A 9955-2022 FSC-klagomål.docx", "A 9955-2022")</f>
        <v/>
      </c>
      <c r="W422">
        <f>HYPERLINK("https://klasma.github.io/Logging_0188/klagomålsmail/A 9955-2022 FSC-klagomål mail.docx", "A 9955-2022")</f>
        <v/>
      </c>
      <c r="X422">
        <f>HYPERLINK("https://klasma.github.io/Logging_0188/tillsyn/A 9955-2022 tillsynsbegäran.docx", "A 9955-2022")</f>
        <v/>
      </c>
      <c r="Y422">
        <f>HYPERLINK("https://klasma.github.io/Logging_0188/tillsynsmail/A 9955-2022 tillsynsbegäran mail.docx", "A 9955-2022")</f>
        <v/>
      </c>
    </row>
    <row r="423" ht="15" customHeight="1">
      <c r="A423" t="inlineStr">
        <is>
          <t>A 23279-2025</t>
        </is>
      </c>
      <c r="B423" s="1" t="n">
        <v>45791</v>
      </c>
      <c r="C423" s="1" t="n">
        <v>46089</v>
      </c>
      <c r="D423" t="inlineStr">
        <is>
          <t>STOCKHOLMS LÄN</t>
        </is>
      </c>
      <c r="E423" t="inlineStr">
        <is>
          <t>NYKVARN</t>
        </is>
      </c>
      <c r="F423" t="inlineStr">
        <is>
          <t>Sveaskog</t>
        </is>
      </c>
      <c r="G423" t="n">
        <v>0.5</v>
      </c>
      <c r="H423" t="n">
        <v>1</v>
      </c>
      <c r="I423" t="n">
        <v>0</v>
      </c>
      <c r="J423" t="n">
        <v>0</v>
      </c>
      <c r="K423" t="n">
        <v>0</v>
      </c>
      <c r="L423" t="n">
        <v>0</v>
      </c>
      <c r="M423" t="n">
        <v>0</v>
      </c>
      <c r="N423" t="n">
        <v>0</v>
      </c>
      <c r="O423" t="n">
        <v>0</v>
      </c>
      <c r="P423" t="n">
        <v>0</v>
      </c>
      <c r="Q423" t="n">
        <v>1</v>
      </c>
      <c r="R423" s="2" t="inlineStr">
        <is>
          <t>Blåsippa</t>
        </is>
      </c>
      <c r="S423">
        <f>HYPERLINK("https://klasma.github.io/Logging_0140/artfynd/A 23279-2025 artfynd.xlsx", "A 23279-2025")</f>
        <v/>
      </c>
      <c r="T423">
        <f>HYPERLINK("https://klasma.github.io/Logging_0140/kartor/A 23279-2025 karta.png", "A 23279-2025")</f>
        <v/>
      </c>
      <c r="V423">
        <f>HYPERLINK("https://klasma.github.io/Logging_0140/klagomål/A 23279-2025 FSC-klagomål.docx", "A 23279-2025")</f>
        <v/>
      </c>
      <c r="W423">
        <f>HYPERLINK("https://klasma.github.io/Logging_0140/klagomålsmail/A 23279-2025 FSC-klagomål mail.docx", "A 23279-2025")</f>
        <v/>
      </c>
      <c r="X423">
        <f>HYPERLINK("https://klasma.github.io/Logging_0140/tillsyn/A 23279-2025 tillsynsbegäran.docx", "A 23279-2025")</f>
        <v/>
      </c>
      <c r="Y423">
        <f>HYPERLINK("https://klasma.github.io/Logging_0140/tillsynsmail/A 23279-2025 tillsynsbegäran mail.docx", "A 23279-2025")</f>
        <v/>
      </c>
    </row>
    <row r="424" ht="15" customHeight="1">
      <c r="A424" t="inlineStr">
        <is>
          <t>A 22936-2025</t>
        </is>
      </c>
      <c r="B424" s="1" t="n">
        <v>45790.45738425926</v>
      </c>
      <c r="C424" s="1" t="n">
        <v>46089</v>
      </c>
      <c r="D424" t="inlineStr">
        <is>
          <t>STOCKHOLMS LÄN</t>
        </is>
      </c>
      <c r="E424" t="inlineStr">
        <is>
          <t>VALLENTUNA</t>
        </is>
      </c>
      <c r="G424" t="n">
        <v>2.7</v>
      </c>
      <c r="H424" t="n">
        <v>0</v>
      </c>
      <c r="I424" t="n">
        <v>1</v>
      </c>
      <c r="J424" t="n">
        <v>0</v>
      </c>
      <c r="K424" t="n">
        <v>0</v>
      </c>
      <c r="L424" t="n">
        <v>0</v>
      </c>
      <c r="M424" t="n">
        <v>0</v>
      </c>
      <c r="N424" t="n">
        <v>0</v>
      </c>
      <c r="O424" t="n">
        <v>0</v>
      </c>
      <c r="P424" t="n">
        <v>0</v>
      </c>
      <c r="Q424" t="n">
        <v>1</v>
      </c>
      <c r="R424" s="2" t="inlineStr">
        <is>
          <t>Björksplintborre</t>
        </is>
      </c>
      <c r="S424">
        <f>HYPERLINK("https://klasma.github.io/Logging_0115/artfynd/A 22936-2025 artfynd.xlsx", "A 22936-2025")</f>
        <v/>
      </c>
      <c r="T424">
        <f>HYPERLINK("https://klasma.github.io/Logging_0115/kartor/A 22936-2025 karta.png", "A 22936-2025")</f>
        <v/>
      </c>
      <c r="V424">
        <f>HYPERLINK("https://klasma.github.io/Logging_0115/klagomål/A 22936-2025 FSC-klagomål.docx", "A 22936-2025")</f>
        <v/>
      </c>
      <c r="W424">
        <f>HYPERLINK("https://klasma.github.io/Logging_0115/klagomålsmail/A 22936-2025 FSC-klagomål mail.docx", "A 22936-2025")</f>
        <v/>
      </c>
      <c r="X424">
        <f>HYPERLINK("https://klasma.github.io/Logging_0115/tillsyn/A 22936-2025 tillsynsbegäran.docx", "A 22936-2025")</f>
        <v/>
      </c>
      <c r="Y424">
        <f>HYPERLINK("https://klasma.github.io/Logging_0115/tillsynsmail/A 22936-2025 tillsynsbegäran mail.docx", "A 22936-2025")</f>
        <v/>
      </c>
    </row>
    <row r="425" ht="15" customHeight="1">
      <c r="A425" t="inlineStr">
        <is>
          <t>A 31780-2021</t>
        </is>
      </c>
      <c r="B425" s="1" t="n">
        <v>44369</v>
      </c>
      <c r="C425" s="1" t="n">
        <v>46089</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46089</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46089</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46089</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46089</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46089</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46089</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46089</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46089</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46089</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46089</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46089</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46089</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46089</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46089</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46089</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46089</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37421-2021</t>
        </is>
      </c>
      <c r="B442" s="1" t="n">
        <v>44397</v>
      </c>
      <c r="C442" s="1" t="n">
        <v>46089</v>
      </c>
      <c r="D442" t="inlineStr">
        <is>
          <t>STOCKHOLMS LÄN</t>
        </is>
      </c>
      <c r="E442" t="inlineStr">
        <is>
          <t>UPPLANDS-BRO</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37422-2021</t>
        </is>
      </c>
      <c r="B443" s="1" t="n">
        <v>44398</v>
      </c>
      <c r="C443" s="1" t="n">
        <v>46089</v>
      </c>
      <c r="D443" t="inlineStr">
        <is>
          <t>STOCKHOLMS LÄN</t>
        </is>
      </c>
      <c r="E443" t="inlineStr">
        <is>
          <t>NYNÄSHAMN</t>
        </is>
      </c>
      <c r="G443" t="n">
        <v>25.8</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46089</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40542-2021</t>
        </is>
      </c>
      <c r="B445" s="1" t="n">
        <v>44420</v>
      </c>
      <c r="C445" s="1" t="n">
        <v>46089</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40546-2021</t>
        </is>
      </c>
      <c r="B446" s="1" t="n">
        <v>44420</v>
      </c>
      <c r="C446" s="1" t="n">
        <v>46089</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46089</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46089</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46089</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46089</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46089</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23096-2021</t>
        </is>
      </c>
      <c r="B452" s="1" t="n">
        <v>44330</v>
      </c>
      <c r="C452" s="1" t="n">
        <v>46089</v>
      </c>
      <c r="D452" t="inlineStr">
        <is>
          <t>STOCKHOLMS LÄN</t>
        </is>
      </c>
      <c r="E452" t="inlineStr">
        <is>
          <t>NORRTÄLJE</t>
        </is>
      </c>
      <c r="G452" t="n">
        <v>0.3</v>
      </c>
      <c r="H452" t="n">
        <v>0</v>
      </c>
      <c r="I452" t="n">
        <v>0</v>
      </c>
      <c r="J452" t="n">
        <v>0</v>
      </c>
      <c r="K452" t="n">
        <v>0</v>
      </c>
      <c r="L452" t="n">
        <v>0</v>
      </c>
      <c r="M452" t="n">
        <v>0</v>
      </c>
      <c r="N452" t="n">
        <v>0</v>
      </c>
      <c r="O452" t="n">
        <v>0</v>
      </c>
      <c r="P452" t="n">
        <v>0</v>
      </c>
      <c r="Q452" t="n">
        <v>0</v>
      </c>
      <c r="R452" s="2" t="inlineStr"/>
    </row>
    <row r="453" ht="15" customHeight="1">
      <c r="A453" t="inlineStr">
        <is>
          <t>A 26767-2021</t>
        </is>
      </c>
      <c r="B453" s="1" t="n">
        <v>44349</v>
      </c>
      <c r="C453" s="1" t="n">
        <v>46089</v>
      </c>
      <c r="D453" t="inlineStr">
        <is>
          <t>STOCKHOLMS LÄN</t>
        </is>
      </c>
      <c r="E453" t="inlineStr">
        <is>
          <t>NYNÄSHAMN</t>
        </is>
      </c>
      <c r="G453" t="n">
        <v>2.3</v>
      </c>
      <c r="H453" t="n">
        <v>0</v>
      </c>
      <c r="I453" t="n">
        <v>0</v>
      </c>
      <c r="J453" t="n">
        <v>0</v>
      </c>
      <c r="K453" t="n">
        <v>0</v>
      </c>
      <c r="L453" t="n">
        <v>0</v>
      </c>
      <c r="M453" t="n">
        <v>0</v>
      </c>
      <c r="N453" t="n">
        <v>0</v>
      </c>
      <c r="O453" t="n">
        <v>0</v>
      </c>
      <c r="P453" t="n">
        <v>0</v>
      </c>
      <c r="Q453" t="n">
        <v>0</v>
      </c>
      <c r="R453" s="2" t="inlineStr"/>
    </row>
    <row r="454" ht="15" customHeight="1">
      <c r="A454" t="inlineStr">
        <is>
          <t>A 16090-2021</t>
        </is>
      </c>
      <c r="B454" s="1" t="n">
        <v>44288</v>
      </c>
      <c r="C454" s="1" t="n">
        <v>46089</v>
      </c>
      <c r="D454" t="inlineStr">
        <is>
          <t>STOCKHOLMS LÄN</t>
        </is>
      </c>
      <c r="E454" t="inlineStr">
        <is>
          <t>VÄRMDÖ</t>
        </is>
      </c>
      <c r="G454" t="n">
        <v>1.4</v>
      </c>
      <c r="H454" t="n">
        <v>0</v>
      </c>
      <c r="I454" t="n">
        <v>0</v>
      </c>
      <c r="J454" t="n">
        <v>0</v>
      </c>
      <c r="K454" t="n">
        <v>0</v>
      </c>
      <c r="L454" t="n">
        <v>0</v>
      </c>
      <c r="M454" t="n">
        <v>0</v>
      </c>
      <c r="N454" t="n">
        <v>0</v>
      </c>
      <c r="O454" t="n">
        <v>0</v>
      </c>
      <c r="P454" t="n">
        <v>0</v>
      </c>
      <c r="Q454" t="n">
        <v>0</v>
      </c>
      <c r="R454" s="2" t="inlineStr"/>
    </row>
    <row r="455" ht="15" customHeight="1">
      <c r="A455" t="inlineStr">
        <is>
          <t>A 16091-2021</t>
        </is>
      </c>
      <c r="B455" s="1" t="n">
        <v>44288</v>
      </c>
      <c r="C455" s="1" t="n">
        <v>46089</v>
      </c>
      <c r="D455" t="inlineStr">
        <is>
          <t>STOCKHOLMS LÄN</t>
        </is>
      </c>
      <c r="E455" t="inlineStr">
        <is>
          <t>VÄRMDÖ</t>
        </is>
      </c>
      <c r="G455" t="n">
        <v>0.7</v>
      </c>
      <c r="H455" t="n">
        <v>0</v>
      </c>
      <c r="I455" t="n">
        <v>0</v>
      </c>
      <c r="J455" t="n">
        <v>0</v>
      </c>
      <c r="K455" t="n">
        <v>0</v>
      </c>
      <c r="L455" t="n">
        <v>0</v>
      </c>
      <c r="M455" t="n">
        <v>0</v>
      </c>
      <c r="N455" t="n">
        <v>0</v>
      </c>
      <c r="O455" t="n">
        <v>0</v>
      </c>
      <c r="P455" t="n">
        <v>0</v>
      </c>
      <c r="Q455" t="n">
        <v>0</v>
      </c>
      <c r="R455" s="2" t="inlineStr"/>
    </row>
    <row r="456" ht="15" customHeight="1">
      <c r="A456" t="inlineStr">
        <is>
          <t>A 27791-2021</t>
        </is>
      </c>
      <c r="B456" s="1" t="n">
        <v>44354</v>
      </c>
      <c r="C456" s="1" t="n">
        <v>46089</v>
      </c>
      <c r="D456" t="inlineStr">
        <is>
          <t>STOCKHOLMS LÄN</t>
        </is>
      </c>
      <c r="E456" t="inlineStr">
        <is>
          <t>BOTKYRKA</t>
        </is>
      </c>
      <c r="G456" t="n">
        <v>3.8</v>
      </c>
      <c r="H456" t="n">
        <v>0</v>
      </c>
      <c r="I456" t="n">
        <v>0</v>
      </c>
      <c r="J456" t="n">
        <v>0</v>
      </c>
      <c r="K456" t="n">
        <v>0</v>
      </c>
      <c r="L456" t="n">
        <v>0</v>
      </c>
      <c r="M456" t="n">
        <v>0</v>
      </c>
      <c r="N456" t="n">
        <v>0</v>
      </c>
      <c r="O456" t="n">
        <v>0</v>
      </c>
      <c r="P456" t="n">
        <v>0</v>
      </c>
      <c r="Q456" t="n">
        <v>0</v>
      </c>
      <c r="R456" s="2" t="inlineStr"/>
    </row>
    <row r="457" ht="15" customHeight="1">
      <c r="A457" t="inlineStr">
        <is>
          <t>A 24977-2022</t>
        </is>
      </c>
      <c r="B457" s="1" t="n">
        <v>44728.73465277778</v>
      </c>
      <c r="C457" s="1" t="n">
        <v>46089</v>
      </c>
      <c r="D457" t="inlineStr">
        <is>
          <t>STOCKHOLMS LÄN</t>
        </is>
      </c>
      <c r="E457" t="inlineStr">
        <is>
          <t>NORRTÄLJE</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46089</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22479-2021</t>
        </is>
      </c>
      <c r="B459" s="1" t="n">
        <v>44322</v>
      </c>
      <c r="C459" s="1" t="n">
        <v>46089</v>
      </c>
      <c r="D459" t="inlineStr">
        <is>
          <t>STOCKHOLMS LÄN</t>
        </is>
      </c>
      <c r="E459" t="inlineStr">
        <is>
          <t>VÄRMDÖ</t>
        </is>
      </c>
      <c r="G459" t="n">
        <v>0.5</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46089</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46089</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46089</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46089</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46089</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46089</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46089</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46089</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46089</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46089</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46089</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46089</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46089</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46089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46089</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46089</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46089</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46089</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46089</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46089</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46089</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46089</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46089</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46089</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46089</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43374-2022</t>
        </is>
      </c>
      <c r="B486" s="1" t="n">
        <v>44834</v>
      </c>
      <c r="C486" s="1" t="n">
        <v>46089</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46089</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46089</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46089</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46089</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46089</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46089</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46089</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46089</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46089</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46089</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46089</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46089</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46089</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46089</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46089</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46089</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46089</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46089</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46089</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46089</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46089</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46089</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46089</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46089</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46089</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46089</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46089</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46089</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46089</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46089</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46089</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46089</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71876-2021</t>
        </is>
      </c>
      <c r="B519" s="1" t="n">
        <v>44543</v>
      </c>
      <c r="C519" s="1" t="n">
        <v>46089</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46089</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46089</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46089</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46089</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46089</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46089</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46089</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46089</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46089</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46089</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46089</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46089</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46089</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46089</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46089</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46089</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46089</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46089</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46089</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46089</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46089</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46089</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46089</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46089</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46089</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23770-2022</t>
        </is>
      </c>
      <c r="B545" s="1" t="n">
        <v>44722</v>
      </c>
      <c r="C545" s="1" t="n">
        <v>46089</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46089</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46089</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46089</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46089</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46089</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35953-2021</t>
        </is>
      </c>
      <c r="B551" s="1" t="n">
        <v>44385</v>
      </c>
      <c r="C551" s="1" t="n">
        <v>46089</v>
      </c>
      <c r="D551" t="inlineStr">
        <is>
          <t>STOCKHOLMS LÄN</t>
        </is>
      </c>
      <c r="E551" t="inlineStr">
        <is>
          <t>SIGTUNA</t>
        </is>
      </c>
      <c r="G551" t="n">
        <v>2</v>
      </c>
      <c r="H551" t="n">
        <v>0</v>
      </c>
      <c r="I551" t="n">
        <v>0</v>
      </c>
      <c r="J551" t="n">
        <v>0</v>
      </c>
      <c r="K551" t="n">
        <v>0</v>
      </c>
      <c r="L551" t="n">
        <v>0</v>
      </c>
      <c r="M551" t="n">
        <v>0</v>
      </c>
      <c r="N551" t="n">
        <v>0</v>
      </c>
      <c r="O551" t="n">
        <v>0</v>
      </c>
      <c r="P551" t="n">
        <v>0</v>
      </c>
      <c r="Q551" t="n">
        <v>0</v>
      </c>
      <c r="R551" s="2" t="inlineStr"/>
    </row>
    <row r="552" ht="15" customHeight="1">
      <c r="A552" t="inlineStr">
        <is>
          <t>A 36975-2022</t>
        </is>
      </c>
      <c r="B552" s="1" t="n">
        <v>44806.34577546296</v>
      </c>
      <c r="C552" s="1" t="n">
        <v>46089</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46089</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46089</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46089</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46089</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46089</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46089</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46089</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47349-2021</t>
        </is>
      </c>
      <c r="B560" s="1" t="n">
        <v>44447</v>
      </c>
      <c r="C560" s="1" t="n">
        <v>46089</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36565-2021</t>
        </is>
      </c>
      <c r="B561" s="1" t="n">
        <v>44391.5580787037</v>
      </c>
      <c r="C561" s="1" t="n">
        <v>46089</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46089</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242-2022</t>
        </is>
      </c>
      <c r="B563" s="1" t="n">
        <v>44560</v>
      </c>
      <c r="C563" s="1" t="n">
        <v>46089</v>
      </c>
      <c r="D563" t="inlineStr">
        <is>
          <t>STOCKHOLMS LÄN</t>
        </is>
      </c>
      <c r="E563" t="inlineStr">
        <is>
          <t>VALLENTUNA</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46089</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3838-2022</t>
        </is>
      </c>
      <c r="B565" s="1" t="n">
        <v>44587.37274305556</v>
      </c>
      <c r="C565" s="1" t="n">
        <v>46089</v>
      </c>
      <c r="D565" t="inlineStr">
        <is>
          <t>STOCKHOLMS LÄN</t>
        </is>
      </c>
      <c r="E565" t="inlineStr">
        <is>
          <t>UPPLANDS-BRO</t>
        </is>
      </c>
      <c r="G565" t="n">
        <v>2.9</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46089</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46089</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16085-2021</t>
        </is>
      </c>
      <c r="B568" s="1" t="n">
        <v>44288</v>
      </c>
      <c r="C568" s="1" t="n">
        <v>46089</v>
      </c>
      <c r="D568" t="inlineStr">
        <is>
          <t>STOCKHOLMS LÄN</t>
        </is>
      </c>
      <c r="E568" t="inlineStr">
        <is>
          <t>VÄRMDÖ</t>
        </is>
      </c>
      <c r="G568" t="n">
        <v>4.4</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46089</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46089</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46089</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46089</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46089</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46089</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46089</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46089</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46089</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46089</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46089</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46089</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46089</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27747-2021</t>
        </is>
      </c>
      <c r="B582" s="1" t="n">
        <v>44354</v>
      </c>
      <c r="C582" s="1" t="n">
        <v>46089</v>
      </c>
      <c r="D582" t="inlineStr">
        <is>
          <t>STOCKHOLMS LÄN</t>
        </is>
      </c>
      <c r="E582" t="inlineStr">
        <is>
          <t>SÖDERTÄLJE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32561-2021</t>
        </is>
      </c>
      <c r="B583" s="1" t="n">
        <v>44375</v>
      </c>
      <c r="C583" s="1" t="n">
        <v>46089</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24656-2022</t>
        </is>
      </c>
      <c r="B584" s="1" t="n">
        <v>44726</v>
      </c>
      <c r="C584" s="1" t="n">
        <v>46089</v>
      </c>
      <c r="D584" t="inlineStr">
        <is>
          <t>STOCKHOLMS LÄN</t>
        </is>
      </c>
      <c r="E584" t="inlineStr">
        <is>
          <t>NYKVARN</t>
        </is>
      </c>
      <c r="G584" t="n">
        <v>1.2</v>
      </c>
      <c r="H584" t="n">
        <v>0</v>
      </c>
      <c r="I584" t="n">
        <v>0</v>
      </c>
      <c r="J584" t="n">
        <v>0</v>
      </c>
      <c r="K584" t="n">
        <v>0</v>
      </c>
      <c r="L584" t="n">
        <v>0</v>
      </c>
      <c r="M584" t="n">
        <v>0</v>
      </c>
      <c r="N584" t="n">
        <v>0</v>
      </c>
      <c r="O584" t="n">
        <v>0</v>
      </c>
      <c r="P584" t="n">
        <v>0</v>
      </c>
      <c r="Q584" t="n">
        <v>0</v>
      </c>
      <c r="R584" s="2" t="inlineStr"/>
    </row>
    <row r="585" ht="15" customHeight="1">
      <c r="A585" t="inlineStr">
        <is>
          <t>A 71325-2021</t>
        </is>
      </c>
      <c r="B585" s="1" t="n">
        <v>44539</v>
      </c>
      <c r="C585" s="1" t="n">
        <v>46089</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19934-2022</t>
        </is>
      </c>
      <c r="B586" s="1" t="n">
        <v>44697.46248842592</v>
      </c>
      <c r="C586" s="1" t="n">
        <v>46089</v>
      </c>
      <c r="D586" t="inlineStr">
        <is>
          <t>STOCKHOLMS LÄN</t>
        </is>
      </c>
      <c r="E586" t="inlineStr">
        <is>
          <t>ÖSTERÅKER</t>
        </is>
      </c>
      <c r="G586" t="n">
        <v>0.3</v>
      </c>
      <c r="H586" t="n">
        <v>0</v>
      </c>
      <c r="I586" t="n">
        <v>0</v>
      </c>
      <c r="J586" t="n">
        <v>0</v>
      </c>
      <c r="K586" t="n">
        <v>0</v>
      </c>
      <c r="L586" t="n">
        <v>0</v>
      </c>
      <c r="M586" t="n">
        <v>0</v>
      </c>
      <c r="N586" t="n">
        <v>0</v>
      </c>
      <c r="O586" t="n">
        <v>0</v>
      </c>
      <c r="P586" t="n">
        <v>0</v>
      </c>
      <c r="Q586" t="n">
        <v>0</v>
      </c>
      <c r="R586" s="2" t="inlineStr"/>
    </row>
    <row r="587" ht="15" customHeight="1">
      <c r="A587" t="inlineStr">
        <is>
          <t>A 19944-2022</t>
        </is>
      </c>
      <c r="B587" s="1" t="n">
        <v>44697.47424768518</v>
      </c>
      <c r="C587" s="1" t="n">
        <v>46089</v>
      </c>
      <c r="D587" t="inlineStr">
        <is>
          <t>STOCKHOLMS LÄN</t>
        </is>
      </c>
      <c r="E587" t="inlineStr">
        <is>
          <t>ÖSTERÅKER</t>
        </is>
      </c>
      <c r="G587" t="n">
        <v>3.5</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46089</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46089</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46089</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46089</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46089</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46089</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46089</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46089</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46089</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865-2022</t>
        </is>
      </c>
      <c r="B597" s="1" t="n">
        <v>44569</v>
      </c>
      <c r="C597" s="1" t="n">
        <v>46089</v>
      </c>
      <c r="D597" t="inlineStr">
        <is>
          <t>STOCKHOLMS LÄN</t>
        </is>
      </c>
      <c r="E597" t="inlineStr">
        <is>
          <t>ÖSTERÅKER</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46089</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45395-2021</t>
        </is>
      </c>
      <c r="B599" s="1" t="n">
        <v>44440</v>
      </c>
      <c r="C599" s="1" t="n">
        <v>46089</v>
      </c>
      <c r="D599" t="inlineStr">
        <is>
          <t>STOCKHOLMS LÄN</t>
        </is>
      </c>
      <c r="E599" t="inlineStr">
        <is>
          <t>HANINGE</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838-2022</t>
        </is>
      </c>
      <c r="B600" s="1" t="n">
        <v>44569</v>
      </c>
      <c r="C600" s="1" t="n">
        <v>46089</v>
      </c>
      <c r="D600" t="inlineStr">
        <is>
          <t>STOCKHOLMS LÄN</t>
        </is>
      </c>
      <c r="E600" t="inlineStr">
        <is>
          <t>ÖSTERÅKER</t>
        </is>
      </c>
      <c r="F600" t="inlineStr">
        <is>
          <t>Övriga Aktiebolag</t>
        </is>
      </c>
      <c r="G600" t="n">
        <v>4.9</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46089</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46089</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46089</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46089</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46089</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46089</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46089</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46089</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46089</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46089</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46089</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24805-2021</t>
        </is>
      </c>
      <c r="B612" s="1" t="n">
        <v>44340.66033564815</v>
      </c>
      <c r="C612" s="1" t="n">
        <v>46089</v>
      </c>
      <c r="D612" t="inlineStr">
        <is>
          <t>STOCKHOLMS LÄN</t>
        </is>
      </c>
      <c r="E612" t="inlineStr">
        <is>
          <t>NYNÄSHAMN</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13351-2021</t>
        </is>
      </c>
      <c r="B613" s="1" t="n">
        <v>44273</v>
      </c>
      <c r="C613" s="1" t="n">
        <v>46089</v>
      </c>
      <c r="D613" t="inlineStr">
        <is>
          <t>STOCKHOLMS LÄN</t>
        </is>
      </c>
      <c r="E613" t="inlineStr">
        <is>
          <t>SALEM</t>
        </is>
      </c>
      <c r="G613" t="n">
        <v>2.6</v>
      </c>
      <c r="H613" t="n">
        <v>0</v>
      </c>
      <c r="I613" t="n">
        <v>0</v>
      </c>
      <c r="J613" t="n">
        <v>0</v>
      </c>
      <c r="K613" t="n">
        <v>0</v>
      </c>
      <c r="L613" t="n">
        <v>0</v>
      </c>
      <c r="M613" t="n">
        <v>0</v>
      </c>
      <c r="N613" t="n">
        <v>0</v>
      </c>
      <c r="O613" t="n">
        <v>0</v>
      </c>
      <c r="P613" t="n">
        <v>0</v>
      </c>
      <c r="Q613" t="n">
        <v>0</v>
      </c>
      <c r="R613" s="2" t="inlineStr"/>
    </row>
    <row r="614" ht="15" customHeight="1">
      <c r="A614" t="inlineStr">
        <is>
          <t>A 11197-2021</t>
        </is>
      </c>
      <c r="B614" s="1" t="n">
        <v>44263.32083333333</v>
      </c>
      <c r="C614" s="1" t="n">
        <v>46089</v>
      </c>
      <c r="D614" t="inlineStr">
        <is>
          <t>STOCKHOLMS LÄN</t>
        </is>
      </c>
      <c r="E614" t="inlineStr">
        <is>
          <t>SIGTUNA</t>
        </is>
      </c>
      <c r="G614" t="n">
        <v>2.5</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46089</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46089</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46089</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46089</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46089</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46089</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9988-2022</t>
        </is>
      </c>
      <c r="B621" s="1" t="n">
        <v>44621</v>
      </c>
      <c r="C621" s="1" t="n">
        <v>46089</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46089</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46089</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46089</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46089</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46089</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46089</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46089</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46089</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43922-2021</t>
        </is>
      </c>
      <c r="B631" s="1" t="n">
        <v>44434</v>
      </c>
      <c r="C631" s="1" t="n">
        <v>46089</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46089</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22068-2022</t>
        </is>
      </c>
      <c r="B633" s="1" t="n">
        <v>44711</v>
      </c>
      <c r="C633" s="1" t="n">
        <v>46089</v>
      </c>
      <c r="D633" t="inlineStr">
        <is>
          <t>STOCKHOLMS LÄN</t>
        </is>
      </c>
      <c r="E633" t="inlineStr">
        <is>
          <t>NACKA</t>
        </is>
      </c>
      <c r="G633" t="n">
        <v>0.7</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46089</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33015-2021</t>
        </is>
      </c>
      <c r="B635" s="1" t="n">
        <v>44376</v>
      </c>
      <c r="C635" s="1" t="n">
        <v>46089</v>
      </c>
      <c r="D635" t="inlineStr">
        <is>
          <t>STOCKHOLMS LÄN</t>
        </is>
      </c>
      <c r="E635" t="inlineStr">
        <is>
          <t>BOTKYRKA</t>
        </is>
      </c>
      <c r="G635" t="n">
        <v>48.7</v>
      </c>
      <c r="H635" t="n">
        <v>0</v>
      </c>
      <c r="I635" t="n">
        <v>0</v>
      </c>
      <c r="J635" t="n">
        <v>0</v>
      </c>
      <c r="K635" t="n">
        <v>0</v>
      </c>
      <c r="L635" t="n">
        <v>0</v>
      </c>
      <c r="M635" t="n">
        <v>0</v>
      </c>
      <c r="N635" t="n">
        <v>0</v>
      </c>
      <c r="O635" t="n">
        <v>0</v>
      </c>
      <c r="P635" t="n">
        <v>0</v>
      </c>
      <c r="Q635" t="n">
        <v>0</v>
      </c>
      <c r="R635" s="2" t="inlineStr"/>
    </row>
    <row r="636" ht="15" customHeight="1">
      <c r="A636" t="inlineStr">
        <is>
          <t>A 33016-2021</t>
        </is>
      </c>
      <c r="B636" s="1" t="n">
        <v>44376</v>
      </c>
      <c r="C636" s="1" t="n">
        <v>46089</v>
      </c>
      <c r="D636" t="inlineStr">
        <is>
          <t>STOCKHOLMS LÄN</t>
        </is>
      </c>
      <c r="E636" t="inlineStr">
        <is>
          <t>BOTKYRKA</t>
        </is>
      </c>
      <c r="G636" t="n">
        <v>3.8</v>
      </c>
      <c r="H636" t="n">
        <v>0</v>
      </c>
      <c r="I636" t="n">
        <v>0</v>
      </c>
      <c r="J636" t="n">
        <v>0</v>
      </c>
      <c r="K636" t="n">
        <v>0</v>
      </c>
      <c r="L636" t="n">
        <v>0</v>
      </c>
      <c r="M636" t="n">
        <v>0</v>
      </c>
      <c r="N636" t="n">
        <v>0</v>
      </c>
      <c r="O636" t="n">
        <v>0</v>
      </c>
      <c r="P636" t="n">
        <v>0</v>
      </c>
      <c r="Q636" t="n">
        <v>0</v>
      </c>
      <c r="R636" s="2" t="inlineStr"/>
    </row>
    <row r="637" ht="15" customHeight="1">
      <c r="A637" t="inlineStr">
        <is>
          <t>A 55861-2021</t>
        </is>
      </c>
      <c r="B637" s="1" t="n">
        <v>44476</v>
      </c>
      <c r="C637" s="1" t="n">
        <v>46089</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52377-2021</t>
        </is>
      </c>
      <c r="B638" s="1" t="n">
        <v>44465</v>
      </c>
      <c r="C638" s="1" t="n">
        <v>46089</v>
      </c>
      <c r="D638" t="inlineStr">
        <is>
          <t>STOCKHOLMS LÄN</t>
        </is>
      </c>
      <c r="E638" t="inlineStr">
        <is>
          <t>VALLENTUNA</t>
        </is>
      </c>
      <c r="G638" t="n">
        <v>1.4</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44466.37496527778</v>
      </c>
      <c r="C639" s="1" t="n">
        <v>46089</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46089</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46089</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46089</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46089</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46089</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46089</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46089</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46089</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46089</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46089</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46089</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46089</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46089</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46089</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46089</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46089</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46089</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46089</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46089</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46089</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46089</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46089</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46089</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46089</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46089</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46089</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46089</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46089</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46089</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46089</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46089</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73963-2021</t>
        </is>
      </c>
      <c r="B671" s="1" t="n">
        <v>44553.79121527778</v>
      </c>
      <c r="C671" s="1" t="n">
        <v>46089</v>
      </c>
      <c r="D671" t="inlineStr">
        <is>
          <t>STOCKHOLMS LÄN</t>
        </is>
      </c>
      <c r="E671" t="inlineStr">
        <is>
          <t>NYNÄSHAMN</t>
        </is>
      </c>
      <c r="G671" t="n">
        <v>0.3</v>
      </c>
      <c r="H671" t="n">
        <v>0</v>
      </c>
      <c r="I671" t="n">
        <v>0</v>
      </c>
      <c r="J671" t="n">
        <v>0</v>
      </c>
      <c r="K671" t="n">
        <v>0</v>
      </c>
      <c r="L671" t="n">
        <v>0</v>
      </c>
      <c r="M671" t="n">
        <v>0</v>
      </c>
      <c r="N671" t="n">
        <v>0</v>
      </c>
      <c r="O671" t="n">
        <v>0</v>
      </c>
      <c r="P671" t="n">
        <v>0</v>
      </c>
      <c r="Q671" t="n">
        <v>0</v>
      </c>
      <c r="R671" s="2" t="inlineStr"/>
    </row>
    <row r="672" ht="15" customHeight="1">
      <c r="A672" t="inlineStr">
        <is>
          <t>A 73966-2021</t>
        </is>
      </c>
      <c r="B672" s="1" t="n">
        <v>44553.81094907408</v>
      </c>
      <c r="C672" s="1" t="n">
        <v>46089</v>
      </c>
      <c r="D672" t="inlineStr">
        <is>
          <t>STOCKHOLMS LÄN</t>
        </is>
      </c>
      <c r="E672" t="inlineStr">
        <is>
          <t>NYNÄSHAMN</t>
        </is>
      </c>
      <c r="G672" t="n">
        <v>4.3</v>
      </c>
      <c r="H672" t="n">
        <v>0</v>
      </c>
      <c r="I672" t="n">
        <v>0</v>
      </c>
      <c r="J672" t="n">
        <v>0</v>
      </c>
      <c r="K672" t="n">
        <v>0</v>
      </c>
      <c r="L672" t="n">
        <v>0</v>
      </c>
      <c r="M672" t="n">
        <v>0</v>
      </c>
      <c r="N672" t="n">
        <v>0</v>
      </c>
      <c r="O672" t="n">
        <v>0</v>
      </c>
      <c r="P672" t="n">
        <v>0</v>
      </c>
      <c r="Q672" t="n">
        <v>0</v>
      </c>
      <c r="R672" s="2" t="inlineStr"/>
    </row>
    <row r="673" ht="15" customHeight="1">
      <c r="A673" t="inlineStr">
        <is>
          <t>A 73967-2021</t>
        </is>
      </c>
      <c r="B673" s="1" t="n">
        <v>44553.81719907407</v>
      </c>
      <c r="C673" s="1" t="n">
        <v>46089</v>
      </c>
      <c r="D673" t="inlineStr">
        <is>
          <t>STOCKHOLMS LÄN</t>
        </is>
      </c>
      <c r="E673" t="inlineStr">
        <is>
          <t>NYNÄSHAMN</t>
        </is>
      </c>
      <c r="G673" t="n">
        <v>1.3</v>
      </c>
      <c r="H673" t="n">
        <v>0</v>
      </c>
      <c r="I673" t="n">
        <v>0</v>
      </c>
      <c r="J673" t="n">
        <v>0</v>
      </c>
      <c r="K673" t="n">
        <v>0</v>
      </c>
      <c r="L673" t="n">
        <v>0</v>
      </c>
      <c r="M673" t="n">
        <v>0</v>
      </c>
      <c r="N673" t="n">
        <v>0</v>
      </c>
      <c r="O673" t="n">
        <v>0</v>
      </c>
      <c r="P673" t="n">
        <v>0</v>
      </c>
      <c r="Q673" t="n">
        <v>0</v>
      </c>
      <c r="R673" s="2" t="inlineStr"/>
    </row>
    <row r="674" ht="15" customHeight="1">
      <c r="A674" t="inlineStr">
        <is>
          <t>A 32508-2022</t>
        </is>
      </c>
      <c r="B674" s="1" t="n">
        <v>44782</v>
      </c>
      <c r="C674" s="1" t="n">
        <v>46089</v>
      </c>
      <c r="D674" t="inlineStr">
        <is>
          <t>STOCKHOLMS LÄN</t>
        </is>
      </c>
      <c r="E674" t="inlineStr">
        <is>
          <t>HUDDINGE</t>
        </is>
      </c>
      <c r="F674" t="inlineStr">
        <is>
          <t>Kommuner</t>
        </is>
      </c>
      <c r="G674" t="n">
        <v>4.7</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46089</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46089</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46089</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46089</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46089</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46089</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46089</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46089</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46089</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46089</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46089</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46089</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46089</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46089</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46089</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46089</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46089</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46089</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46089</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46089</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46089</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46089</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46089</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46089</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46089</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46089</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46089</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46089</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62030-2021</t>
        </is>
      </c>
      <c r="B703" s="1" t="n">
        <v>44502</v>
      </c>
      <c r="C703" s="1" t="n">
        <v>46089</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27217-2021</t>
        </is>
      </c>
      <c r="B704" s="1" t="n">
        <v>44350</v>
      </c>
      <c r="C704" s="1" t="n">
        <v>46089</v>
      </c>
      <c r="D704" t="inlineStr">
        <is>
          <t>STOCKHOLMS LÄN</t>
        </is>
      </c>
      <c r="E704" t="inlineStr">
        <is>
          <t>NORRTÄLJE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46089</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23453-2021</t>
        </is>
      </c>
      <c r="B706" s="1" t="n">
        <v>44333</v>
      </c>
      <c r="C706" s="1" t="n">
        <v>46089</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46089</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46089</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46089</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46089</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46089</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7565-2022</t>
        </is>
      </c>
      <c r="B712" s="1" t="n">
        <v>44607</v>
      </c>
      <c r="C712" s="1" t="n">
        <v>46089</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46089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46089</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41463-2021</t>
        </is>
      </c>
      <c r="B715" s="1" t="n">
        <v>44424</v>
      </c>
      <c r="C715" s="1" t="n">
        <v>46089</v>
      </c>
      <c r="D715" t="inlineStr">
        <is>
          <t>STOCKHOLMS LÄN</t>
        </is>
      </c>
      <c r="E715" t="inlineStr">
        <is>
          <t>UPPLANDS-BRO</t>
        </is>
      </c>
      <c r="G715" t="n">
        <v>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46089</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20295-2022</t>
        </is>
      </c>
      <c r="B717" s="1" t="n">
        <v>44698</v>
      </c>
      <c r="C717" s="1" t="n">
        <v>46089</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46089</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37415-2021</t>
        </is>
      </c>
      <c r="B719" s="1" t="n">
        <v>44397</v>
      </c>
      <c r="C719" s="1" t="n">
        <v>46089</v>
      </c>
      <c r="D719" t="inlineStr">
        <is>
          <t>STOCKHOLMS LÄN</t>
        </is>
      </c>
      <c r="E719" t="inlineStr">
        <is>
          <t>NORRTÄLJE</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37000-2022</t>
        </is>
      </c>
      <c r="B720" s="1" t="n">
        <v>44806</v>
      </c>
      <c r="C720" s="1" t="n">
        <v>46089</v>
      </c>
      <c r="D720" t="inlineStr">
        <is>
          <t>STOCKHOLMS LÄN</t>
        </is>
      </c>
      <c r="E720" t="inlineStr">
        <is>
          <t>HANINGE</t>
        </is>
      </c>
      <c r="F720" t="inlineStr">
        <is>
          <t>Övriga statliga verk och myndigheter</t>
        </is>
      </c>
      <c r="G720" t="n">
        <v>2</v>
      </c>
      <c r="H720" t="n">
        <v>0</v>
      </c>
      <c r="I720" t="n">
        <v>0</v>
      </c>
      <c r="J720" t="n">
        <v>0</v>
      </c>
      <c r="K720" t="n">
        <v>0</v>
      </c>
      <c r="L720" t="n">
        <v>0</v>
      </c>
      <c r="M720" t="n">
        <v>0</v>
      </c>
      <c r="N720" t="n">
        <v>0</v>
      </c>
      <c r="O720" t="n">
        <v>0</v>
      </c>
      <c r="P720" t="n">
        <v>0</v>
      </c>
      <c r="Q720" t="n">
        <v>0</v>
      </c>
      <c r="R720" s="2" t="inlineStr"/>
    </row>
    <row r="721" ht="15" customHeight="1">
      <c r="A721" t="inlineStr">
        <is>
          <t>A 35492-2021</t>
        </is>
      </c>
      <c r="B721" s="1" t="n">
        <v>44385</v>
      </c>
      <c r="C721" s="1" t="n">
        <v>46089</v>
      </c>
      <c r="D721" t="inlineStr">
        <is>
          <t>STOCKHOLMS LÄN</t>
        </is>
      </c>
      <c r="E721" t="inlineStr">
        <is>
          <t>BOTKYRKA</t>
        </is>
      </c>
      <c r="G721" t="n">
        <v>2.9</v>
      </c>
      <c r="H721" t="n">
        <v>0</v>
      </c>
      <c r="I721" t="n">
        <v>0</v>
      </c>
      <c r="J721" t="n">
        <v>0</v>
      </c>
      <c r="K721" t="n">
        <v>0</v>
      </c>
      <c r="L721" t="n">
        <v>0</v>
      </c>
      <c r="M721" t="n">
        <v>0</v>
      </c>
      <c r="N721" t="n">
        <v>0</v>
      </c>
      <c r="O721" t="n">
        <v>0</v>
      </c>
      <c r="P721" t="n">
        <v>0</v>
      </c>
      <c r="Q721" t="n">
        <v>0</v>
      </c>
      <c r="R721" s="2" t="inlineStr"/>
    </row>
    <row r="722" ht="15" customHeight="1">
      <c r="A722" t="inlineStr">
        <is>
          <t>A 8160-2022</t>
        </is>
      </c>
      <c r="B722" s="1" t="n">
        <v>44609</v>
      </c>
      <c r="C722" s="1" t="n">
        <v>46089</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31160-2022</t>
        </is>
      </c>
      <c r="B723" s="1" t="n">
        <v>44770</v>
      </c>
      <c r="C723" s="1" t="n">
        <v>46089</v>
      </c>
      <c r="D723" t="inlineStr">
        <is>
          <t>STOCKHOLMS LÄN</t>
        </is>
      </c>
      <c r="E723" t="inlineStr">
        <is>
          <t>UPPLANDS-BRO</t>
        </is>
      </c>
      <c r="G723" t="n">
        <v>3.7</v>
      </c>
      <c r="H723" t="n">
        <v>0</v>
      </c>
      <c r="I723" t="n">
        <v>0</v>
      </c>
      <c r="J723" t="n">
        <v>0</v>
      </c>
      <c r="K723" t="n">
        <v>0</v>
      </c>
      <c r="L723" t="n">
        <v>0</v>
      </c>
      <c r="M723" t="n">
        <v>0</v>
      </c>
      <c r="N723" t="n">
        <v>0</v>
      </c>
      <c r="O723" t="n">
        <v>0</v>
      </c>
      <c r="P723" t="n">
        <v>0</v>
      </c>
      <c r="Q723" t="n">
        <v>0</v>
      </c>
      <c r="R723" s="2" t="inlineStr"/>
    </row>
    <row r="724" ht="15" customHeight="1">
      <c r="A724" t="inlineStr">
        <is>
          <t>A 48647-2022</t>
        </is>
      </c>
      <c r="B724" s="1" t="n">
        <v>44859</v>
      </c>
      <c r="C724" s="1" t="n">
        <v>46089</v>
      </c>
      <c r="D724" t="inlineStr">
        <is>
          <t>STOCKHOLMS LÄN</t>
        </is>
      </c>
      <c r="E724" t="inlineStr">
        <is>
          <t>BOTKYRKA</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7085-2022</t>
        </is>
      </c>
      <c r="B725" s="1" t="n">
        <v>44603</v>
      </c>
      <c r="C725" s="1" t="n">
        <v>46089</v>
      </c>
      <c r="D725" t="inlineStr">
        <is>
          <t>STOCKHOLMS LÄN</t>
        </is>
      </c>
      <c r="E725" t="inlineStr">
        <is>
          <t>VALLENTUNA</t>
        </is>
      </c>
      <c r="G725" t="n">
        <v>1.6</v>
      </c>
      <c r="H725" t="n">
        <v>0</v>
      </c>
      <c r="I725" t="n">
        <v>0</v>
      </c>
      <c r="J725" t="n">
        <v>0</v>
      </c>
      <c r="K725" t="n">
        <v>0</v>
      </c>
      <c r="L725" t="n">
        <v>0</v>
      </c>
      <c r="M725" t="n">
        <v>0</v>
      </c>
      <c r="N725" t="n">
        <v>0</v>
      </c>
      <c r="O725" t="n">
        <v>0</v>
      </c>
      <c r="P725" t="n">
        <v>0</v>
      </c>
      <c r="Q725" t="n">
        <v>0</v>
      </c>
      <c r="R725" s="2" t="inlineStr"/>
    </row>
    <row r="726" ht="15" customHeight="1">
      <c r="A726" t="inlineStr">
        <is>
          <t>A 67220-2021</t>
        </is>
      </c>
      <c r="B726" s="1" t="n">
        <v>44523</v>
      </c>
      <c r="C726" s="1" t="n">
        <v>46089</v>
      </c>
      <c r="D726" t="inlineStr">
        <is>
          <t>STOCKHOLMS LÄN</t>
        </is>
      </c>
      <c r="E726" t="inlineStr">
        <is>
          <t>NYKVARN</t>
        </is>
      </c>
      <c r="G726" t="n">
        <v>3.4</v>
      </c>
      <c r="H726" t="n">
        <v>0</v>
      </c>
      <c r="I726" t="n">
        <v>0</v>
      </c>
      <c r="J726" t="n">
        <v>0</v>
      </c>
      <c r="K726" t="n">
        <v>0</v>
      </c>
      <c r="L726" t="n">
        <v>0</v>
      </c>
      <c r="M726" t="n">
        <v>0</v>
      </c>
      <c r="N726" t="n">
        <v>0</v>
      </c>
      <c r="O726" t="n">
        <v>0</v>
      </c>
      <c r="P726" t="n">
        <v>0</v>
      </c>
      <c r="Q726" t="n">
        <v>0</v>
      </c>
      <c r="R726" s="2" t="inlineStr"/>
    </row>
    <row r="727" ht="15" customHeight="1">
      <c r="A727" t="inlineStr">
        <is>
          <t>A 39319-2022</t>
        </is>
      </c>
      <c r="B727" s="1" t="n">
        <v>44817.70516203704</v>
      </c>
      <c r="C727" s="1" t="n">
        <v>46089</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56219-2021</t>
        </is>
      </c>
      <c r="B728" s="1" t="n">
        <v>44477</v>
      </c>
      <c r="C728" s="1" t="n">
        <v>46089</v>
      </c>
      <c r="D728" t="inlineStr">
        <is>
          <t>STOCKHOLMS LÄN</t>
        </is>
      </c>
      <c r="E728" t="inlineStr">
        <is>
          <t>NORRTÄLJE</t>
        </is>
      </c>
      <c r="F728" t="inlineStr">
        <is>
          <t>Kommuner</t>
        </is>
      </c>
      <c r="G728" t="n">
        <v>2.3</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46089</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48309-2022</t>
        </is>
      </c>
      <c r="B730" s="1" t="n">
        <v>44854</v>
      </c>
      <c r="C730" s="1" t="n">
        <v>46089</v>
      </c>
      <c r="D730" t="inlineStr">
        <is>
          <t>STOCKHOLMS LÄN</t>
        </is>
      </c>
      <c r="E730" t="inlineStr">
        <is>
          <t>NYNÄSHAMN</t>
        </is>
      </c>
      <c r="F730" t="inlineStr">
        <is>
          <t>Övriga statliga verk och myndigheter</t>
        </is>
      </c>
      <c r="G730" t="n">
        <v>7.4</v>
      </c>
      <c r="H730" t="n">
        <v>0</v>
      </c>
      <c r="I730" t="n">
        <v>0</v>
      </c>
      <c r="J730" t="n">
        <v>0</v>
      </c>
      <c r="K730" t="n">
        <v>0</v>
      </c>
      <c r="L730" t="n">
        <v>0</v>
      </c>
      <c r="M730" t="n">
        <v>0</v>
      </c>
      <c r="N730" t="n">
        <v>0</v>
      </c>
      <c r="O730" t="n">
        <v>0</v>
      </c>
      <c r="P730" t="n">
        <v>0</v>
      </c>
      <c r="Q730" t="n">
        <v>0</v>
      </c>
      <c r="R730" s="2" t="inlineStr"/>
    </row>
    <row r="731" ht="15" customHeight="1">
      <c r="A731" t="inlineStr">
        <is>
          <t>A 14719-2022</t>
        </is>
      </c>
      <c r="B731" s="1" t="n">
        <v>44655</v>
      </c>
      <c r="C731" s="1" t="n">
        <v>46089</v>
      </c>
      <c r="D731" t="inlineStr">
        <is>
          <t>STOCKHOLMS LÄN</t>
        </is>
      </c>
      <c r="E731" t="inlineStr">
        <is>
          <t>UPPLANDS-BRO</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15226-2022</t>
        </is>
      </c>
      <c r="B732" s="1" t="n">
        <v>44658</v>
      </c>
      <c r="C732" s="1" t="n">
        <v>46089</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3300-2022</t>
        </is>
      </c>
      <c r="B733" s="1" t="n">
        <v>44584.91538194445</v>
      </c>
      <c r="C733" s="1" t="n">
        <v>46089</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17388-2022</t>
        </is>
      </c>
      <c r="B734" s="1" t="n">
        <v>44678</v>
      </c>
      <c r="C734" s="1" t="n">
        <v>46089</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46089</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18091-2022</t>
        </is>
      </c>
      <c r="B736" s="1" t="n">
        <v>44684</v>
      </c>
      <c r="C736" s="1" t="n">
        <v>46089</v>
      </c>
      <c r="D736" t="inlineStr">
        <is>
          <t>STOCKHOLMS LÄN</t>
        </is>
      </c>
      <c r="E736" t="inlineStr">
        <is>
          <t>ÖSTERÅKER</t>
        </is>
      </c>
      <c r="G736" t="n">
        <v>6.1</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46089</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46089</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46089</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51482-2021</t>
        </is>
      </c>
      <c r="B740" s="1" t="n">
        <v>44460</v>
      </c>
      <c r="C740" s="1" t="n">
        <v>46089</v>
      </c>
      <c r="D740" t="inlineStr">
        <is>
          <t>STOCKHOLMS LÄN</t>
        </is>
      </c>
      <c r="E740" t="inlineStr">
        <is>
          <t>SÖDERTÄLJE</t>
        </is>
      </c>
      <c r="G740" t="n">
        <v>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46089</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46089</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24308-2021</t>
        </is>
      </c>
      <c r="B743" s="1" t="n">
        <v>44336</v>
      </c>
      <c r="C743" s="1" t="n">
        <v>46089</v>
      </c>
      <c r="D743" t="inlineStr">
        <is>
          <t>STOCKHOLMS LÄN</t>
        </is>
      </c>
      <c r="E743" t="inlineStr">
        <is>
          <t>UPPLANDS-BRO</t>
        </is>
      </c>
      <c r="G743" t="n">
        <v>1.4</v>
      </c>
      <c r="H743" t="n">
        <v>0</v>
      </c>
      <c r="I743" t="n">
        <v>0</v>
      </c>
      <c r="J743" t="n">
        <v>0</v>
      </c>
      <c r="K743" t="n">
        <v>0</v>
      </c>
      <c r="L743" t="n">
        <v>0</v>
      </c>
      <c r="M743" t="n">
        <v>0</v>
      </c>
      <c r="N743" t="n">
        <v>0</v>
      </c>
      <c r="O743" t="n">
        <v>0</v>
      </c>
      <c r="P743" t="n">
        <v>0</v>
      </c>
      <c r="Q743" t="n">
        <v>0</v>
      </c>
      <c r="R743" s="2" t="inlineStr"/>
    </row>
    <row r="744" ht="15" customHeight="1">
      <c r="A744" t="inlineStr">
        <is>
          <t>A 25463-2021</t>
        </is>
      </c>
      <c r="B744" s="1" t="n">
        <v>44342</v>
      </c>
      <c r="C744" s="1" t="n">
        <v>46089</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46089</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11996-2022</t>
        </is>
      </c>
      <c r="B746" s="1" t="n">
        <v>44635</v>
      </c>
      <c r="C746" s="1" t="n">
        <v>46089</v>
      </c>
      <c r="D746" t="inlineStr">
        <is>
          <t>STOCKHOLMS LÄN</t>
        </is>
      </c>
      <c r="E746" t="inlineStr">
        <is>
          <t>NYKVARN</t>
        </is>
      </c>
      <c r="G746" t="n">
        <v>6.4</v>
      </c>
      <c r="H746" t="n">
        <v>0</v>
      </c>
      <c r="I746" t="n">
        <v>0</v>
      </c>
      <c r="J746" t="n">
        <v>0</v>
      </c>
      <c r="K746" t="n">
        <v>0</v>
      </c>
      <c r="L746" t="n">
        <v>0</v>
      </c>
      <c r="M746" t="n">
        <v>0</v>
      </c>
      <c r="N746" t="n">
        <v>0</v>
      </c>
      <c r="O746" t="n">
        <v>0</v>
      </c>
      <c r="P746" t="n">
        <v>0</v>
      </c>
      <c r="Q746" t="n">
        <v>0</v>
      </c>
      <c r="R746" s="2" t="inlineStr"/>
    </row>
    <row r="747" ht="15" customHeight="1">
      <c r="A747" t="inlineStr">
        <is>
          <t>A 21102-2022</t>
        </is>
      </c>
      <c r="B747" s="1" t="n">
        <v>44704</v>
      </c>
      <c r="C747" s="1" t="n">
        <v>46089</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71880-2021</t>
        </is>
      </c>
      <c r="B748" s="1" t="n">
        <v>44543</v>
      </c>
      <c r="C748" s="1" t="n">
        <v>46089</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55112-2021</t>
        </is>
      </c>
      <c r="B749" s="1" t="n">
        <v>44474</v>
      </c>
      <c r="C749" s="1" t="n">
        <v>46089</v>
      </c>
      <c r="D749" t="inlineStr">
        <is>
          <t>STOCKHOLMS LÄN</t>
        </is>
      </c>
      <c r="E749" t="inlineStr">
        <is>
          <t>SIGTUNA</t>
        </is>
      </c>
      <c r="G749" t="n">
        <v>0.6</v>
      </c>
      <c r="H749" t="n">
        <v>0</v>
      </c>
      <c r="I749" t="n">
        <v>0</v>
      </c>
      <c r="J749" t="n">
        <v>0</v>
      </c>
      <c r="K749" t="n">
        <v>0</v>
      </c>
      <c r="L749" t="n">
        <v>0</v>
      </c>
      <c r="M749" t="n">
        <v>0</v>
      </c>
      <c r="N749" t="n">
        <v>0</v>
      </c>
      <c r="O749" t="n">
        <v>0</v>
      </c>
      <c r="P749" t="n">
        <v>0</v>
      </c>
      <c r="Q749" t="n">
        <v>0</v>
      </c>
      <c r="R749" s="2" t="inlineStr"/>
    </row>
    <row r="750" ht="15" customHeight="1">
      <c r="A750" t="inlineStr">
        <is>
          <t>A 17772-2022</t>
        </is>
      </c>
      <c r="B750" s="1" t="n">
        <v>44682.76528935185</v>
      </c>
      <c r="C750" s="1" t="n">
        <v>46089</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24101-2022</t>
        </is>
      </c>
      <c r="B751" s="1" t="n">
        <v>44725</v>
      </c>
      <c r="C751" s="1" t="n">
        <v>46089</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67285-2021</t>
        </is>
      </c>
      <c r="B752" s="1" t="n">
        <v>44523.61635416667</v>
      </c>
      <c r="C752" s="1" t="n">
        <v>46089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46089</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32055-2021</t>
        </is>
      </c>
      <c r="B754" s="1" t="n">
        <v>44370.72197916666</v>
      </c>
      <c r="C754" s="1" t="n">
        <v>46089</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38721-2022</t>
        </is>
      </c>
      <c r="B755" s="1" t="n">
        <v>44815</v>
      </c>
      <c r="C755" s="1" t="n">
        <v>46089</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60184-2021</t>
        </is>
      </c>
      <c r="B756" s="1" t="n">
        <v>44495</v>
      </c>
      <c r="C756" s="1" t="n">
        <v>46089</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22531-2022</t>
        </is>
      </c>
      <c r="B757" s="1" t="n">
        <v>44713</v>
      </c>
      <c r="C757" s="1" t="n">
        <v>46089</v>
      </c>
      <c r="D757" t="inlineStr">
        <is>
          <t>STOCKHOLMS LÄN</t>
        </is>
      </c>
      <c r="E757" t="inlineStr">
        <is>
          <t>NYKVARN</t>
        </is>
      </c>
      <c r="F757" t="inlineStr">
        <is>
          <t>Allmännings- och besparingsskogar</t>
        </is>
      </c>
      <c r="G757" t="n">
        <v>10.1</v>
      </c>
      <c r="H757" t="n">
        <v>0</v>
      </c>
      <c r="I757" t="n">
        <v>0</v>
      </c>
      <c r="J757" t="n">
        <v>0</v>
      </c>
      <c r="K757" t="n">
        <v>0</v>
      </c>
      <c r="L757" t="n">
        <v>0</v>
      </c>
      <c r="M757" t="n">
        <v>0</v>
      </c>
      <c r="N757" t="n">
        <v>0</v>
      </c>
      <c r="O757" t="n">
        <v>0</v>
      </c>
      <c r="P757" t="n">
        <v>0</v>
      </c>
      <c r="Q757" t="n">
        <v>0</v>
      </c>
      <c r="R757" s="2" t="inlineStr"/>
    </row>
    <row r="758" ht="15" customHeight="1">
      <c r="A758" t="inlineStr">
        <is>
          <t>A 28399-2022</t>
        </is>
      </c>
      <c r="B758" s="1" t="n">
        <v>44747</v>
      </c>
      <c r="C758" s="1" t="n">
        <v>46089</v>
      </c>
      <c r="D758" t="inlineStr">
        <is>
          <t>STOCKHOLMS LÄN</t>
        </is>
      </c>
      <c r="E758" t="inlineStr">
        <is>
          <t>ÖSTERÅKER</t>
        </is>
      </c>
      <c r="G758" t="n">
        <v>1.3</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44445.63403935185</v>
      </c>
      <c r="C759" s="1" t="n">
        <v>46089</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61370-2022</t>
        </is>
      </c>
      <c r="B760" s="1" t="n">
        <v>44915</v>
      </c>
      <c r="C760" s="1" t="n">
        <v>46089</v>
      </c>
      <c r="D760" t="inlineStr">
        <is>
          <t>STOCKHOLMS LÄN</t>
        </is>
      </c>
      <c r="E760" t="inlineStr">
        <is>
          <t>ÖSTERÅKER</t>
        </is>
      </c>
      <c r="G760" t="n">
        <v>3.2</v>
      </c>
      <c r="H760" t="n">
        <v>0</v>
      </c>
      <c r="I760" t="n">
        <v>0</v>
      </c>
      <c r="J760" t="n">
        <v>0</v>
      </c>
      <c r="K760" t="n">
        <v>0</v>
      </c>
      <c r="L760" t="n">
        <v>0</v>
      </c>
      <c r="M760" t="n">
        <v>0</v>
      </c>
      <c r="N760" t="n">
        <v>0</v>
      </c>
      <c r="O760" t="n">
        <v>0</v>
      </c>
      <c r="P760" t="n">
        <v>0</v>
      </c>
      <c r="Q760" t="n">
        <v>0</v>
      </c>
      <c r="R760" s="2" t="inlineStr"/>
    </row>
    <row r="761" ht="15" customHeight="1">
      <c r="A761" t="inlineStr">
        <is>
          <t>A 15915-2023</t>
        </is>
      </c>
      <c r="B761" s="1" t="n">
        <v>45022</v>
      </c>
      <c r="C761" s="1" t="n">
        <v>46089</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14202-2025</t>
        </is>
      </c>
      <c r="B762" s="1" t="n">
        <v>45740.57461805556</v>
      </c>
      <c r="C762" s="1" t="n">
        <v>46089</v>
      </c>
      <c r="D762" t="inlineStr">
        <is>
          <t>STOCKHOLMS LÄN</t>
        </is>
      </c>
      <c r="E762" t="inlineStr">
        <is>
          <t>BOTKYRKA</t>
        </is>
      </c>
      <c r="G762" t="n">
        <v>0.9</v>
      </c>
      <c r="H762" t="n">
        <v>0</v>
      </c>
      <c r="I762" t="n">
        <v>0</v>
      </c>
      <c r="J762" t="n">
        <v>0</v>
      </c>
      <c r="K762" t="n">
        <v>0</v>
      </c>
      <c r="L762" t="n">
        <v>0</v>
      </c>
      <c r="M762" t="n">
        <v>0</v>
      </c>
      <c r="N762" t="n">
        <v>0</v>
      </c>
      <c r="O762" t="n">
        <v>0</v>
      </c>
      <c r="P762" t="n">
        <v>0</v>
      </c>
      <c r="Q762" t="n">
        <v>0</v>
      </c>
      <c r="R762" s="2" t="inlineStr"/>
    </row>
    <row r="763" ht="15" customHeight="1">
      <c r="A763" t="inlineStr">
        <is>
          <t>A 27828-2022</t>
        </is>
      </c>
      <c r="B763" s="1" t="n">
        <v>44743.59765046297</v>
      </c>
      <c r="C763" s="1" t="n">
        <v>46089</v>
      </c>
      <c r="D763" t="inlineStr">
        <is>
          <t>STOCKHOLMS LÄN</t>
        </is>
      </c>
      <c r="E763" t="inlineStr">
        <is>
          <t>NORRTÄLJE</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55696-2022</t>
        </is>
      </c>
      <c r="B764" s="1" t="n">
        <v>44888</v>
      </c>
      <c r="C764" s="1" t="n">
        <v>46089</v>
      </c>
      <c r="D764" t="inlineStr">
        <is>
          <t>STOCKHOLMS LÄN</t>
        </is>
      </c>
      <c r="E764" t="inlineStr">
        <is>
          <t>NORRTÄLJE</t>
        </is>
      </c>
      <c r="G764" t="n">
        <v>2.2</v>
      </c>
      <c r="H764" t="n">
        <v>0</v>
      </c>
      <c r="I764" t="n">
        <v>0</v>
      </c>
      <c r="J764" t="n">
        <v>0</v>
      </c>
      <c r="K764" t="n">
        <v>0</v>
      </c>
      <c r="L764" t="n">
        <v>0</v>
      </c>
      <c r="M764" t="n">
        <v>0</v>
      </c>
      <c r="N764" t="n">
        <v>0</v>
      </c>
      <c r="O764" t="n">
        <v>0</v>
      </c>
      <c r="P764" t="n">
        <v>0</v>
      </c>
      <c r="Q764" t="n">
        <v>0</v>
      </c>
      <c r="R764" s="2" t="inlineStr"/>
    </row>
    <row r="765" ht="15" customHeight="1">
      <c r="A765" t="inlineStr">
        <is>
          <t>A 22412-2021</t>
        </is>
      </c>
      <c r="B765" s="1" t="n">
        <v>44326.61967592593</v>
      </c>
      <c r="C765" s="1" t="n">
        <v>46089</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3585-2022</t>
        </is>
      </c>
      <c r="B766" s="1" t="n">
        <v>44586</v>
      </c>
      <c r="C766" s="1" t="n">
        <v>46089</v>
      </c>
      <c r="D766" t="inlineStr">
        <is>
          <t>STOCKHOLMS LÄN</t>
        </is>
      </c>
      <c r="E766" t="inlineStr">
        <is>
          <t>SÖDERTÄLJE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46089</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24254-2023</t>
        </is>
      </c>
      <c r="B768" s="1" t="n">
        <v>45076</v>
      </c>
      <c r="C768" s="1" t="n">
        <v>46089</v>
      </c>
      <c r="D768" t="inlineStr">
        <is>
          <t>STOCKHOLMS LÄN</t>
        </is>
      </c>
      <c r="E768" t="inlineStr">
        <is>
          <t>HUDDINGE</t>
        </is>
      </c>
      <c r="G768" t="n">
        <v>1.2</v>
      </c>
      <c r="H768" t="n">
        <v>0</v>
      </c>
      <c r="I768" t="n">
        <v>0</v>
      </c>
      <c r="J768" t="n">
        <v>0</v>
      </c>
      <c r="K768" t="n">
        <v>0</v>
      </c>
      <c r="L768" t="n">
        <v>0</v>
      </c>
      <c r="M768" t="n">
        <v>0</v>
      </c>
      <c r="N768" t="n">
        <v>0</v>
      </c>
      <c r="O768" t="n">
        <v>0</v>
      </c>
      <c r="P768" t="n">
        <v>0</v>
      </c>
      <c r="Q768" t="n">
        <v>0</v>
      </c>
      <c r="R768" s="2" t="inlineStr"/>
    </row>
    <row r="769" ht="15" customHeight="1">
      <c r="A769" t="inlineStr">
        <is>
          <t>A 24257-2023</t>
        </is>
      </c>
      <c r="B769" s="1" t="n">
        <v>45076</v>
      </c>
      <c r="C769" s="1" t="n">
        <v>46089</v>
      </c>
      <c r="D769" t="inlineStr">
        <is>
          <t>STOCKHOLMS LÄN</t>
        </is>
      </c>
      <c r="E769" t="inlineStr">
        <is>
          <t>HUDDINGE</t>
        </is>
      </c>
      <c r="G769" t="n">
        <v>1</v>
      </c>
      <c r="H769" t="n">
        <v>0</v>
      </c>
      <c r="I769" t="n">
        <v>0</v>
      </c>
      <c r="J769" t="n">
        <v>0</v>
      </c>
      <c r="K769" t="n">
        <v>0</v>
      </c>
      <c r="L769" t="n">
        <v>0</v>
      </c>
      <c r="M769" t="n">
        <v>0</v>
      </c>
      <c r="N769" t="n">
        <v>0</v>
      </c>
      <c r="O769" t="n">
        <v>0</v>
      </c>
      <c r="P769" t="n">
        <v>0</v>
      </c>
      <c r="Q769" t="n">
        <v>0</v>
      </c>
      <c r="R769" s="2" t="inlineStr"/>
    </row>
    <row r="770" ht="15" customHeight="1">
      <c r="A770" t="inlineStr">
        <is>
          <t>A 55586-2023</t>
        </is>
      </c>
      <c r="B770" s="1" t="n">
        <v>45232</v>
      </c>
      <c r="C770" s="1" t="n">
        <v>46089</v>
      </c>
      <c r="D770" t="inlineStr">
        <is>
          <t>STOCKHOLMS LÄN</t>
        </is>
      </c>
      <c r="E770" t="inlineStr">
        <is>
          <t>UPPLANDS-BRO</t>
        </is>
      </c>
      <c r="F770" t="inlineStr">
        <is>
          <t>Övriga statliga verk och myndigheter</t>
        </is>
      </c>
      <c r="G770" t="n">
        <v>38.9</v>
      </c>
      <c r="H770" t="n">
        <v>0</v>
      </c>
      <c r="I770" t="n">
        <v>0</v>
      </c>
      <c r="J770" t="n">
        <v>0</v>
      </c>
      <c r="K770" t="n">
        <v>0</v>
      </c>
      <c r="L770" t="n">
        <v>0</v>
      </c>
      <c r="M770" t="n">
        <v>0</v>
      </c>
      <c r="N770" t="n">
        <v>0</v>
      </c>
      <c r="O770" t="n">
        <v>0</v>
      </c>
      <c r="P770" t="n">
        <v>0</v>
      </c>
      <c r="Q770" t="n">
        <v>0</v>
      </c>
      <c r="R770" s="2" t="inlineStr"/>
    </row>
    <row r="771" ht="15" customHeight="1">
      <c r="A771" t="inlineStr">
        <is>
          <t>A 64105-2023</t>
        </is>
      </c>
      <c r="B771" s="1" t="n">
        <v>45279</v>
      </c>
      <c r="C771" s="1" t="n">
        <v>46089</v>
      </c>
      <c r="D771" t="inlineStr">
        <is>
          <t>STOCKHOLMS LÄN</t>
        </is>
      </c>
      <c r="E771" t="inlineStr">
        <is>
          <t>UPPLANDS-BRO</t>
        </is>
      </c>
      <c r="G771" t="n">
        <v>2.2</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46089</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46089</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31370-2021</t>
        </is>
      </c>
      <c r="B774" s="1" t="n">
        <v>44368</v>
      </c>
      <c r="C774" s="1" t="n">
        <v>46089</v>
      </c>
      <c r="D774" t="inlineStr">
        <is>
          <t>STOCKHOLMS LÄN</t>
        </is>
      </c>
      <c r="E774" t="inlineStr">
        <is>
          <t>UPPLANDS-BRO</t>
        </is>
      </c>
      <c r="G774" t="n">
        <v>4.8</v>
      </c>
      <c r="H774" t="n">
        <v>0</v>
      </c>
      <c r="I774" t="n">
        <v>0</v>
      </c>
      <c r="J774" t="n">
        <v>0</v>
      </c>
      <c r="K774" t="n">
        <v>0</v>
      </c>
      <c r="L774" t="n">
        <v>0</v>
      </c>
      <c r="M774" t="n">
        <v>0</v>
      </c>
      <c r="N774" t="n">
        <v>0</v>
      </c>
      <c r="O774" t="n">
        <v>0</v>
      </c>
      <c r="P774" t="n">
        <v>0</v>
      </c>
      <c r="Q774" t="n">
        <v>0</v>
      </c>
      <c r="R774" s="2" t="inlineStr"/>
    </row>
    <row r="775" ht="15" customHeight="1">
      <c r="A775" t="inlineStr">
        <is>
          <t>A 22008-2024</t>
        </is>
      </c>
      <c r="B775" s="1" t="n">
        <v>45443</v>
      </c>
      <c r="C775" s="1" t="n">
        <v>46089</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29972-2024</t>
        </is>
      </c>
      <c r="B776" s="1" t="n">
        <v>45485</v>
      </c>
      <c r="C776" s="1" t="n">
        <v>46089</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21285-2023</t>
        </is>
      </c>
      <c r="B777" s="1" t="n">
        <v>45062</v>
      </c>
      <c r="C777" s="1" t="n">
        <v>46089</v>
      </c>
      <c r="D777" t="inlineStr">
        <is>
          <t>STOCKHOLMS LÄN</t>
        </is>
      </c>
      <c r="E777" t="inlineStr">
        <is>
          <t>BOTKYRKA</t>
        </is>
      </c>
      <c r="G777" t="n">
        <v>0.8</v>
      </c>
      <c r="H777" t="n">
        <v>0</v>
      </c>
      <c r="I777" t="n">
        <v>0</v>
      </c>
      <c r="J777" t="n">
        <v>0</v>
      </c>
      <c r="K777" t="n">
        <v>0</v>
      </c>
      <c r="L777" t="n">
        <v>0</v>
      </c>
      <c r="M777" t="n">
        <v>0</v>
      </c>
      <c r="N777" t="n">
        <v>0</v>
      </c>
      <c r="O777" t="n">
        <v>0</v>
      </c>
      <c r="P777" t="n">
        <v>0</v>
      </c>
      <c r="Q777" t="n">
        <v>0</v>
      </c>
      <c r="R777" s="2" t="inlineStr"/>
    </row>
    <row r="778" ht="15" customHeight="1">
      <c r="A778" t="inlineStr">
        <is>
          <t>A 64137-2021</t>
        </is>
      </c>
      <c r="B778" s="1" t="n">
        <v>44510.51422453704</v>
      </c>
      <c r="C778" s="1" t="n">
        <v>46089</v>
      </c>
      <c r="D778" t="inlineStr">
        <is>
          <t>STOCKHOLMS LÄN</t>
        </is>
      </c>
      <c r="E778" t="inlineStr">
        <is>
          <t>NORRTÄLJE</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48716-2023</t>
        </is>
      </c>
      <c r="B779" s="1" t="n">
        <v>45208.69671296296</v>
      </c>
      <c r="C779" s="1" t="n">
        <v>46089</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46089</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20091-2025</t>
        </is>
      </c>
      <c r="B781" s="1" t="n">
        <v>45771</v>
      </c>
      <c r="C781" s="1" t="n">
        <v>46089</v>
      </c>
      <c r="D781" t="inlineStr">
        <is>
          <t>STOCKHOLMS LÄN</t>
        </is>
      </c>
      <c r="E781" t="inlineStr">
        <is>
          <t>SÖDERTÄLJE</t>
        </is>
      </c>
      <c r="G781" t="n">
        <v>8</v>
      </c>
      <c r="H781" t="n">
        <v>0</v>
      </c>
      <c r="I781" t="n">
        <v>0</v>
      </c>
      <c r="J781" t="n">
        <v>0</v>
      </c>
      <c r="K781" t="n">
        <v>0</v>
      </c>
      <c r="L781" t="n">
        <v>0</v>
      </c>
      <c r="M781" t="n">
        <v>0</v>
      </c>
      <c r="N781" t="n">
        <v>0</v>
      </c>
      <c r="O781" t="n">
        <v>0</v>
      </c>
      <c r="P781" t="n">
        <v>0</v>
      </c>
      <c r="Q781" t="n">
        <v>0</v>
      </c>
      <c r="R781" s="2" t="inlineStr"/>
    </row>
    <row r="782" ht="15" customHeight="1">
      <c r="A782" t="inlineStr">
        <is>
          <t>A 5027-2025</t>
        </is>
      </c>
      <c r="B782" s="1" t="n">
        <v>45691.41101851852</v>
      </c>
      <c r="C782" s="1" t="n">
        <v>46089</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61242-2022</t>
        </is>
      </c>
      <c r="B783" s="1" t="n">
        <v>44915</v>
      </c>
      <c r="C783" s="1" t="n">
        <v>46089</v>
      </c>
      <c r="D783" t="inlineStr">
        <is>
          <t>STOCKHOLMS LÄN</t>
        </is>
      </c>
      <c r="E783" t="inlineStr">
        <is>
          <t>BOTKYRKA</t>
        </is>
      </c>
      <c r="G783" t="n">
        <v>2.8</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46089</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9946-2024</t>
        </is>
      </c>
      <c r="B785" s="1" t="n">
        <v>45363.59789351852</v>
      </c>
      <c r="C785" s="1" t="n">
        <v>46089</v>
      </c>
      <c r="D785" t="inlineStr">
        <is>
          <t>STOCKHOLMS LÄN</t>
        </is>
      </c>
      <c r="E785" t="inlineStr">
        <is>
          <t>HANINGE</t>
        </is>
      </c>
      <c r="G785" t="n">
        <v>3.8</v>
      </c>
      <c r="H785" t="n">
        <v>0</v>
      </c>
      <c r="I785" t="n">
        <v>0</v>
      </c>
      <c r="J785" t="n">
        <v>0</v>
      </c>
      <c r="K785" t="n">
        <v>0</v>
      </c>
      <c r="L785" t="n">
        <v>0</v>
      </c>
      <c r="M785" t="n">
        <v>0</v>
      </c>
      <c r="N785" t="n">
        <v>0</v>
      </c>
      <c r="O785" t="n">
        <v>0</v>
      </c>
      <c r="P785" t="n">
        <v>0</v>
      </c>
      <c r="Q785" t="n">
        <v>0</v>
      </c>
      <c r="R785" s="2" t="inlineStr"/>
    </row>
    <row r="786" ht="15" customHeight="1">
      <c r="A786" t="inlineStr">
        <is>
          <t>A 58928-2022</t>
        </is>
      </c>
      <c r="B786" s="1" t="n">
        <v>44903</v>
      </c>
      <c r="C786" s="1" t="n">
        <v>46089</v>
      </c>
      <c r="D786" t="inlineStr">
        <is>
          <t>STOCKHOLMS LÄN</t>
        </is>
      </c>
      <c r="E786" t="inlineStr">
        <is>
          <t>SÖDERTÄLJE</t>
        </is>
      </c>
      <c r="F786" t="inlineStr">
        <is>
          <t>Kommuner</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26750-2021</t>
        </is>
      </c>
      <c r="B787" s="1" t="n">
        <v>44349</v>
      </c>
      <c r="C787" s="1" t="n">
        <v>46089</v>
      </c>
      <c r="D787" t="inlineStr">
        <is>
          <t>STOCKHOLMS LÄN</t>
        </is>
      </c>
      <c r="E787" t="inlineStr">
        <is>
          <t>NYNÄSHAMN</t>
        </is>
      </c>
      <c r="G787" t="n">
        <v>3</v>
      </c>
      <c r="H787" t="n">
        <v>0</v>
      </c>
      <c r="I787" t="n">
        <v>0</v>
      </c>
      <c r="J787" t="n">
        <v>0</v>
      </c>
      <c r="K787" t="n">
        <v>0</v>
      </c>
      <c r="L787" t="n">
        <v>0</v>
      </c>
      <c r="M787" t="n">
        <v>0</v>
      </c>
      <c r="N787" t="n">
        <v>0</v>
      </c>
      <c r="O787" t="n">
        <v>0</v>
      </c>
      <c r="P787" t="n">
        <v>0</v>
      </c>
      <c r="Q787" t="n">
        <v>0</v>
      </c>
      <c r="R787" s="2" t="inlineStr"/>
    </row>
    <row r="788" ht="15" customHeight="1">
      <c r="A788" t="inlineStr">
        <is>
          <t>A 12268-2022</t>
        </is>
      </c>
      <c r="B788" s="1" t="n">
        <v>44637</v>
      </c>
      <c r="C788" s="1" t="n">
        <v>46089</v>
      </c>
      <c r="D788" t="inlineStr">
        <is>
          <t>STOCKHOLMS LÄN</t>
        </is>
      </c>
      <c r="E788" t="inlineStr">
        <is>
          <t>NORRTÄLJE</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62311-2023</t>
        </is>
      </c>
      <c r="B789" s="1" t="n">
        <v>45266</v>
      </c>
      <c r="C789" s="1" t="n">
        <v>46089</v>
      </c>
      <c r="D789" t="inlineStr">
        <is>
          <t>STOCKHOLMS LÄN</t>
        </is>
      </c>
      <c r="E789" t="inlineStr">
        <is>
          <t>SÖDERTÄLJE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20015-2023</t>
        </is>
      </c>
      <c r="B790" s="1" t="n">
        <v>45054</v>
      </c>
      <c r="C790" s="1" t="n">
        <v>46089</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3273-2025</t>
        </is>
      </c>
      <c r="B791" s="1" t="n">
        <v>45679</v>
      </c>
      <c r="C791" s="1" t="n">
        <v>46089</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40643-2024</t>
        </is>
      </c>
      <c r="B792" s="1" t="n">
        <v>45558</v>
      </c>
      <c r="C792" s="1" t="n">
        <v>46089</v>
      </c>
      <c r="D792" t="inlineStr">
        <is>
          <t>STOCKHOLMS LÄN</t>
        </is>
      </c>
      <c r="E792" t="inlineStr">
        <is>
          <t>SIGTUNA</t>
        </is>
      </c>
      <c r="G792" t="n">
        <v>1.7</v>
      </c>
      <c r="H792" t="n">
        <v>0</v>
      </c>
      <c r="I792" t="n">
        <v>0</v>
      </c>
      <c r="J792" t="n">
        <v>0</v>
      </c>
      <c r="K792" t="n">
        <v>0</v>
      </c>
      <c r="L792" t="n">
        <v>0</v>
      </c>
      <c r="M792" t="n">
        <v>0</v>
      </c>
      <c r="N792" t="n">
        <v>0</v>
      </c>
      <c r="O792" t="n">
        <v>0</v>
      </c>
      <c r="P792" t="n">
        <v>0</v>
      </c>
      <c r="Q792" t="n">
        <v>0</v>
      </c>
      <c r="R792" s="2" t="inlineStr"/>
    </row>
    <row r="793" ht="15" customHeight="1">
      <c r="A793" t="inlineStr">
        <is>
          <t>A 52911-2024</t>
        </is>
      </c>
      <c r="B793" s="1" t="n">
        <v>45610.70392361111</v>
      </c>
      <c r="C793" s="1" t="n">
        <v>46089</v>
      </c>
      <c r="D793" t="inlineStr">
        <is>
          <t>STOCKHOLMS LÄN</t>
        </is>
      </c>
      <c r="E793" t="inlineStr">
        <is>
          <t>NYNÄSHAMN</t>
        </is>
      </c>
      <c r="G793" t="n">
        <v>0.8</v>
      </c>
      <c r="H793" t="n">
        <v>0</v>
      </c>
      <c r="I793" t="n">
        <v>0</v>
      </c>
      <c r="J793" t="n">
        <v>0</v>
      </c>
      <c r="K793" t="n">
        <v>0</v>
      </c>
      <c r="L793" t="n">
        <v>0</v>
      </c>
      <c r="M793" t="n">
        <v>0</v>
      </c>
      <c r="N793" t="n">
        <v>0</v>
      </c>
      <c r="O793" t="n">
        <v>0</v>
      </c>
      <c r="P793" t="n">
        <v>0</v>
      </c>
      <c r="Q793" t="n">
        <v>0</v>
      </c>
      <c r="R793" s="2" t="inlineStr"/>
    </row>
    <row r="794" ht="15" customHeight="1">
      <c r="A794" t="inlineStr">
        <is>
          <t>A 24245-2024</t>
        </is>
      </c>
      <c r="B794" s="1" t="n">
        <v>45457</v>
      </c>
      <c r="C794" s="1" t="n">
        <v>46089</v>
      </c>
      <c r="D794" t="inlineStr">
        <is>
          <t>STOCKHOLMS LÄN</t>
        </is>
      </c>
      <c r="E794" t="inlineStr">
        <is>
          <t>NORRTÄLJE</t>
        </is>
      </c>
      <c r="F794" t="inlineStr">
        <is>
          <t>Holmen skog AB</t>
        </is>
      </c>
      <c r="G794" t="n">
        <v>3.4</v>
      </c>
      <c r="H794" t="n">
        <v>0</v>
      </c>
      <c r="I794" t="n">
        <v>0</v>
      </c>
      <c r="J794" t="n">
        <v>0</v>
      </c>
      <c r="K794" t="n">
        <v>0</v>
      </c>
      <c r="L794" t="n">
        <v>0</v>
      </c>
      <c r="M794" t="n">
        <v>0</v>
      </c>
      <c r="N794" t="n">
        <v>0</v>
      </c>
      <c r="O794" t="n">
        <v>0</v>
      </c>
      <c r="P794" t="n">
        <v>0</v>
      </c>
      <c r="Q794" t="n">
        <v>0</v>
      </c>
      <c r="R794" s="2" t="inlineStr"/>
    </row>
    <row r="795" ht="15" customHeight="1">
      <c r="A795" t="inlineStr">
        <is>
          <t>A 55243-2023</t>
        </is>
      </c>
      <c r="B795" s="1" t="n">
        <v>45237</v>
      </c>
      <c r="C795" s="1" t="n">
        <v>46089</v>
      </c>
      <c r="D795" t="inlineStr">
        <is>
          <t>STOCKHOLMS LÄN</t>
        </is>
      </c>
      <c r="E795" t="inlineStr">
        <is>
          <t>NORRTÄLJE</t>
        </is>
      </c>
      <c r="G795" t="n">
        <v>6.5</v>
      </c>
      <c r="H795" t="n">
        <v>0</v>
      </c>
      <c r="I795" t="n">
        <v>0</v>
      </c>
      <c r="J795" t="n">
        <v>0</v>
      </c>
      <c r="K795" t="n">
        <v>0</v>
      </c>
      <c r="L795" t="n">
        <v>0</v>
      </c>
      <c r="M795" t="n">
        <v>0</v>
      </c>
      <c r="N795" t="n">
        <v>0</v>
      </c>
      <c r="O795" t="n">
        <v>0</v>
      </c>
      <c r="P795" t="n">
        <v>0</v>
      </c>
      <c r="Q795" t="n">
        <v>0</v>
      </c>
      <c r="R795" s="2" t="inlineStr"/>
    </row>
    <row r="796" ht="15" customHeight="1">
      <c r="A796" t="inlineStr">
        <is>
          <t>A 2602-2024</t>
        </is>
      </c>
      <c r="B796" s="1" t="n">
        <v>45313.73068287037</v>
      </c>
      <c r="C796" s="1" t="n">
        <v>46089</v>
      </c>
      <c r="D796" t="inlineStr">
        <is>
          <t>STOCKHOLMS LÄN</t>
        </is>
      </c>
      <c r="E796" t="inlineStr">
        <is>
          <t>UPPLANDS-BRO</t>
        </is>
      </c>
      <c r="G796" t="n">
        <v>0.7</v>
      </c>
      <c r="H796" t="n">
        <v>0</v>
      </c>
      <c r="I796" t="n">
        <v>0</v>
      </c>
      <c r="J796" t="n">
        <v>0</v>
      </c>
      <c r="K796" t="n">
        <v>0</v>
      </c>
      <c r="L796" t="n">
        <v>0</v>
      </c>
      <c r="M796" t="n">
        <v>0</v>
      </c>
      <c r="N796" t="n">
        <v>0</v>
      </c>
      <c r="O796" t="n">
        <v>0</v>
      </c>
      <c r="P796" t="n">
        <v>0</v>
      </c>
      <c r="Q796" t="n">
        <v>0</v>
      </c>
      <c r="R796" s="2" t="inlineStr"/>
    </row>
    <row r="797" ht="15" customHeight="1">
      <c r="A797" t="inlineStr">
        <is>
          <t>A 21291-2021</t>
        </is>
      </c>
      <c r="B797" s="1" t="n">
        <v>44319</v>
      </c>
      <c r="C797" s="1" t="n">
        <v>46089</v>
      </c>
      <c r="D797" t="inlineStr">
        <is>
          <t>STOCKHOLMS LÄN</t>
        </is>
      </c>
      <c r="E797" t="inlineStr">
        <is>
          <t>NORRTÄLJE</t>
        </is>
      </c>
      <c r="G797" t="n">
        <v>12.7</v>
      </c>
      <c r="H797" t="n">
        <v>0</v>
      </c>
      <c r="I797" t="n">
        <v>0</v>
      </c>
      <c r="J797" t="n">
        <v>0</v>
      </c>
      <c r="K797" t="n">
        <v>0</v>
      </c>
      <c r="L797" t="n">
        <v>0</v>
      </c>
      <c r="M797" t="n">
        <v>0</v>
      </c>
      <c r="N797" t="n">
        <v>0</v>
      </c>
      <c r="O797" t="n">
        <v>0</v>
      </c>
      <c r="P797" t="n">
        <v>0</v>
      </c>
      <c r="Q797" t="n">
        <v>0</v>
      </c>
      <c r="R797" s="2" t="inlineStr"/>
    </row>
    <row r="798" ht="15" customHeight="1">
      <c r="A798" t="inlineStr">
        <is>
          <t>A 15256-2023</t>
        </is>
      </c>
      <c r="B798" s="1" t="n">
        <v>45019.3959837963</v>
      </c>
      <c r="C798" s="1" t="n">
        <v>46089</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30925-2023</t>
        </is>
      </c>
      <c r="B799" s="1" t="n">
        <v>45113</v>
      </c>
      <c r="C799" s="1" t="n">
        <v>46089</v>
      </c>
      <c r="D799" t="inlineStr">
        <is>
          <t>STOCKHOLMS LÄN</t>
        </is>
      </c>
      <c r="E799" t="inlineStr">
        <is>
          <t>BOTKYRKA</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20428-2024</t>
        </is>
      </c>
      <c r="B800" s="1" t="n">
        <v>45435</v>
      </c>
      <c r="C800" s="1" t="n">
        <v>46089</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15465-2025</t>
        </is>
      </c>
      <c r="B801" s="1" t="n">
        <v>45747.51586805555</v>
      </c>
      <c r="C801" s="1" t="n">
        <v>46089</v>
      </c>
      <c r="D801" t="inlineStr">
        <is>
          <t>STOCKHOLMS LÄN</t>
        </is>
      </c>
      <c r="E801" t="inlineStr">
        <is>
          <t>NYNÄSHAMN</t>
        </is>
      </c>
      <c r="G801" t="n">
        <v>1.7</v>
      </c>
      <c r="H801" t="n">
        <v>0</v>
      </c>
      <c r="I801" t="n">
        <v>0</v>
      </c>
      <c r="J801" t="n">
        <v>0</v>
      </c>
      <c r="K801" t="n">
        <v>0</v>
      </c>
      <c r="L801" t="n">
        <v>0</v>
      </c>
      <c r="M801" t="n">
        <v>0</v>
      </c>
      <c r="N801" t="n">
        <v>0</v>
      </c>
      <c r="O801" t="n">
        <v>0</v>
      </c>
      <c r="P801" t="n">
        <v>0</v>
      </c>
      <c r="Q801" t="n">
        <v>0</v>
      </c>
      <c r="R801" s="2" t="inlineStr"/>
    </row>
    <row r="802" ht="15" customHeight="1">
      <c r="A802" t="inlineStr">
        <is>
          <t>A 1603-2023</t>
        </is>
      </c>
      <c r="B802" s="1" t="n">
        <v>44937.68086805556</v>
      </c>
      <c r="C802" s="1" t="n">
        <v>46089</v>
      </c>
      <c r="D802" t="inlineStr">
        <is>
          <t>STOCKHOLMS LÄN</t>
        </is>
      </c>
      <c r="E802" t="inlineStr">
        <is>
          <t>ÖSTERÅKER</t>
        </is>
      </c>
      <c r="G802" t="n">
        <v>1.7</v>
      </c>
      <c r="H802" t="n">
        <v>0</v>
      </c>
      <c r="I802" t="n">
        <v>0</v>
      </c>
      <c r="J802" t="n">
        <v>0</v>
      </c>
      <c r="K802" t="n">
        <v>0</v>
      </c>
      <c r="L802" t="n">
        <v>0</v>
      </c>
      <c r="M802" t="n">
        <v>0</v>
      </c>
      <c r="N802" t="n">
        <v>0</v>
      </c>
      <c r="O802" t="n">
        <v>0</v>
      </c>
      <c r="P802" t="n">
        <v>0</v>
      </c>
      <c r="Q802" t="n">
        <v>0</v>
      </c>
      <c r="R802" s="2" t="inlineStr"/>
    </row>
    <row r="803" ht="15" customHeight="1">
      <c r="A803" t="inlineStr">
        <is>
          <t>A 1605-2023</t>
        </is>
      </c>
      <c r="B803" s="1" t="n">
        <v>44937.68299768519</v>
      </c>
      <c r="C803" s="1" t="n">
        <v>46089</v>
      </c>
      <c r="D803" t="inlineStr">
        <is>
          <t>STOCKHOLMS LÄN</t>
        </is>
      </c>
      <c r="E803" t="inlineStr">
        <is>
          <t>ÖSTERÅKER</t>
        </is>
      </c>
      <c r="G803" t="n">
        <v>2.9</v>
      </c>
      <c r="H803" t="n">
        <v>0</v>
      </c>
      <c r="I803" t="n">
        <v>0</v>
      </c>
      <c r="J803" t="n">
        <v>0</v>
      </c>
      <c r="K803" t="n">
        <v>0</v>
      </c>
      <c r="L803" t="n">
        <v>0</v>
      </c>
      <c r="M803" t="n">
        <v>0</v>
      </c>
      <c r="N803" t="n">
        <v>0</v>
      </c>
      <c r="O803" t="n">
        <v>0</v>
      </c>
      <c r="P803" t="n">
        <v>0</v>
      </c>
      <c r="Q803" t="n">
        <v>0</v>
      </c>
      <c r="R803" s="2" t="inlineStr"/>
    </row>
    <row r="804" ht="15" customHeight="1">
      <c r="A804" t="inlineStr">
        <is>
          <t>A 52260-2022</t>
        </is>
      </c>
      <c r="B804" s="1" t="n">
        <v>44869</v>
      </c>
      <c r="C804" s="1" t="n">
        <v>46089</v>
      </c>
      <c r="D804" t="inlineStr">
        <is>
          <t>STOCKHOLMS LÄN</t>
        </is>
      </c>
      <c r="E804" t="inlineStr">
        <is>
          <t>NORRTÄLJE</t>
        </is>
      </c>
      <c r="G804" t="n">
        <v>3.1</v>
      </c>
      <c r="H804" t="n">
        <v>0</v>
      </c>
      <c r="I804" t="n">
        <v>0</v>
      </c>
      <c r="J804" t="n">
        <v>0</v>
      </c>
      <c r="K804" t="n">
        <v>0</v>
      </c>
      <c r="L804" t="n">
        <v>0</v>
      </c>
      <c r="M804" t="n">
        <v>0</v>
      </c>
      <c r="N804" t="n">
        <v>0</v>
      </c>
      <c r="O804" t="n">
        <v>0</v>
      </c>
      <c r="P804" t="n">
        <v>0</v>
      </c>
      <c r="Q804" t="n">
        <v>0</v>
      </c>
      <c r="R804" s="2" t="inlineStr"/>
    </row>
    <row r="805" ht="15" customHeight="1">
      <c r="A805" t="inlineStr">
        <is>
          <t>A 3219-2022</t>
        </is>
      </c>
      <c r="B805" s="1" t="n">
        <v>44582</v>
      </c>
      <c r="C805" s="1" t="n">
        <v>46089</v>
      </c>
      <c r="D805" t="inlineStr">
        <is>
          <t>STOCKHOLMS LÄN</t>
        </is>
      </c>
      <c r="E805" t="inlineStr">
        <is>
          <t>EKERÖ</t>
        </is>
      </c>
      <c r="G805" t="n">
        <v>0.5</v>
      </c>
      <c r="H805" t="n">
        <v>0</v>
      </c>
      <c r="I805" t="n">
        <v>0</v>
      </c>
      <c r="J805" t="n">
        <v>0</v>
      </c>
      <c r="K805" t="n">
        <v>0</v>
      </c>
      <c r="L805" t="n">
        <v>0</v>
      </c>
      <c r="M805" t="n">
        <v>0</v>
      </c>
      <c r="N805" t="n">
        <v>0</v>
      </c>
      <c r="O805" t="n">
        <v>0</v>
      </c>
      <c r="P805" t="n">
        <v>0</v>
      </c>
      <c r="Q805" t="n">
        <v>0</v>
      </c>
      <c r="R805" s="2" t="inlineStr"/>
    </row>
    <row r="806" ht="15" customHeight="1">
      <c r="A806" t="inlineStr">
        <is>
          <t>A 3221-2022</t>
        </is>
      </c>
      <c r="B806" s="1" t="n">
        <v>44582.80788194444</v>
      </c>
      <c r="C806" s="1" t="n">
        <v>46089</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13172-2025</t>
        </is>
      </c>
      <c r="B807" s="1" t="n">
        <v>45735.36873842592</v>
      </c>
      <c r="C807" s="1" t="n">
        <v>46089</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64145-2021</t>
        </is>
      </c>
      <c r="B808" s="1" t="n">
        <v>44510</v>
      </c>
      <c r="C808" s="1" t="n">
        <v>46089</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1740-2023</t>
        </is>
      </c>
      <c r="B809" s="1" t="n">
        <v>44938</v>
      </c>
      <c r="C809" s="1" t="n">
        <v>46089</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4596-2023</t>
        </is>
      </c>
      <c r="B810" s="1" t="n">
        <v>44956</v>
      </c>
      <c r="C810" s="1" t="n">
        <v>46089</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4297-2024</t>
        </is>
      </c>
      <c r="B811" s="1" t="n">
        <v>45324.62291666667</v>
      </c>
      <c r="C811" s="1" t="n">
        <v>46089</v>
      </c>
      <c r="D811" t="inlineStr">
        <is>
          <t>STOCKHOLMS LÄN</t>
        </is>
      </c>
      <c r="E811" t="inlineStr">
        <is>
          <t>HANINGE</t>
        </is>
      </c>
      <c r="F811" t="inlineStr">
        <is>
          <t>Kommuner</t>
        </is>
      </c>
      <c r="G811" t="n">
        <v>0.4</v>
      </c>
      <c r="H811" t="n">
        <v>0</v>
      </c>
      <c r="I811" t="n">
        <v>0</v>
      </c>
      <c r="J811" t="n">
        <v>0</v>
      </c>
      <c r="K811" t="n">
        <v>0</v>
      </c>
      <c r="L811" t="n">
        <v>0</v>
      </c>
      <c r="M811" t="n">
        <v>0</v>
      </c>
      <c r="N811" t="n">
        <v>0</v>
      </c>
      <c r="O811" t="n">
        <v>0</v>
      </c>
      <c r="P811" t="n">
        <v>0</v>
      </c>
      <c r="Q811" t="n">
        <v>0</v>
      </c>
      <c r="R811" s="2" t="inlineStr"/>
    </row>
    <row r="812" ht="15" customHeight="1">
      <c r="A812" t="inlineStr">
        <is>
          <t>A 59844-2022</t>
        </is>
      </c>
      <c r="B812" s="1" t="n">
        <v>44901</v>
      </c>
      <c r="C812" s="1" t="n">
        <v>46089</v>
      </c>
      <c r="D812" t="inlineStr">
        <is>
          <t>STOCKHOLMS LÄN</t>
        </is>
      </c>
      <c r="E812" t="inlineStr">
        <is>
          <t>UPPLANDS-BRO</t>
        </is>
      </c>
      <c r="F812" t="inlineStr">
        <is>
          <t>Övriga statliga verk och myndigheter</t>
        </is>
      </c>
      <c r="G812" t="n">
        <v>11.9</v>
      </c>
      <c r="H812" t="n">
        <v>0</v>
      </c>
      <c r="I812" t="n">
        <v>0</v>
      </c>
      <c r="J812" t="n">
        <v>0</v>
      </c>
      <c r="K812" t="n">
        <v>0</v>
      </c>
      <c r="L812" t="n">
        <v>0</v>
      </c>
      <c r="M812" t="n">
        <v>0</v>
      </c>
      <c r="N812" t="n">
        <v>0</v>
      </c>
      <c r="O812" t="n">
        <v>0</v>
      </c>
      <c r="P812" t="n">
        <v>0</v>
      </c>
      <c r="Q812" t="n">
        <v>0</v>
      </c>
      <c r="R812" s="2" t="inlineStr"/>
    </row>
    <row r="813" ht="15" customHeight="1">
      <c r="A813" t="inlineStr">
        <is>
          <t>A 22456-2023</t>
        </is>
      </c>
      <c r="B813" s="1" t="n">
        <v>45070</v>
      </c>
      <c r="C813" s="1" t="n">
        <v>46089</v>
      </c>
      <c r="D813" t="inlineStr">
        <is>
          <t>STOCKHOLMS LÄN</t>
        </is>
      </c>
      <c r="E813" t="inlineStr">
        <is>
          <t>NORRTÄLJE</t>
        </is>
      </c>
      <c r="G813" t="n">
        <v>3.1</v>
      </c>
      <c r="H813" t="n">
        <v>0</v>
      </c>
      <c r="I813" t="n">
        <v>0</v>
      </c>
      <c r="J813" t="n">
        <v>0</v>
      </c>
      <c r="K813" t="n">
        <v>0</v>
      </c>
      <c r="L813" t="n">
        <v>0</v>
      </c>
      <c r="M813" t="n">
        <v>0</v>
      </c>
      <c r="N813" t="n">
        <v>0</v>
      </c>
      <c r="O813" t="n">
        <v>0</v>
      </c>
      <c r="P813" t="n">
        <v>0</v>
      </c>
      <c r="Q813" t="n">
        <v>0</v>
      </c>
      <c r="R813" s="2" t="inlineStr"/>
    </row>
    <row r="814" ht="15" customHeight="1">
      <c r="A814" t="inlineStr">
        <is>
          <t>A 37037-2023</t>
        </is>
      </c>
      <c r="B814" s="1" t="n">
        <v>45155</v>
      </c>
      <c r="C814" s="1" t="n">
        <v>46089</v>
      </c>
      <c r="D814" t="inlineStr">
        <is>
          <t>STOCKHOLMS LÄN</t>
        </is>
      </c>
      <c r="E814" t="inlineStr">
        <is>
          <t>ÖSTERÅKER</t>
        </is>
      </c>
      <c r="G814" t="n">
        <v>2</v>
      </c>
      <c r="H814" t="n">
        <v>0</v>
      </c>
      <c r="I814" t="n">
        <v>0</v>
      </c>
      <c r="J814" t="n">
        <v>0</v>
      </c>
      <c r="K814" t="n">
        <v>0</v>
      </c>
      <c r="L814" t="n">
        <v>0</v>
      </c>
      <c r="M814" t="n">
        <v>0</v>
      </c>
      <c r="N814" t="n">
        <v>0</v>
      </c>
      <c r="O814" t="n">
        <v>0</v>
      </c>
      <c r="P814" t="n">
        <v>0</v>
      </c>
      <c r="Q814" t="n">
        <v>0</v>
      </c>
      <c r="R814" s="2" t="inlineStr"/>
    </row>
    <row r="815" ht="15" customHeight="1">
      <c r="A815" t="inlineStr">
        <is>
          <t>A 17785-2024</t>
        </is>
      </c>
      <c r="B815" s="1" t="n">
        <v>45418.6968287037</v>
      </c>
      <c r="C815" s="1" t="n">
        <v>46089</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25459-2023</t>
        </is>
      </c>
      <c r="B816" s="1" t="n">
        <v>45089</v>
      </c>
      <c r="C816" s="1" t="n">
        <v>46089</v>
      </c>
      <c r="D816" t="inlineStr">
        <is>
          <t>STOCKHOLMS LÄN</t>
        </is>
      </c>
      <c r="E816" t="inlineStr">
        <is>
          <t>SIGTUNA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25557-2023</t>
        </is>
      </c>
      <c r="B817" s="1" t="n">
        <v>45089</v>
      </c>
      <c r="C817" s="1" t="n">
        <v>46089</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27715-2022</t>
        </is>
      </c>
      <c r="B818" s="1" t="n">
        <v>44743.47407407407</v>
      </c>
      <c r="C818" s="1" t="n">
        <v>46089</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24288-2024</t>
        </is>
      </c>
      <c r="B819" s="1" t="n">
        <v>45457.4562037037</v>
      </c>
      <c r="C819" s="1" t="n">
        <v>46089</v>
      </c>
      <c r="D819" t="inlineStr">
        <is>
          <t>STOCKHOLMS LÄN</t>
        </is>
      </c>
      <c r="E819" t="inlineStr">
        <is>
          <t>NYNÄSHAMN</t>
        </is>
      </c>
      <c r="G819" t="n">
        <v>1.3</v>
      </c>
      <c r="H819" t="n">
        <v>0</v>
      </c>
      <c r="I819" t="n">
        <v>0</v>
      </c>
      <c r="J819" t="n">
        <v>0</v>
      </c>
      <c r="K819" t="n">
        <v>0</v>
      </c>
      <c r="L819" t="n">
        <v>0</v>
      </c>
      <c r="M819" t="n">
        <v>0</v>
      </c>
      <c r="N819" t="n">
        <v>0</v>
      </c>
      <c r="O819" t="n">
        <v>0</v>
      </c>
      <c r="P819" t="n">
        <v>0</v>
      </c>
      <c r="Q819" t="n">
        <v>0</v>
      </c>
      <c r="R819" s="2" t="inlineStr"/>
    </row>
    <row r="820" ht="15" customHeight="1">
      <c r="A820" t="inlineStr">
        <is>
          <t>A 10676-2025</t>
        </is>
      </c>
      <c r="B820" s="1" t="n">
        <v>45721.88684027778</v>
      </c>
      <c r="C820" s="1" t="n">
        <v>46089</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20852-2023</t>
        </is>
      </c>
      <c r="B821" s="1" t="n">
        <v>45058.78607638889</v>
      </c>
      <c r="C821" s="1" t="n">
        <v>46089</v>
      </c>
      <c r="D821" t="inlineStr">
        <is>
          <t>STOCKHOLMS LÄN</t>
        </is>
      </c>
      <c r="E821" t="inlineStr">
        <is>
          <t>NORRTÄLJE</t>
        </is>
      </c>
      <c r="G821" t="n">
        <v>3.5</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46089</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6826-2025</t>
        </is>
      </c>
      <c r="B823" s="1" t="n">
        <v>45700.73123842593</v>
      </c>
      <c r="C823" s="1" t="n">
        <v>46089</v>
      </c>
      <c r="D823" t="inlineStr">
        <is>
          <t>STOCKHOLMS LÄN</t>
        </is>
      </c>
      <c r="E823" t="inlineStr">
        <is>
          <t>SIGTUNA</t>
        </is>
      </c>
      <c r="G823" t="n">
        <v>1.1</v>
      </c>
      <c r="H823" t="n">
        <v>0</v>
      </c>
      <c r="I823" t="n">
        <v>0</v>
      </c>
      <c r="J823" t="n">
        <v>0</v>
      </c>
      <c r="K823" t="n">
        <v>0</v>
      </c>
      <c r="L823" t="n">
        <v>0</v>
      </c>
      <c r="M823" t="n">
        <v>0</v>
      </c>
      <c r="N823" t="n">
        <v>0</v>
      </c>
      <c r="O823" t="n">
        <v>0</v>
      </c>
      <c r="P823" t="n">
        <v>0</v>
      </c>
      <c r="Q823" t="n">
        <v>0</v>
      </c>
      <c r="R823" s="2" t="inlineStr"/>
    </row>
    <row r="824" ht="15" customHeight="1">
      <c r="A824" t="inlineStr">
        <is>
          <t>A 27970-2022</t>
        </is>
      </c>
      <c r="B824" s="1" t="n">
        <v>44744</v>
      </c>
      <c r="C824" s="1" t="n">
        <v>46089</v>
      </c>
      <c r="D824" t="inlineStr">
        <is>
          <t>STOCKHOLMS LÄN</t>
        </is>
      </c>
      <c r="E824" t="inlineStr">
        <is>
          <t>SÖDERTÄLJE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27972-2022</t>
        </is>
      </c>
      <c r="B825" s="1" t="n">
        <v>44744</v>
      </c>
      <c r="C825" s="1" t="n">
        <v>46089</v>
      </c>
      <c r="D825" t="inlineStr">
        <is>
          <t>STOCKHOLMS LÄN</t>
        </is>
      </c>
      <c r="E825" t="inlineStr">
        <is>
          <t>SÖDERTÄLJE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6678-2025</t>
        </is>
      </c>
      <c r="B826" s="1" t="n">
        <v>45700</v>
      </c>
      <c r="C826" s="1" t="n">
        <v>46089</v>
      </c>
      <c r="D826" t="inlineStr">
        <is>
          <t>STOCKHOLMS LÄN</t>
        </is>
      </c>
      <c r="E826" t="inlineStr">
        <is>
          <t>NORRTÄLJE</t>
        </is>
      </c>
      <c r="F826" t="inlineStr">
        <is>
          <t>Övriga Aktiebolag</t>
        </is>
      </c>
      <c r="G826" t="n">
        <v>6.6</v>
      </c>
      <c r="H826" t="n">
        <v>0</v>
      </c>
      <c r="I826" t="n">
        <v>0</v>
      </c>
      <c r="J826" t="n">
        <v>0</v>
      </c>
      <c r="K826" t="n">
        <v>0</v>
      </c>
      <c r="L826" t="n">
        <v>0</v>
      </c>
      <c r="M826" t="n">
        <v>0</v>
      </c>
      <c r="N826" t="n">
        <v>0</v>
      </c>
      <c r="O826" t="n">
        <v>0</v>
      </c>
      <c r="P826" t="n">
        <v>0</v>
      </c>
      <c r="Q826" t="n">
        <v>0</v>
      </c>
      <c r="R826" s="2" t="inlineStr"/>
    </row>
    <row r="827" ht="15" customHeight="1">
      <c r="A827" t="inlineStr">
        <is>
          <t>A 3828-2023</t>
        </is>
      </c>
      <c r="B827" s="1" t="n">
        <v>44951</v>
      </c>
      <c r="C827" s="1" t="n">
        <v>46089</v>
      </c>
      <c r="D827" t="inlineStr">
        <is>
          <t>STOCKHOLMS LÄN</t>
        </is>
      </c>
      <c r="E827" t="inlineStr">
        <is>
          <t>ÖSTERÅKER</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42075-2023</t>
        </is>
      </c>
      <c r="B828" s="1" t="n">
        <v>45177</v>
      </c>
      <c r="C828" s="1" t="n">
        <v>46089</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15690-2023</t>
        </is>
      </c>
      <c r="B829" s="1" t="n">
        <v>45020</v>
      </c>
      <c r="C829" s="1" t="n">
        <v>46089</v>
      </c>
      <c r="D829" t="inlineStr">
        <is>
          <t>STOCKHOLMS LÄN</t>
        </is>
      </c>
      <c r="E829" t="inlineStr">
        <is>
          <t>BOTKYRKA</t>
        </is>
      </c>
      <c r="G829" t="n">
        <v>5</v>
      </c>
      <c r="H829" t="n">
        <v>0</v>
      </c>
      <c r="I829" t="n">
        <v>0</v>
      </c>
      <c r="J829" t="n">
        <v>0</v>
      </c>
      <c r="K829" t="n">
        <v>0</v>
      </c>
      <c r="L829" t="n">
        <v>0</v>
      </c>
      <c r="M829" t="n">
        <v>0</v>
      </c>
      <c r="N829" t="n">
        <v>0</v>
      </c>
      <c r="O829" t="n">
        <v>0</v>
      </c>
      <c r="P829" t="n">
        <v>0</v>
      </c>
      <c r="Q829" t="n">
        <v>0</v>
      </c>
      <c r="R829" s="2" t="inlineStr"/>
    </row>
    <row r="830" ht="15" customHeight="1">
      <c r="A830" t="inlineStr">
        <is>
          <t>A 44917-2022</t>
        </is>
      </c>
      <c r="B830" s="1" t="n">
        <v>44841.52804398148</v>
      </c>
      <c r="C830" s="1" t="n">
        <v>46089</v>
      </c>
      <c r="D830" t="inlineStr">
        <is>
          <t>STOCKHOLMS LÄN</t>
        </is>
      </c>
      <c r="E830" t="inlineStr">
        <is>
          <t>NORRTÄLJE</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50108-2021</t>
        </is>
      </c>
      <c r="B831" s="1" t="n">
        <v>44456</v>
      </c>
      <c r="C831" s="1" t="n">
        <v>46089</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55058-2021</t>
        </is>
      </c>
      <c r="B832" s="1" t="n">
        <v>44474.62141203704</v>
      </c>
      <c r="C832" s="1" t="n">
        <v>46089</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27748-2023</t>
        </is>
      </c>
      <c r="B833" s="1" t="n">
        <v>45098</v>
      </c>
      <c r="C833" s="1" t="n">
        <v>46089</v>
      </c>
      <c r="D833" t="inlineStr">
        <is>
          <t>STOCKHOLMS LÄN</t>
        </is>
      </c>
      <c r="E833" t="inlineStr">
        <is>
          <t>NYNÄSHAMN</t>
        </is>
      </c>
      <c r="G833" t="n">
        <v>1.2</v>
      </c>
      <c r="H833" t="n">
        <v>0</v>
      </c>
      <c r="I833" t="n">
        <v>0</v>
      </c>
      <c r="J833" t="n">
        <v>0</v>
      </c>
      <c r="K833" t="n">
        <v>0</v>
      </c>
      <c r="L833" t="n">
        <v>0</v>
      </c>
      <c r="M833" t="n">
        <v>0</v>
      </c>
      <c r="N833" t="n">
        <v>0</v>
      </c>
      <c r="O833" t="n">
        <v>0</v>
      </c>
      <c r="P833" t="n">
        <v>0</v>
      </c>
      <c r="Q833" t="n">
        <v>0</v>
      </c>
      <c r="R833" s="2" t="inlineStr"/>
    </row>
    <row r="834" ht="15" customHeight="1">
      <c r="A834" t="inlineStr">
        <is>
          <t>A 55012-2024</t>
        </is>
      </c>
      <c r="B834" s="1" t="n">
        <v>45621.34813657407</v>
      </c>
      <c r="C834" s="1" t="n">
        <v>46089</v>
      </c>
      <c r="D834" t="inlineStr">
        <is>
          <t>STOCKHOLMS LÄN</t>
        </is>
      </c>
      <c r="E834" t="inlineStr">
        <is>
          <t>NORRTÄLJE</t>
        </is>
      </c>
      <c r="F834" t="inlineStr">
        <is>
          <t>Sveaskog</t>
        </is>
      </c>
      <c r="G834" t="n">
        <v>5.2</v>
      </c>
      <c r="H834" t="n">
        <v>0</v>
      </c>
      <c r="I834" t="n">
        <v>0</v>
      </c>
      <c r="J834" t="n">
        <v>0</v>
      </c>
      <c r="K834" t="n">
        <v>0</v>
      </c>
      <c r="L834" t="n">
        <v>0</v>
      </c>
      <c r="M834" t="n">
        <v>0</v>
      </c>
      <c r="N834" t="n">
        <v>0</v>
      </c>
      <c r="O834" t="n">
        <v>0</v>
      </c>
      <c r="P834" t="n">
        <v>0</v>
      </c>
      <c r="Q834" t="n">
        <v>0</v>
      </c>
      <c r="R834" s="2" t="inlineStr"/>
    </row>
    <row r="835" ht="15" customHeight="1">
      <c r="A835" t="inlineStr">
        <is>
          <t>A 26390-2023</t>
        </is>
      </c>
      <c r="B835" s="1" t="n">
        <v>45086</v>
      </c>
      <c r="C835" s="1" t="n">
        <v>46089</v>
      </c>
      <c r="D835" t="inlineStr">
        <is>
          <t>STOCKHOLMS LÄN</t>
        </is>
      </c>
      <c r="E835" t="inlineStr">
        <is>
          <t>VALLENTUNA</t>
        </is>
      </c>
      <c r="G835" t="n">
        <v>1.6</v>
      </c>
      <c r="H835" t="n">
        <v>0</v>
      </c>
      <c r="I835" t="n">
        <v>0</v>
      </c>
      <c r="J835" t="n">
        <v>0</v>
      </c>
      <c r="K835" t="n">
        <v>0</v>
      </c>
      <c r="L835" t="n">
        <v>0</v>
      </c>
      <c r="M835" t="n">
        <v>0</v>
      </c>
      <c r="N835" t="n">
        <v>0</v>
      </c>
      <c r="O835" t="n">
        <v>0</v>
      </c>
      <c r="P835" t="n">
        <v>0</v>
      </c>
      <c r="Q835" t="n">
        <v>0</v>
      </c>
      <c r="R835" s="2" t="inlineStr"/>
    </row>
    <row r="836" ht="15" customHeight="1">
      <c r="A836" t="inlineStr">
        <is>
          <t>A 33262-2021</t>
        </is>
      </c>
      <c r="B836" s="1" t="n">
        <v>44377.35033564815</v>
      </c>
      <c r="C836" s="1" t="n">
        <v>46089</v>
      </c>
      <c r="D836" t="inlineStr">
        <is>
          <t>STOCKHOLMS LÄN</t>
        </is>
      </c>
      <c r="E836" t="inlineStr">
        <is>
          <t>SALEM</t>
        </is>
      </c>
      <c r="G836" t="n">
        <v>0.7</v>
      </c>
      <c r="H836" t="n">
        <v>0</v>
      </c>
      <c r="I836" t="n">
        <v>0</v>
      </c>
      <c r="J836" t="n">
        <v>0</v>
      </c>
      <c r="K836" t="n">
        <v>0</v>
      </c>
      <c r="L836" t="n">
        <v>0</v>
      </c>
      <c r="M836" t="n">
        <v>0</v>
      </c>
      <c r="N836" t="n">
        <v>0</v>
      </c>
      <c r="O836" t="n">
        <v>0</v>
      </c>
      <c r="P836" t="n">
        <v>0</v>
      </c>
      <c r="Q836" t="n">
        <v>0</v>
      </c>
      <c r="R836" s="2" t="inlineStr"/>
    </row>
    <row r="837" ht="15" customHeight="1">
      <c r="A837" t="inlineStr">
        <is>
          <t>A 50355-2024</t>
        </is>
      </c>
      <c r="B837" s="1" t="n">
        <v>45600.86128472222</v>
      </c>
      <c r="C837" s="1" t="n">
        <v>46089</v>
      </c>
      <c r="D837" t="inlineStr">
        <is>
          <t>STOCKHOLMS LÄN</t>
        </is>
      </c>
      <c r="E837" t="inlineStr">
        <is>
          <t>NORRTÄLJE</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16520-2025</t>
        </is>
      </c>
      <c r="B838" s="1" t="n">
        <v>45751.63434027778</v>
      </c>
      <c r="C838" s="1" t="n">
        <v>46089</v>
      </c>
      <c r="D838" t="inlineStr">
        <is>
          <t>STOCKHOLMS LÄN</t>
        </is>
      </c>
      <c r="E838" t="inlineStr">
        <is>
          <t>SÖDERTÄLJE</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7413-2024</t>
        </is>
      </c>
      <c r="B839" s="1" t="n">
        <v>45345.6059837963</v>
      </c>
      <c r="C839" s="1" t="n">
        <v>46089</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12251-2025</t>
        </is>
      </c>
      <c r="B840" s="1" t="n">
        <v>45729.60859953704</v>
      </c>
      <c r="C840" s="1" t="n">
        <v>46089</v>
      </c>
      <c r="D840" t="inlineStr">
        <is>
          <t>STOCKHOLMS LÄN</t>
        </is>
      </c>
      <c r="E840" t="inlineStr">
        <is>
          <t>NORRTÄLJE</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7180-2024</t>
        </is>
      </c>
      <c r="B841" s="1" t="n">
        <v>45344</v>
      </c>
      <c r="C841" s="1" t="n">
        <v>46089</v>
      </c>
      <c r="D841" t="inlineStr">
        <is>
          <t>STOCKHOLMS LÄN</t>
        </is>
      </c>
      <c r="E841" t="inlineStr">
        <is>
          <t>NYNÄSHAMN</t>
        </is>
      </c>
      <c r="G841" t="n">
        <v>1.5</v>
      </c>
      <c r="H841" t="n">
        <v>0</v>
      </c>
      <c r="I841" t="n">
        <v>0</v>
      </c>
      <c r="J841" t="n">
        <v>0</v>
      </c>
      <c r="K841" t="n">
        <v>0</v>
      </c>
      <c r="L841" t="n">
        <v>0</v>
      </c>
      <c r="M841" t="n">
        <v>0</v>
      </c>
      <c r="N841" t="n">
        <v>0</v>
      </c>
      <c r="O841" t="n">
        <v>0</v>
      </c>
      <c r="P841" t="n">
        <v>0</v>
      </c>
      <c r="Q841" t="n">
        <v>0</v>
      </c>
      <c r="R841" s="2" t="inlineStr"/>
    </row>
    <row r="842" ht="15" customHeight="1">
      <c r="A842" t="inlineStr">
        <is>
          <t>A 58863-2024</t>
        </is>
      </c>
      <c r="B842" s="1" t="n">
        <v>45636.41572916666</v>
      </c>
      <c r="C842" s="1" t="n">
        <v>46089</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42867-2022</t>
        </is>
      </c>
      <c r="B843" s="1" t="n">
        <v>44832</v>
      </c>
      <c r="C843" s="1" t="n">
        <v>46089</v>
      </c>
      <c r="D843" t="inlineStr">
        <is>
          <t>STOCKHOLMS LÄN</t>
        </is>
      </c>
      <c r="E843" t="inlineStr">
        <is>
          <t>NORRTÄLJE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50154-2024</t>
        </is>
      </c>
      <c r="B844" s="1" t="n">
        <v>45600.4558912037</v>
      </c>
      <c r="C844" s="1" t="n">
        <v>46089</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58277-2023</t>
        </is>
      </c>
      <c r="B845" s="1" t="n">
        <v>45245</v>
      </c>
      <c r="C845" s="1" t="n">
        <v>46089</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11900-2024</t>
        </is>
      </c>
      <c r="B846" s="1" t="n">
        <v>45376.55484953704</v>
      </c>
      <c r="C846" s="1" t="n">
        <v>46089</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33158-2024</t>
        </is>
      </c>
      <c r="B847" s="1" t="n">
        <v>45518</v>
      </c>
      <c r="C847" s="1" t="n">
        <v>46089</v>
      </c>
      <c r="D847" t="inlineStr">
        <is>
          <t>STOCKHOLMS LÄN</t>
        </is>
      </c>
      <c r="E847" t="inlineStr">
        <is>
          <t>ÖSTERÅKER</t>
        </is>
      </c>
      <c r="G847" t="n">
        <v>1.6</v>
      </c>
      <c r="H847" t="n">
        <v>0</v>
      </c>
      <c r="I847" t="n">
        <v>0</v>
      </c>
      <c r="J847" t="n">
        <v>0</v>
      </c>
      <c r="K847" t="n">
        <v>0</v>
      </c>
      <c r="L847" t="n">
        <v>0</v>
      </c>
      <c r="M847" t="n">
        <v>0</v>
      </c>
      <c r="N847" t="n">
        <v>0</v>
      </c>
      <c r="O847" t="n">
        <v>0</v>
      </c>
      <c r="P847" t="n">
        <v>0</v>
      </c>
      <c r="Q847" t="n">
        <v>0</v>
      </c>
      <c r="R847" s="2" t="inlineStr"/>
    </row>
    <row r="848" ht="15" customHeight="1">
      <c r="A848" t="inlineStr">
        <is>
          <t>A 9966-2024</t>
        </is>
      </c>
      <c r="B848" s="1" t="n">
        <v>45363.65841435185</v>
      </c>
      <c r="C848" s="1" t="n">
        <v>46089</v>
      </c>
      <c r="D848" t="inlineStr">
        <is>
          <t>STOCKHOLMS LÄN</t>
        </is>
      </c>
      <c r="E848" t="inlineStr">
        <is>
          <t>VÄRMDÖ</t>
        </is>
      </c>
      <c r="G848" t="n">
        <v>6</v>
      </c>
      <c r="H848" t="n">
        <v>0</v>
      </c>
      <c r="I848" t="n">
        <v>0</v>
      </c>
      <c r="J848" t="n">
        <v>0</v>
      </c>
      <c r="K848" t="n">
        <v>0</v>
      </c>
      <c r="L848" t="n">
        <v>0</v>
      </c>
      <c r="M848" t="n">
        <v>0</v>
      </c>
      <c r="N848" t="n">
        <v>0</v>
      </c>
      <c r="O848" t="n">
        <v>0</v>
      </c>
      <c r="P848" t="n">
        <v>0</v>
      </c>
      <c r="Q848" t="n">
        <v>0</v>
      </c>
      <c r="R848" s="2" t="inlineStr"/>
    </row>
    <row r="849" ht="15" customHeight="1">
      <c r="A849" t="inlineStr">
        <is>
          <t>A 32705-2022</t>
        </is>
      </c>
      <c r="B849" s="1" t="n">
        <v>44783</v>
      </c>
      <c r="C849" s="1" t="n">
        <v>46089</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23749-2024</t>
        </is>
      </c>
      <c r="B850" s="1" t="n">
        <v>45455.33037037037</v>
      </c>
      <c r="C850" s="1" t="n">
        <v>46089</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41809-2021</t>
        </is>
      </c>
      <c r="B851" s="1" t="n">
        <v>44425</v>
      </c>
      <c r="C851" s="1" t="n">
        <v>46089</v>
      </c>
      <c r="D851" t="inlineStr">
        <is>
          <t>STOCKHOLMS LÄN</t>
        </is>
      </c>
      <c r="E851" t="inlineStr">
        <is>
          <t>HANINGE</t>
        </is>
      </c>
      <c r="G851" t="n">
        <v>0.9</v>
      </c>
      <c r="H851" t="n">
        <v>0</v>
      </c>
      <c r="I851" t="n">
        <v>0</v>
      </c>
      <c r="J851" t="n">
        <v>0</v>
      </c>
      <c r="K851" t="n">
        <v>0</v>
      </c>
      <c r="L851" t="n">
        <v>0</v>
      </c>
      <c r="M851" t="n">
        <v>0</v>
      </c>
      <c r="N851" t="n">
        <v>0</v>
      </c>
      <c r="O851" t="n">
        <v>0</v>
      </c>
      <c r="P851" t="n">
        <v>0</v>
      </c>
      <c r="Q851" t="n">
        <v>0</v>
      </c>
      <c r="R851" s="2" t="inlineStr"/>
    </row>
    <row r="852" ht="15" customHeight="1">
      <c r="A852" t="inlineStr">
        <is>
          <t>A 47481-2024</t>
        </is>
      </c>
      <c r="B852" s="1" t="n">
        <v>45587</v>
      </c>
      <c r="C852" s="1" t="n">
        <v>46089</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46089</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11940-2023</t>
        </is>
      </c>
      <c r="B854" s="1" t="n">
        <v>44995</v>
      </c>
      <c r="C854" s="1" t="n">
        <v>46089</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2367-2023</t>
        </is>
      </c>
      <c r="B855" s="1" t="n">
        <v>44942.67042824074</v>
      </c>
      <c r="C855" s="1" t="n">
        <v>46089</v>
      </c>
      <c r="D855" t="inlineStr">
        <is>
          <t>STOCKHOLMS LÄN</t>
        </is>
      </c>
      <c r="E855" t="inlineStr">
        <is>
          <t>NYNÄSHAMN</t>
        </is>
      </c>
      <c r="G855" t="n">
        <v>1.2</v>
      </c>
      <c r="H855" t="n">
        <v>0</v>
      </c>
      <c r="I855" t="n">
        <v>0</v>
      </c>
      <c r="J855" t="n">
        <v>0</v>
      </c>
      <c r="K855" t="n">
        <v>0</v>
      </c>
      <c r="L855" t="n">
        <v>0</v>
      </c>
      <c r="M855" t="n">
        <v>0</v>
      </c>
      <c r="N855" t="n">
        <v>0</v>
      </c>
      <c r="O855" t="n">
        <v>0</v>
      </c>
      <c r="P855" t="n">
        <v>0</v>
      </c>
      <c r="Q855" t="n">
        <v>0</v>
      </c>
      <c r="R855" s="2" t="inlineStr"/>
    </row>
    <row r="856" ht="15" customHeight="1">
      <c r="A856" t="inlineStr">
        <is>
          <t>A 14217-2025</t>
        </is>
      </c>
      <c r="B856" s="1" t="n">
        <v>45740.58534722222</v>
      </c>
      <c r="C856" s="1" t="n">
        <v>46089</v>
      </c>
      <c r="D856" t="inlineStr">
        <is>
          <t>STOCKHOLMS LÄN</t>
        </is>
      </c>
      <c r="E856" t="inlineStr">
        <is>
          <t>BOTKYRKA</t>
        </is>
      </c>
      <c r="G856" t="n">
        <v>3.4</v>
      </c>
      <c r="H856" t="n">
        <v>0</v>
      </c>
      <c r="I856" t="n">
        <v>0</v>
      </c>
      <c r="J856" t="n">
        <v>0</v>
      </c>
      <c r="K856" t="n">
        <v>0</v>
      </c>
      <c r="L856" t="n">
        <v>0</v>
      </c>
      <c r="M856" t="n">
        <v>0</v>
      </c>
      <c r="N856" t="n">
        <v>0</v>
      </c>
      <c r="O856" t="n">
        <v>0</v>
      </c>
      <c r="P856" t="n">
        <v>0</v>
      </c>
      <c r="Q856" t="n">
        <v>0</v>
      </c>
      <c r="R856" s="2" t="inlineStr"/>
    </row>
    <row r="857" ht="15" customHeight="1">
      <c r="A857" t="inlineStr">
        <is>
          <t>A 20373-2025</t>
        </is>
      </c>
      <c r="B857" s="1" t="n">
        <v>45775.4216087963</v>
      </c>
      <c r="C857" s="1" t="n">
        <v>46089</v>
      </c>
      <c r="D857" t="inlineStr">
        <is>
          <t>STOCKHOLMS LÄN</t>
        </is>
      </c>
      <c r="E857" t="inlineStr">
        <is>
          <t>VÄRMDÖ</t>
        </is>
      </c>
      <c r="G857" t="n">
        <v>0.5</v>
      </c>
      <c r="H857" t="n">
        <v>0</v>
      </c>
      <c r="I857" t="n">
        <v>0</v>
      </c>
      <c r="J857" t="n">
        <v>0</v>
      </c>
      <c r="K857" t="n">
        <v>0</v>
      </c>
      <c r="L857" t="n">
        <v>0</v>
      </c>
      <c r="M857" t="n">
        <v>0</v>
      </c>
      <c r="N857" t="n">
        <v>0</v>
      </c>
      <c r="O857" t="n">
        <v>0</v>
      </c>
      <c r="P857" t="n">
        <v>0</v>
      </c>
      <c r="Q857" t="n">
        <v>0</v>
      </c>
      <c r="R857" s="2" t="inlineStr"/>
    </row>
    <row r="858" ht="15" customHeight="1">
      <c r="A858" t="inlineStr">
        <is>
          <t>A 23627-2025</t>
        </is>
      </c>
      <c r="B858" s="1" t="n">
        <v>45792.67523148148</v>
      </c>
      <c r="C858" s="1" t="n">
        <v>46089</v>
      </c>
      <c r="D858" t="inlineStr">
        <is>
          <t>STOCKHOLMS LÄN</t>
        </is>
      </c>
      <c r="E858" t="inlineStr">
        <is>
          <t>UPPLANDS-BRO</t>
        </is>
      </c>
      <c r="G858" t="n">
        <v>1.7</v>
      </c>
      <c r="H858" t="n">
        <v>0</v>
      </c>
      <c r="I858" t="n">
        <v>0</v>
      </c>
      <c r="J858" t="n">
        <v>0</v>
      </c>
      <c r="K858" t="n">
        <v>0</v>
      </c>
      <c r="L858" t="n">
        <v>0</v>
      </c>
      <c r="M858" t="n">
        <v>0</v>
      </c>
      <c r="N858" t="n">
        <v>0</v>
      </c>
      <c r="O858" t="n">
        <v>0</v>
      </c>
      <c r="P858" t="n">
        <v>0</v>
      </c>
      <c r="Q858" t="n">
        <v>0</v>
      </c>
      <c r="R858" s="2" t="inlineStr"/>
    </row>
    <row r="859" ht="15" customHeight="1">
      <c r="A859" t="inlineStr">
        <is>
          <t>A 2281-2024</t>
        </is>
      </c>
      <c r="B859" s="1" t="n">
        <v>45310.40628472222</v>
      </c>
      <c r="C859" s="1" t="n">
        <v>46089</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26190-2022</t>
        </is>
      </c>
      <c r="B860" s="1" t="n">
        <v>44735</v>
      </c>
      <c r="C860" s="1" t="n">
        <v>46089</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9856-2024</t>
        </is>
      </c>
      <c r="B861" s="1" t="n">
        <v>45363</v>
      </c>
      <c r="C861" s="1" t="n">
        <v>46089</v>
      </c>
      <c r="D861" t="inlineStr">
        <is>
          <t>STOCKHOLMS LÄN</t>
        </is>
      </c>
      <c r="E861" t="inlineStr">
        <is>
          <t>SIGTUNA</t>
        </is>
      </c>
      <c r="G861" t="n">
        <v>1.3</v>
      </c>
      <c r="H861" t="n">
        <v>0</v>
      </c>
      <c r="I861" t="n">
        <v>0</v>
      </c>
      <c r="J861" t="n">
        <v>0</v>
      </c>
      <c r="K861" t="n">
        <v>0</v>
      </c>
      <c r="L861" t="n">
        <v>0</v>
      </c>
      <c r="M861" t="n">
        <v>0</v>
      </c>
      <c r="N861" t="n">
        <v>0</v>
      </c>
      <c r="O861" t="n">
        <v>0</v>
      </c>
      <c r="P861" t="n">
        <v>0</v>
      </c>
      <c r="Q861" t="n">
        <v>0</v>
      </c>
      <c r="R861" s="2" t="inlineStr"/>
    </row>
    <row r="862" ht="15" customHeight="1">
      <c r="A862" t="inlineStr">
        <is>
          <t>A 60525-2022</t>
        </is>
      </c>
      <c r="B862" s="1" t="n">
        <v>44904</v>
      </c>
      <c r="C862" s="1" t="n">
        <v>46089</v>
      </c>
      <c r="D862" t="inlineStr">
        <is>
          <t>STOCKHOLMS LÄN</t>
        </is>
      </c>
      <c r="E862" t="inlineStr">
        <is>
          <t>NORRTÄLJE</t>
        </is>
      </c>
      <c r="G862" t="n">
        <v>13.4</v>
      </c>
      <c r="H862" t="n">
        <v>0</v>
      </c>
      <c r="I862" t="n">
        <v>0</v>
      </c>
      <c r="J862" t="n">
        <v>0</v>
      </c>
      <c r="K862" t="n">
        <v>0</v>
      </c>
      <c r="L862" t="n">
        <v>0</v>
      </c>
      <c r="M862" t="n">
        <v>0</v>
      </c>
      <c r="N862" t="n">
        <v>0</v>
      </c>
      <c r="O862" t="n">
        <v>0</v>
      </c>
      <c r="P862" t="n">
        <v>0</v>
      </c>
      <c r="Q862" t="n">
        <v>0</v>
      </c>
      <c r="R862" s="2" t="inlineStr"/>
    </row>
    <row r="863" ht="15" customHeight="1">
      <c r="A863" t="inlineStr">
        <is>
          <t>A 39213-2022</t>
        </is>
      </c>
      <c r="B863" s="1" t="n">
        <v>44817.56120370371</v>
      </c>
      <c r="C863" s="1" t="n">
        <v>46089</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62998-2023</t>
        </is>
      </c>
      <c r="B864" s="1" t="n">
        <v>45272.64479166667</v>
      </c>
      <c r="C864" s="1" t="n">
        <v>46089</v>
      </c>
      <c r="D864" t="inlineStr">
        <is>
          <t>STOCKHOLMS LÄN</t>
        </is>
      </c>
      <c r="E864" t="inlineStr">
        <is>
          <t>NORRTÄLJE</t>
        </is>
      </c>
      <c r="G864" t="n">
        <v>16.3</v>
      </c>
      <c r="H864" t="n">
        <v>0</v>
      </c>
      <c r="I864" t="n">
        <v>0</v>
      </c>
      <c r="J864" t="n">
        <v>0</v>
      </c>
      <c r="K864" t="n">
        <v>0</v>
      </c>
      <c r="L864" t="n">
        <v>0</v>
      </c>
      <c r="M864" t="n">
        <v>0</v>
      </c>
      <c r="N864" t="n">
        <v>0</v>
      </c>
      <c r="O864" t="n">
        <v>0</v>
      </c>
      <c r="P864" t="n">
        <v>0</v>
      </c>
      <c r="Q864" t="n">
        <v>0</v>
      </c>
      <c r="R864" s="2" t="inlineStr"/>
    </row>
    <row r="865" ht="15" customHeight="1">
      <c r="A865" t="inlineStr">
        <is>
          <t>A 63015-2023</t>
        </is>
      </c>
      <c r="B865" s="1" t="n">
        <v>45272</v>
      </c>
      <c r="C865" s="1" t="n">
        <v>46089</v>
      </c>
      <c r="D865" t="inlineStr">
        <is>
          <t>STOCKHOLMS LÄN</t>
        </is>
      </c>
      <c r="E865" t="inlineStr">
        <is>
          <t>NORRTÄLJE</t>
        </is>
      </c>
      <c r="G865" t="n">
        <v>13.1</v>
      </c>
      <c r="H865" t="n">
        <v>0</v>
      </c>
      <c r="I865" t="n">
        <v>0</v>
      </c>
      <c r="J865" t="n">
        <v>0</v>
      </c>
      <c r="K865" t="n">
        <v>0</v>
      </c>
      <c r="L865" t="n">
        <v>0</v>
      </c>
      <c r="M865" t="n">
        <v>0</v>
      </c>
      <c r="N865" t="n">
        <v>0</v>
      </c>
      <c r="O865" t="n">
        <v>0</v>
      </c>
      <c r="P865" t="n">
        <v>0</v>
      </c>
      <c r="Q865" t="n">
        <v>0</v>
      </c>
      <c r="R865" s="2" t="inlineStr"/>
    </row>
    <row r="866" ht="15" customHeight="1">
      <c r="A866" t="inlineStr">
        <is>
          <t>A 27831-2024</t>
        </is>
      </c>
      <c r="B866" s="1" t="n">
        <v>45475.61896990741</v>
      </c>
      <c r="C866" s="1" t="n">
        <v>46089</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46089</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23923-2025</t>
        </is>
      </c>
      <c r="B868" s="1" t="n">
        <v>45795.39648148148</v>
      </c>
      <c r="C868" s="1" t="n">
        <v>46089</v>
      </c>
      <c r="D868" t="inlineStr">
        <is>
          <t>STOCKHOLMS LÄN</t>
        </is>
      </c>
      <c r="E868" t="inlineStr">
        <is>
          <t>VALLENTUNA</t>
        </is>
      </c>
      <c r="G868" t="n">
        <v>2.3</v>
      </c>
      <c r="H868" t="n">
        <v>0</v>
      </c>
      <c r="I868" t="n">
        <v>0</v>
      </c>
      <c r="J868" t="n">
        <v>0</v>
      </c>
      <c r="K868" t="n">
        <v>0</v>
      </c>
      <c r="L868" t="n">
        <v>0</v>
      </c>
      <c r="M868" t="n">
        <v>0</v>
      </c>
      <c r="N868" t="n">
        <v>0</v>
      </c>
      <c r="O868" t="n">
        <v>0</v>
      </c>
      <c r="P868" t="n">
        <v>0</v>
      </c>
      <c r="Q868" t="n">
        <v>0</v>
      </c>
      <c r="R868" s="2" t="inlineStr"/>
    </row>
    <row r="869" ht="15" customHeight="1">
      <c r="A869" t="inlineStr">
        <is>
          <t>A 41976-2024</t>
        </is>
      </c>
      <c r="B869" s="1" t="n">
        <v>45561.62141203704</v>
      </c>
      <c r="C869" s="1" t="n">
        <v>46089</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30378-2024</t>
        </is>
      </c>
      <c r="B870" s="1" t="n">
        <v>45491</v>
      </c>
      <c r="C870" s="1" t="n">
        <v>46089</v>
      </c>
      <c r="D870" t="inlineStr">
        <is>
          <t>STOCKHOLMS LÄN</t>
        </is>
      </c>
      <c r="E870" t="inlineStr">
        <is>
          <t>BOTKYRKA</t>
        </is>
      </c>
      <c r="G870" t="n">
        <v>0.3</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46089</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33175-2024</t>
        </is>
      </c>
      <c r="B872" s="1" t="n">
        <v>45518</v>
      </c>
      <c r="C872" s="1" t="n">
        <v>46089</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62831-2025</t>
        </is>
      </c>
      <c r="B873" s="1" t="n">
        <v>46008</v>
      </c>
      <c r="C873" s="1" t="n">
        <v>46089</v>
      </c>
      <c r="D873" t="inlineStr">
        <is>
          <t>STOCKHOLMS LÄN</t>
        </is>
      </c>
      <c r="E873" t="inlineStr">
        <is>
          <t>ÖSTERÅKER</t>
        </is>
      </c>
      <c r="G873" t="n">
        <v>1.2</v>
      </c>
      <c r="H873" t="n">
        <v>0</v>
      </c>
      <c r="I873" t="n">
        <v>0</v>
      </c>
      <c r="J873" t="n">
        <v>0</v>
      </c>
      <c r="K873" t="n">
        <v>0</v>
      </c>
      <c r="L873" t="n">
        <v>0</v>
      </c>
      <c r="M873" t="n">
        <v>0</v>
      </c>
      <c r="N873" t="n">
        <v>0</v>
      </c>
      <c r="O873" t="n">
        <v>0</v>
      </c>
      <c r="P873" t="n">
        <v>0</v>
      </c>
      <c r="Q873" t="n">
        <v>0</v>
      </c>
      <c r="R873" s="2" t="inlineStr"/>
    </row>
    <row r="874" ht="15" customHeight="1">
      <c r="A874" t="inlineStr">
        <is>
          <t>A 51353-2024</t>
        </is>
      </c>
      <c r="B874" s="1" t="n">
        <v>45604.36140046296</v>
      </c>
      <c r="C874" s="1" t="n">
        <v>46089</v>
      </c>
      <c r="D874" t="inlineStr">
        <is>
          <t>STOCKHOLMS LÄN</t>
        </is>
      </c>
      <c r="E874" t="inlineStr">
        <is>
          <t>SÖDERTÄLJE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21803-2022</t>
        </is>
      </c>
      <c r="B875" s="1" t="n">
        <v>44708.67822916667</v>
      </c>
      <c r="C875" s="1" t="n">
        <v>46089</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8932-2023</t>
        </is>
      </c>
      <c r="B876" s="1" t="n">
        <v>44979</v>
      </c>
      <c r="C876" s="1" t="n">
        <v>46089</v>
      </c>
      <c r="D876" t="inlineStr">
        <is>
          <t>STOCKHOLMS LÄN</t>
        </is>
      </c>
      <c r="E876" t="inlineStr">
        <is>
          <t>NYNÄSHAMN</t>
        </is>
      </c>
      <c r="G876" t="n">
        <v>2.3</v>
      </c>
      <c r="H876" t="n">
        <v>0</v>
      </c>
      <c r="I876" t="n">
        <v>0</v>
      </c>
      <c r="J876" t="n">
        <v>0</v>
      </c>
      <c r="K876" t="n">
        <v>0</v>
      </c>
      <c r="L876" t="n">
        <v>0</v>
      </c>
      <c r="M876" t="n">
        <v>0</v>
      </c>
      <c r="N876" t="n">
        <v>0</v>
      </c>
      <c r="O876" t="n">
        <v>0</v>
      </c>
      <c r="P876" t="n">
        <v>0</v>
      </c>
      <c r="Q876" t="n">
        <v>0</v>
      </c>
      <c r="R876" s="2" t="inlineStr"/>
    </row>
    <row r="877" ht="15" customHeight="1">
      <c r="A877" t="inlineStr">
        <is>
          <t>A 59534-2024</t>
        </is>
      </c>
      <c r="B877" s="1" t="n">
        <v>45638.5987037037</v>
      </c>
      <c r="C877" s="1" t="n">
        <v>46089</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44769.66864583334</v>
      </c>
      <c r="C878" s="1" t="n">
        <v>46089</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20730-2024</t>
        </is>
      </c>
      <c r="B879" s="1" t="n">
        <v>45436</v>
      </c>
      <c r="C879" s="1" t="n">
        <v>46089</v>
      </c>
      <c r="D879" t="inlineStr">
        <is>
          <t>STOCKHOLMS LÄN</t>
        </is>
      </c>
      <c r="E879" t="inlineStr">
        <is>
          <t>NORRTÄLJE</t>
        </is>
      </c>
      <c r="G879" t="n">
        <v>7.3</v>
      </c>
      <c r="H879" t="n">
        <v>0</v>
      </c>
      <c r="I879" t="n">
        <v>0</v>
      </c>
      <c r="J879" t="n">
        <v>0</v>
      </c>
      <c r="K879" t="n">
        <v>0</v>
      </c>
      <c r="L879" t="n">
        <v>0</v>
      </c>
      <c r="M879" t="n">
        <v>0</v>
      </c>
      <c r="N879" t="n">
        <v>0</v>
      </c>
      <c r="O879" t="n">
        <v>0</v>
      </c>
      <c r="P879" t="n">
        <v>0</v>
      </c>
      <c r="Q879" t="n">
        <v>0</v>
      </c>
      <c r="R879" s="2" t="inlineStr"/>
    </row>
    <row r="880" ht="15" customHeight="1">
      <c r="A880" t="inlineStr">
        <is>
          <t>A 13860-2023</t>
        </is>
      </c>
      <c r="B880" s="1" t="n">
        <v>45007</v>
      </c>
      <c r="C880" s="1" t="n">
        <v>46089</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6855-2025</t>
        </is>
      </c>
      <c r="B881" s="1" t="n">
        <v>45700</v>
      </c>
      <c r="C881" s="1" t="n">
        <v>46089</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38720-2025</t>
        </is>
      </c>
      <c r="B882" s="1" t="n">
        <v>45886</v>
      </c>
      <c r="C882" s="1" t="n">
        <v>46089</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44969-2022</t>
        </is>
      </c>
      <c r="B883" s="1" t="n">
        <v>44841.58752314815</v>
      </c>
      <c r="C883" s="1" t="n">
        <v>46089</v>
      </c>
      <c r="D883" t="inlineStr">
        <is>
          <t>STOCKHOLMS LÄN</t>
        </is>
      </c>
      <c r="E883" t="inlineStr">
        <is>
          <t>NYKVARN</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61320-2024</t>
        </is>
      </c>
      <c r="B884" s="1" t="n">
        <v>45646.33262731481</v>
      </c>
      <c r="C884" s="1" t="n">
        <v>46089</v>
      </c>
      <c r="D884" t="inlineStr">
        <is>
          <t>STOCKHOLMS LÄN</t>
        </is>
      </c>
      <c r="E884" t="inlineStr">
        <is>
          <t>BOTKYRKA</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24105-2025</t>
        </is>
      </c>
      <c r="B885" s="1" t="n">
        <v>45796.60096064815</v>
      </c>
      <c r="C885" s="1" t="n">
        <v>46089</v>
      </c>
      <c r="D885" t="inlineStr">
        <is>
          <t>STOCKHOLMS LÄN</t>
        </is>
      </c>
      <c r="E885" t="inlineStr">
        <is>
          <t>SIGTUNA</t>
        </is>
      </c>
      <c r="G885" t="n">
        <v>3</v>
      </c>
      <c r="H885" t="n">
        <v>0</v>
      </c>
      <c r="I885" t="n">
        <v>0</v>
      </c>
      <c r="J885" t="n">
        <v>0</v>
      </c>
      <c r="K885" t="n">
        <v>0</v>
      </c>
      <c r="L885" t="n">
        <v>0</v>
      </c>
      <c r="M885" t="n">
        <v>0</v>
      </c>
      <c r="N885" t="n">
        <v>0</v>
      </c>
      <c r="O885" t="n">
        <v>0</v>
      </c>
      <c r="P885" t="n">
        <v>0</v>
      </c>
      <c r="Q885" t="n">
        <v>0</v>
      </c>
      <c r="R885" s="2" t="inlineStr"/>
    </row>
    <row r="886" ht="15" customHeight="1">
      <c r="A886" t="inlineStr">
        <is>
          <t>A 13314-2025</t>
        </is>
      </c>
      <c r="B886" s="1" t="n">
        <v>45735.59287037037</v>
      </c>
      <c r="C886" s="1" t="n">
        <v>46089</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12901-2024</t>
        </is>
      </c>
      <c r="B887" s="1" t="n">
        <v>45385.37922453704</v>
      </c>
      <c r="C887" s="1" t="n">
        <v>46089</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8950-2025</t>
        </is>
      </c>
      <c r="B888" s="1" t="n">
        <v>45713</v>
      </c>
      <c r="C888" s="1" t="n">
        <v>46089</v>
      </c>
      <c r="D888" t="inlineStr">
        <is>
          <t>STOCKHOLMS LÄN</t>
        </is>
      </c>
      <c r="E888" t="inlineStr">
        <is>
          <t>NORRTÄLJE</t>
        </is>
      </c>
      <c r="F888" t="inlineStr">
        <is>
          <t>Övriga Aktiebolag</t>
        </is>
      </c>
      <c r="G888" t="n">
        <v>3.6</v>
      </c>
      <c r="H888" t="n">
        <v>0</v>
      </c>
      <c r="I888" t="n">
        <v>0</v>
      </c>
      <c r="J888" t="n">
        <v>0</v>
      </c>
      <c r="K888" t="n">
        <v>0</v>
      </c>
      <c r="L888" t="n">
        <v>0</v>
      </c>
      <c r="M888" t="n">
        <v>0</v>
      </c>
      <c r="N888" t="n">
        <v>0</v>
      </c>
      <c r="O888" t="n">
        <v>0</v>
      </c>
      <c r="P888" t="n">
        <v>0</v>
      </c>
      <c r="Q888" t="n">
        <v>0</v>
      </c>
      <c r="R888" s="2" t="inlineStr"/>
    </row>
    <row r="889" ht="15" customHeight="1">
      <c r="A889" t="inlineStr">
        <is>
          <t>A 24191-2025</t>
        </is>
      </c>
      <c r="B889" s="1" t="n">
        <v>45796.86738425926</v>
      </c>
      <c r="C889" s="1" t="n">
        <v>46089</v>
      </c>
      <c r="D889" t="inlineStr">
        <is>
          <t>STOCKHOLMS LÄN</t>
        </is>
      </c>
      <c r="E889" t="inlineStr">
        <is>
          <t>HANINGE</t>
        </is>
      </c>
      <c r="G889" t="n">
        <v>2.8</v>
      </c>
      <c r="H889" t="n">
        <v>0</v>
      </c>
      <c r="I889" t="n">
        <v>0</v>
      </c>
      <c r="J889" t="n">
        <v>0</v>
      </c>
      <c r="K889" t="n">
        <v>0</v>
      </c>
      <c r="L889" t="n">
        <v>0</v>
      </c>
      <c r="M889" t="n">
        <v>0</v>
      </c>
      <c r="N889" t="n">
        <v>0</v>
      </c>
      <c r="O889" t="n">
        <v>0</v>
      </c>
      <c r="P889" t="n">
        <v>0</v>
      </c>
      <c r="Q889" t="n">
        <v>0</v>
      </c>
      <c r="R889" s="2" t="inlineStr"/>
    </row>
    <row r="890" ht="15" customHeight="1">
      <c r="A890" t="inlineStr">
        <is>
          <t>A 24193-2025</t>
        </is>
      </c>
      <c r="B890" s="1" t="n">
        <v>45796.89591435185</v>
      </c>
      <c r="C890" s="1" t="n">
        <v>46089</v>
      </c>
      <c r="D890" t="inlineStr">
        <is>
          <t>STOCKHOLMS LÄN</t>
        </is>
      </c>
      <c r="E890" t="inlineStr">
        <is>
          <t>HANINGE</t>
        </is>
      </c>
      <c r="G890" t="n">
        <v>0.4</v>
      </c>
      <c r="H890" t="n">
        <v>0</v>
      </c>
      <c r="I890" t="n">
        <v>0</v>
      </c>
      <c r="J890" t="n">
        <v>0</v>
      </c>
      <c r="K890" t="n">
        <v>0</v>
      </c>
      <c r="L890" t="n">
        <v>0</v>
      </c>
      <c r="M890" t="n">
        <v>0</v>
      </c>
      <c r="N890" t="n">
        <v>0</v>
      </c>
      <c r="O890" t="n">
        <v>0</v>
      </c>
      <c r="P890" t="n">
        <v>0</v>
      </c>
      <c r="Q890" t="n">
        <v>0</v>
      </c>
      <c r="R890" s="2" t="inlineStr"/>
    </row>
    <row r="891" ht="15" customHeight="1">
      <c r="A891" t="inlineStr">
        <is>
          <t>A 2172-2024</t>
        </is>
      </c>
      <c r="B891" s="1" t="n">
        <v>45309.63112268518</v>
      </c>
      <c r="C891" s="1" t="n">
        <v>46089</v>
      </c>
      <c r="D891" t="inlineStr">
        <is>
          <t>STOCKHOLMS LÄN</t>
        </is>
      </c>
      <c r="E891" t="inlineStr">
        <is>
          <t>NYKVARN</t>
        </is>
      </c>
      <c r="G891" t="n">
        <v>2</v>
      </c>
      <c r="H891" t="n">
        <v>0</v>
      </c>
      <c r="I891" t="n">
        <v>0</v>
      </c>
      <c r="J891" t="n">
        <v>0</v>
      </c>
      <c r="K891" t="n">
        <v>0</v>
      </c>
      <c r="L891" t="n">
        <v>0</v>
      </c>
      <c r="M891" t="n">
        <v>0</v>
      </c>
      <c r="N891" t="n">
        <v>0</v>
      </c>
      <c r="O891" t="n">
        <v>0</v>
      </c>
      <c r="P891" t="n">
        <v>0</v>
      </c>
      <c r="Q891" t="n">
        <v>0</v>
      </c>
      <c r="R891" s="2" t="inlineStr"/>
    </row>
    <row r="892" ht="15" customHeight="1">
      <c r="A892" t="inlineStr">
        <is>
          <t>A 37392-2024</t>
        </is>
      </c>
      <c r="B892" s="1" t="n">
        <v>45540</v>
      </c>
      <c r="C892" s="1" t="n">
        <v>46089</v>
      </c>
      <c r="D892" t="inlineStr">
        <is>
          <t>STOCKHOLMS LÄN</t>
        </is>
      </c>
      <c r="E892" t="inlineStr">
        <is>
          <t>SIGTUNA</t>
        </is>
      </c>
      <c r="G892" t="n">
        <v>2.1</v>
      </c>
      <c r="H892" t="n">
        <v>0</v>
      </c>
      <c r="I892" t="n">
        <v>0</v>
      </c>
      <c r="J892" t="n">
        <v>0</v>
      </c>
      <c r="K892" t="n">
        <v>0</v>
      </c>
      <c r="L892" t="n">
        <v>0</v>
      </c>
      <c r="M892" t="n">
        <v>0</v>
      </c>
      <c r="N892" t="n">
        <v>0</v>
      </c>
      <c r="O892" t="n">
        <v>0</v>
      </c>
      <c r="P892" t="n">
        <v>0</v>
      </c>
      <c r="Q892" t="n">
        <v>0</v>
      </c>
      <c r="R892" s="2" t="inlineStr"/>
    </row>
    <row r="893" ht="15" customHeight="1">
      <c r="A893" t="inlineStr">
        <is>
          <t>A 12301-2025</t>
        </is>
      </c>
      <c r="B893" s="1" t="n">
        <v>45729.7271875</v>
      </c>
      <c r="C893" s="1" t="n">
        <v>46089</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34432-2021</t>
        </is>
      </c>
      <c r="B894" s="1" t="n">
        <v>44380.77346064815</v>
      </c>
      <c r="C894" s="1" t="n">
        <v>46089</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37491-2022</t>
        </is>
      </c>
      <c r="B895" s="1" t="n">
        <v>44809</v>
      </c>
      <c r="C895" s="1" t="n">
        <v>46089</v>
      </c>
      <c r="D895" t="inlineStr">
        <is>
          <t>STOCKHOLMS LÄN</t>
        </is>
      </c>
      <c r="E895" t="inlineStr">
        <is>
          <t>NYNÄSHAMN</t>
        </is>
      </c>
      <c r="G895" t="n">
        <v>4.3</v>
      </c>
      <c r="H895" t="n">
        <v>0</v>
      </c>
      <c r="I895" t="n">
        <v>0</v>
      </c>
      <c r="J895" t="n">
        <v>0</v>
      </c>
      <c r="K895" t="n">
        <v>0</v>
      </c>
      <c r="L895" t="n">
        <v>0</v>
      </c>
      <c r="M895" t="n">
        <v>0</v>
      </c>
      <c r="N895" t="n">
        <v>0</v>
      </c>
      <c r="O895" t="n">
        <v>0</v>
      </c>
      <c r="P895" t="n">
        <v>0</v>
      </c>
      <c r="Q895" t="n">
        <v>0</v>
      </c>
      <c r="R895" s="2" t="inlineStr"/>
    </row>
    <row r="896" ht="15" customHeight="1">
      <c r="A896" t="inlineStr">
        <is>
          <t>A 24115-2025</t>
        </is>
      </c>
      <c r="B896" s="1" t="n">
        <v>45796.61494212963</v>
      </c>
      <c r="C896" s="1" t="n">
        <v>46089</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8300-2024</t>
        </is>
      </c>
      <c r="B897" s="1" t="n">
        <v>45352.44717592592</v>
      </c>
      <c r="C897" s="1" t="n">
        <v>46089</v>
      </c>
      <c r="D897" t="inlineStr">
        <is>
          <t>STOCKHOLMS LÄN</t>
        </is>
      </c>
      <c r="E897" t="inlineStr">
        <is>
          <t>SALEM</t>
        </is>
      </c>
      <c r="F897" t="inlineStr">
        <is>
          <t>Kommuner</t>
        </is>
      </c>
      <c r="G897" t="n">
        <v>3.4</v>
      </c>
      <c r="H897" t="n">
        <v>0</v>
      </c>
      <c r="I897" t="n">
        <v>0</v>
      </c>
      <c r="J897" t="n">
        <v>0</v>
      </c>
      <c r="K897" t="n">
        <v>0</v>
      </c>
      <c r="L897" t="n">
        <v>0</v>
      </c>
      <c r="M897" t="n">
        <v>0</v>
      </c>
      <c r="N897" t="n">
        <v>0</v>
      </c>
      <c r="O897" t="n">
        <v>0</v>
      </c>
      <c r="P897" t="n">
        <v>0</v>
      </c>
      <c r="Q897" t="n">
        <v>0</v>
      </c>
      <c r="R897" s="2" t="inlineStr"/>
    </row>
    <row r="898" ht="15" customHeight="1">
      <c r="A898" t="inlineStr">
        <is>
          <t>A 24351-2025</t>
        </is>
      </c>
      <c r="B898" s="1" t="n">
        <v>45797.58399305555</v>
      </c>
      <c r="C898" s="1" t="n">
        <v>46089</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13283-2025</t>
        </is>
      </c>
      <c r="B899" s="1" t="n">
        <v>45735</v>
      </c>
      <c r="C899" s="1" t="n">
        <v>46089</v>
      </c>
      <c r="D899" t="inlineStr">
        <is>
          <t>STOCKHOLMS LÄN</t>
        </is>
      </c>
      <c r="E899" t="inlineStr">
        <is>
          <t>NORRTÄLJE</t>
        </is>
      </c>
      <c r="G899" t="n">
        <v>4.9</v>
      </c>
      <c r="H899" t="n">
        <v>0</v>
      </c>
      <c r="I899" t="n">
        <v>0</v>
      </c>
      <c r="J899" t="n">
        <v>0</v>
      </c>
      <c r="K899" t="n">
        <v>0</v>
      </c>
      <c r="L899" t="n">
        <v>0</v>
      </c>
      <c r="M899" t="n">
        <v>0</v>
      </c>
      <c r="N899" t="n">
        <v>0</v>
      </c>
      <c r="O899" t="n">
        <v>0</v>
      </c>
      <c r="P899" t="n">
        <v>0</v>
      </c>
      <c r="Q899" t="n">
        <v>0</v>
      </c>
      <c r="R899" s="2" t="inlineStr"/>
    </row>
    <row r="900" ht="15" customHeight="1">
      <c r="A900" t="inlineStr">
        <is>
          <t>A 3630-2023</t>
        </is>
      </c>
      <c r="B900" s="1" t="n">
        <v>44950</v>
      </c>
      <c r="C900" s="1" t="n">
        <v>46089</v>
      </c>
      <c r="D900" t="inlineStr">
        <is>
          <t>STOCKHOLMS LÄN</t>
        </is>
      </c>
      <c r="E900" t="inlineStr">
        <is>
          <t>UPPLANDS-BRO</t>
        </is>
      </c>
      <c r="G900" t="n">
        <v>1.4</v>
      </c>
      <c r="H900" t="n">
        <v>0</v>
      </c>
      <c r="I900" t="n">
        <v>0</v>
      </c>
      <c r="J900" t="n">
        <v>0</v>
      </c>
      <c r="K900" t="n">
        <v>0</v>
      </c>
      <c r="L900" t="n">
        <v>0</v>
      </c>
      <c r="M900" t="n">
        <v>0</v>
      </c>
      <c r="N900" t="n">
        <v>0</v>
      </c>
      <c r="O900" t="n">
        <v>0</v>
      </c>
      <c r="P900" t="n">
        <v>0</v>
      </c>
      <c r="Q900" t="n">
        <v>0</v>
      </c>
      <c r="R900" s="2" t="inlineStr"/>
    </row>
    <row r="901" ht="15" customHeight="1">
      <c r="A901" t="inlineStr">
        <is>
          <t>A 7229-2026</t>
        </is>
      </c>
      <c r="B901" s="1" t="n">
        <v>46058.57027777778</v>
      </c>
      <c r="C901" s="1" t="n">
        <v>46089</v>
      </c>
      <c r="D901" t="inlineStr">
        <is>
          <t>STOCKHOLMS LÄN</t>
        </is>
      </c>
      <c r="E901" t="inlineStr">
        <is>
          <t>SIGTUNA</t>
        </is>
      </c>
      <c r="G901" t="n">
        <v>3.8</v>
      </c>
      <c r="H901" t="n">
        <v>0</v>
      </c>
      <c r="I901" t="n">
        <v>0</v>
      </c>
      <c r="J901" t="n">
        <v>0</v>
      </c>
      <c r="K901" t="n">
        <v>0</v>
      </c>
      <c r="L901" t="n">
        <v>0</v>
      </c>
      <c r="M901" t="n">
        <v>0</v>
      </c>
      <c r="N901" t="n">
        <v>0</v>
      </c>
      <c r="O901" t="n">
        <v>0</v>
      </c>
      <c r="P901" t="n">
        <v>0</v>
      </c>
      <c r="Q901" t="n">
        <v>0</v>
      </c>
      <c r="R901" s="2" t="inlineStr"/>
    </row>
    <row r="902" ht="15" customHeight="1">
      <c r="A902" t="inlineStr">
        <is>
          <t>A 73194-2021</t>
        </is>
      </c>
      <c r="B902" s="1" t="n">
        <v>44550.61508101852</v>
      </c>
      <c r="C902" s="1" t="n">
        <v>46089</v>
      </c>
      <c r="D902" t="inlineStr">
        <is>
          <t>STOCKHOLMS LÄN</t>
        </is>
      </c>
      <c r="E902" t="inlineStr">
        <is>
          <t>BOTKYRKA</t>
        </is>
      </c>
      <c r="G902" t="n">
        <v>1.1</v>
      </c>
      <c r="H902" t="n">
        <v>0</v>
      </c>
      <c r="I902" t="n">
        <v>0</v>
      </c>
      <c r="J902" t="n">
        <v>0</v>
      </c>
      <c r="K902" t="n">
        <v>0</v>
      </c>
      <c r="L902" t="n">
        <v>0</v>
      </c>
      <c r="M902" t="n">
        <v>0</v>
      </c>
      <c r="N902" t="n">
        <v>0</v>
      </c>
      <c r="O902" t="n">
        <v>0</v>
      </c>
      <c r="P902" t="n">
        <v>0</v>
      </c>
      <c r="Q902" t="n">
        <v>0</v>
      </c>
      <c r="R902" s="2" t="inlineStr"/>
    </row>
    <row r="903" ht="15" customHeight="1">
      <c r="A903" t="inlineStr">
        <is>
          <t>A 7308-2026</t>
        </is>
      </c>
      <c r="B903" s="1" t="n">
        <v>46058.66025462963</v>
      </c>
      <c r="C903" s="1" t="n">
        <v>46089</v>
      </c>
      <c r="D903" t="inlineStr">
        <is>
          <t>STOCKHOLMS LÄN</t>
        </is>
      </c>
      <c r="E903" t="inlineStr">
        <is>
          <t>NORRTÄLJE</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1658-2022</t>
        </is>
      </c>
      <c r="B904" s="1" t="n">
        <v>44574</v>
      </c>
      <c r="C904" s="1" t="n">
        <v>46089</v>
      </c>
      <c r="D904" t="inlineStr">
        <is>
          <t>STOCKHOLMS LÄN</t>
        </is>
      </c>
      <c r="E904" t="inlineStr">
        <is>
          <t>NYNÄSHAMN</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24687-2025</t>
        </is>
      </c>
      <c r="B905" s="1" t="n">
        <v>45798.66767361111</v>
      </c>
      <c r="C905" s="1" t="n">
        <v>46089</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46089</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13046-2022</t>
        </is>
      </c>
      <c r="B907" s="1" t="n">
        <v>44643</v>
      </c>
      <c r="C907" s="1" t="n">
        <v>46089</v>
      </c>
      <c r="D907" t="inlineStr">
        <is>
          <t>STOCKHOLMS LÄN</t>
        </is>
      </c>
      <c r="E907" t="inlineStr">
        <is>
          <t>HANINGE</t>
        </is>
      </c>
      <c r="G907" t="n">
        <v>2.3</v>
      </c>
      <c r="H907" t="n">
        <v>0</v>
      </c>
      <c r="I907" t="n">
        <v>0</v>
      </c>
      <c r="J907" t="n">
        <v>0</v>
      </c>
      <c r="K907" t="n">
        <v>0</v>
      </c>
      <c r="L907" t="n">
        <v>0</v>
      </c>
      <c r="M907" t="n">
        <v>0</v>
      </c>
      <c r="N907" t="n">
        <v>0</v>
      </c>
      <c r="O907" t="n">
        <v>0</v>
      </c>
      <c r="P907" t="n">
        <v>0</v>
      </c>
      <c r="Q907" t="n">
        <v>0</v>
      </c>
      <c r="R907" s="2" t="inlineStr"/>
    </row>
    <row r="908" ht="15" customHeight="1">
      <c r="A908" t="inlineStr">
        <is>
          <t>A 62839-2025</t>
        </is>
      </c>
      <c r="B908" s="1" t="n">
        <v>46008</v>
      </c>
      <c r="C908" s="1" t="n">
        <v>46089</v>
      </c>
      <c r="D908" t="inlineStr">
        <is>
          <t>STOCKHOLMS LÄN</t>
        </is>
      </c>
      <c r="E908" t="inlineStr">
        <is>
          <t>ÖSTERÅKER</t>
        </is>
      </c>
      <c r="G908" t="n">
        <v>1.4</v>
      </c>
      <c r="H908" t="n">
        <v>0</v>
      </c>
      <c r="I908" t="n">
        <v>0</v>
      </c>
      <c r="J908" t="n">
        <v>0</v>
      </c>
      <c r="K908" t="n">
        <v>0</v>
      </c>
      <c r="L908" t="n">
        <v>0</v>
      </c>
      <c r="M908" t="n">
        <v>0</v>
      </c>
      <c r="N908" t="n">
        <v>0</v>
      </c>
      <c r="O908" t="n">
        <v>0</v>
      </c>
      <c r="P908" t="n">
        <v>0</v>
      </c>
      <c r="Q908" t="n">
        <v>0</v>
      </c>
      <c r="R908" s="2" t="inlineStr"/>
    </row>
    <row r="909" ht="15" customHeight="1">
      <c r="A909" t="inlineStr">
        <is>
          <t>A 23093-2024</t>
        </is>
      </c>
      <c r="B909" s="1" t="n">
        <v>45450</v>
      </c>
      <c r="C909" s="1" t="n">
        <v>46089</v>
      </c>
      <c r="D909" t="inlineStr">
        <is>
          <t>STOCKHOLMS LÄN</t>
        </is>
      </c>
      <c r="E909" t="inlineStr">
        <is>
          <t>UPPLANDS-BRO</t>
        </is>
      </c>
      <c r="F909" t="inlineStr">
        <is>
          <t>Övriga statliga verk och myndigheter</t>
        </is>
      </c>
      <c r="G909" t="n">
        <v>0.9</v>
      </c>
      <c r="H909" t="n">
        <v>0</v>
      </c>
      <c r="I909" t="n">
        <v>0</v>
      </c>
      <c r="J909" t="n">
        <v>0</v>
      </c>
      <c r="K909" t="n">
        <v>0</v>
      </c>
      <c r="L909" t="n">
        <v>0</v>
      </c>
      <c r="M909" t="n">
        <v>0</v>
      </c>
      <c r="N909" t="n">
        <v>0</v>
      </c>
      <c r="O909" t="n">
        <v>0</v>
      </c>
      <c r="P909" t="n">
        <v>0</v>
      </c>
      <c r="Q909" t="n">
        <v>0</v>
      </c>
      <c r="R909" s="2" t="inlineStr"/>
    </row>
    <row r="910" ht="15" customHeight="1">
      <c r="A910" t="inlineStr">
        <is>
          <t>A 23149-2024</t>
        </is>
      </c>
      <c r="B910" s="1" t="n">
        <v>45450.64208333333</v>
      </c>
      <c r="C910" s="1" t="n">
        <v>46089</v>
      </c>
      <c r="D910" t="inlineStr">
        <is>
          <t>STOCKHOLMS LÄN</t>
        </is>
      </c>
      <c r="E910" t="inlineStr">
        <is>
          <t>NORRTÄLJE</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23151-2024</t>
        </is>
      </c>
      <c r="B911" s="1" t="n">
        <v>45450</v>
      </c>
      <c r="C911" s="1" t="n">
        <v>46089</v>
      </c>
      <c r="D911" t="inlineStr">
        <is>
          <t>STOCKHOLMS LÄN</t>
        </is>
      </c>
      <c r="E911" t="inlineStr">
        <is>
          <t>NORRTÄLJE</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38593-2025</t>
        </is>
      </c>
      <c r="B912" s="1" t="n">
        <v>45884.48696759259</v>
      </c>
      <c r="C912" s="1" t="n">
        <v>46089</v>
      </c>
      <c r="D912" t="inlineStr">
        <is>
          <t>STOCKHOLMS LÄN</t>
        </is>
      </c>
      <c r="E912" t="inlineStr">
        <is>
          <t>NORRTÄLJE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46089</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46089</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8091-2026</t>
        </is>
      </c>
      <c r="B915" s="1" t="n">
        <v>46063.70944444444</v>
      </c>
      <c r="C915" s="1" t="n">
        <v>46089</v>
      </c>
      <c r="D915" t="inlineStr">
        <is>
          <t>STOCKHOLMS LÄN</t>
        </is>
      </c>
      <c r="E915" t="inlineStr">
        <is>
          <t>NORRTÄLJE</t>
        </is>
      </c>
      <c r="G915" t="n">
        <v>4.7</v>
      </c>
      <c r="H915" t="n">
        <v>0</v>
      </c>
      <c r="I915" t="n">
        <v>0</v>
      </c>
      <c r="J915" t="n">
        <v>0</v>
      </c>
      <c r="K915" t="n">
        <v>0</v>
      </c>
      <c r="L915" t="n">
        <v>0</v>
      </c>
      <c r="M915" t="n">
        <v>0</v>
      </c>
      <c r="N915" t="n">
        <v>0</v>
      </c>
      <c r="O915" t="n">
        <v>0</v>
      </c>
      <c r="P915" t="n">
        <v>0</v>
      </c>
      <c r="Q915" t="n">
        <v>0</v>
      </c>
      <c r="R915" s="2" t="inlineStr"/>
    </row>
    <row r="916" ht="15" customHeight="1">
      <c r="A916" t="inlineStr">
        <is>
          <t>A 52001-2023</t>
        </is>
      </c>
      <c r="B916" s="1" t="n">
        <v>45223</v>
      </c>
      <c r="C916" s="1" t="n">
        <v>46089</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60185-2024</t>
        </is>
      </c>
      <c r="B917" s="1" t="n">
        <v>45642.64634259259</v>
      </c>
      <c r="C917" s="1" t="n">
        <v>46089</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8163-2024</t>
        </is>
      </c>
      <c r="B918" s="1" t="n">
        <v>45351.60337962963</v>
      </c>
      <c r="C918" s="1" t="n">
        <v>46089</v>
      </c>
      <c r="D918" t="inlineStr">
        <is>
          <t>STOCKHOLMS LÄN</t>
        </is>
      </c>
      <c r="E918" t="inlineStr">
        <is>
          <t>HANINGE</t>
        </is>
      </c>
      <c r="F918" t="inlineStr">
        <is>
          <t>Kommuner</t>
        </is>
      </c>
      <c r="G918" t="n">
        <v>3.8</v>
      </c>
      <c r="H918" t="n">
        <v>0</v>
      </c>
      <c r="I918" t="n">
        <v>0</v>
      </c>
      <c r="J918" t="n">
        <v>0</v>
      </c>
      <c r="K918" t="n">
        <v>0</v>
      </c>
      <c r="L918" t="n">
        <v>0</v>
      </c>
      <c r="M918" t="n">
        <v>0</v>
      </c>
      <c r="N918" t="n">
        <v>0</v>
      </c>
      <c r="O918" t="n">
        <v>0</v>
      </c>
      <c r="P918" t="n">
        <v>0</v>
      </c>
      <c r="Q918" t="n">
        <v>0</v>
      </c>
      <c r="R918" s="2" t="inlineStr"/>
    </row>
    <row r="919" ht="15" customHeight="1">
      <c r="A919" t="inlineStr">
        <is>
          <t>A 48686-2023</t>
        </is>
      </c>
      <c r="B919" s="1" t="n">
        <v>45208</v>
      </c>
      <c r="C919" s="1" t="n">
        <v>46089</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48691-2023</t>
        </is>
      </c>
      <c r="B920" s="1" t="n">
        <v>45208</v>
      </c>
      <c r="C920" s="1" t="n">
        <v>46089</v>
      </c>
      <c r="D920" t="inlineStr">
        <is>
          <t>STOCKHOLMS LÄN</t>
        </is>
      </c>
      <c r="E920" t="inlineStr">
        <is>
          <t>NORRTÄLJE</t>
        </is>
      </c>
      <c r="G920" t="n">
        <v>5.8</v>
      </c>
      <c r="H920" t="n">
        <v>0</v>
      </c>
      <c r="I920" t="n">
        <v>0</v>
      </c>
      <c r="J920" t="n">
        <v>0</v>
      </c>
      <c r="K920" t="n">
        <v>0</v>
      </c>
      <c r="L920" t="n">
        <v>0</v>
      </c>
      <c r="M920" t="n">
        <v>0</v>
      </c>
      <c r="N920" t="n">
        <v>0</v>
      </c>
      <c r="O920" t="n">
        <v>0</v>
      </c>
      <c r="P920" t="n">
        <v>0</v>
      </c>
      <c r="Q920" t="n">
        <v>0</v>
      </c>
      <c r="R920" s="2" t="inlineStr"/>
    </row>
    <row r="921" ht="15" customHeight="1">
      <c r="A921" t="inlineStr">
        <is>
          <t>A 7793-2026</t>
        </is>
      </c>
      <c r="B921" s="1" t="n">
        <v>46062.59496527778</v>
      </c>
      <c r="C921" s="1" t="n">
        <v>46089</v>
      </c>
      <c r="D921" t="inlineStr">
        <is>
          <t>STOCKHOLMS LÄN</t>
        </is>
      </c>
      <c r="E921" t="inlineStr">
        <is>
          <t>NORRTÄLJE</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28603-2024</t>
        </is>
      </c>
      <c r="B922" s="1" t="n">
        <v>45478.42887731481</v>
      </c>
      <c r="C922" s="1" t="n">
        <v>46089</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38535-2025</t>
        </is>
      </c>
      <c r="B923" s="1" t="n">
        <v>45884.41943287037</v>
      </c>
      <c r="C923" s="1" t="n">
        <v>46089</v>
      </c>
      <c r="D923" t="inlineStr">
        <is>
          <t>STOCKHOLMS LÄN</t>
        </is>
      </c>
      <c r="E923" t="inlineStr">
        <is>
          <t>NYKVARN</t>
        </is>
      </c>
      <c r="G923" t="n">
        <v>3.4</v>
      </c>
      <c r="H923" t="n">
        <v>0</v>
      </c>
      <c r="I923" t="n">
        <v>0</v>
      </c>
      <c r="J923" t="n">
        <v>0</v>
      </c>
      <c r="K923" t="n">
        <v>0</v>
      </c>
      <c r="L923" t="n">
        <v>0</v>
      </c>
      <c r="M923" t="n">
        <v>0</v>
      </c>
      <c r="N923" t="n">
        <v>0</v>
      </c>
      <c r="O923" t="n">
        <v>0</v>
      </c>
      <c r="P923" t="n">
        <v>0</v>
      </c>
      <c r="Q923" t="n">
        <v>0</v>
      </c>
      <c r="R923" s="2" t="inlineStr"/>
    </row>
    <row r="924" ht="15" customHeight="1">
      <c r="A924" t="inlineStr">
        <is>
          <t>A 32286-2023</t>
        </is>
      </c>
      <c r="B924" s="1" t="n">
        <v>45120</v>
      </c>
      <c r="C924" s="1" t="n">
        <v>46089</v>
      </c>
      <c r="D924" t="inlineStr">
        <is>
          <t>STOCKHOLMS LÄN</t>
        </is>
      </c>
      <c r="E924" t="inlineStr">
        <is>
          <t>VÄRMDÖ</t>
        </is>
      </c>
      <c r="G924" t="n">
        <v>0.1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46089</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24636-2023</t>
        </is>
      </c>
      <c r="B926" s="1" t="n">
        <v>45084</v>
      </c>
      <c r="C926" s="1" t="n">
        <v>46089</v>
      </c>
      <c r="D926" t="inlineStr">
        <is>
          <t>STOCKHOLMS LÄN</t>
        </is>
      </c>
      <c r="E926" t="inlineStr">
        <is>
          <t>SIGTUNA</t>
        </is>
      </c>
      <c r="G926" t="n">
        <v>0.9</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46089</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39152-2025</t>
        </is>
      </c>
      <c r="B928" s="1" t="n">
        <v>45888</v>
      </c>
      <c r="C928" s="1" t="n">
        <v>46089</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25396-2025</t>
        </is>
      </c>
      <c r="B929" s="1" t="n">
        <v>45799</v>
      </c>
      <c r="C929" s="1" t="n">
        <v>46089</v>
      </c>
      <c r="D929" t="inlineStr">
        <is>
          <t>STOCKHOLMS LÄN</t>
        </is>
      </c>
      <c r="E929" t="inlineStr">
        <is>
          <t>SÖDERTÄLJE</t>
        </is>
      </c>
      <c r="G929" t="n">
        <v>7.9</v>
      </c>
      <c r="H929" t="n">
        <v>0</v>
      </c>
      <c r="I929" t="n">
        <v>0</v>
      </c>
      <c r="J929" t="n">
        <v>0</v>
      </c>
      <c r="K929" t="n">
        <v>0</v>
      </c>
      <c r="L929" t="n">
        <v>0</v>
      </c>
      <c r="M929" t="n">
        <v>0</v>
      </c>
      <c r="N929" t="n">
        <v>0</v>
      </c>
      <c r="O929" t="n">
        <v>0</v>
      </c>
      <c r="P929" t="n">
        <v>0</v>
      </c>
      <c r="Q929" t="n">
        <v>0</v>
      </c>
      <c r="R929" s="2" t="inlineStr"/>
    </row>
    <row r="930" ht="15" customHeight="1">
      <c r="A930" t="inlineStr">
        <is>
          <t>A 25412-2025</t>
        </is>
      </c>
      <c r="B930" s="1" t="n">
        <v>45799</v>
      </c>
      <c r="C930" s="1" t="n">
        <v>46089</v>
      </c>
      <c r="D930" t="inlineStr">
        <is>
          <t>STOCKHOLMS LÄN</t>
        </is>
      </c>
      <c r="E930" t="inlineStr">
        <is>
          <t>SÖDERTÄLJE</t>
        </is>
      </c>
      <c r="G930" t="n">
        <v>6.9</v>
      </c>
      <c r="H930" t="n">
        <v>0</v>
      </c>
      <c r="I930" t="n">
        <v>0</v>
      </c>
      <c r="J930" t="n">
        <v>0</v>
      </c>
      <c r="K930" t="n">
        <v>0</v>
      </c>
      <c r="L930" t="n">
        <v>0</v>
      </c>
      <c r="M930" t="n">
        <v>0</v>
      </c>
      <c r="N930" t="n">
        <v>0</v>
      </c>
      <c r="O930" t="n">
        <v>0</v>
      </c>
      <c r="P930" t="n">
        <v>0</v>
      </c>
      <c r="Q930" t="n">
        <v>0</v>
      </c>
      <c r="R930" s="2" t="inlineStr"/>
    </row>
    <row r="931" ht="15" customHeight="1">
      <c r="A931" t="inlineStr">
        <is>
          <t>A 21726-2022</t>
        </is>
      </c>
      <c r="B931" s="1" t="n">
        <v>44708</v>
      </c>
      <c r="C931" s="1" t="n">
        <v>46089</v>
      </c>
      <c r="D931" t="inlineStr">
        <is>
          <t>STOCKHOLMS LÄN</t>
        </is>
      </c>
      <c r="E931" t="inlineStr">
        <is>
          <t>NORRTÄLJE</t>
        </is>
      </c>
      <c r="G931" t="n">
        <v>0.2</v>
      </c>
      <c r="H931" t="n">
        <v>0</v>
      </c>
      <c r="I931" t="n">
        <v>0</v>
      </c>
      <c r="J931" t="n">
        <v>0</v>
      </c>
      <c r="K931" t="n">
        <v>0</v>
      </c>
      <c r="L931" t="n">
        <v>0</v>
      </c>
      <c r="M931" t="n">
        <v>0</v>
      </c>
      <c r="N931" t="n">
        <v>0</v>
      </c>
      <c r="O931" t="n">
        <v>0</v>
      </c>
      <c r="P931" t="n">
        <v>0</v>
      </c>
      <c r="Q931" t="n">
        <v>0</v>
      </c>
      <c r="R931" s="2" t="inlineStr"/>
    </row>
    <row r="932" ht="15" customHeight="1">
      <c r="A932" t="inlineStr">
        <is>
          <t>A 21739-2022</t>
        </is>
      </c>
      <c r="B932" s="1" t="n">
        <v>44708.36708333333</v>
      </c>
      <c r="C932" s="1" t="n">
        <v>46089</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46089</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35210-2023</t>
        </is>
      </c>
      <c r="B934" s="1" t="n">
        <v>45145.63584490741</v>
      </c>
      <c r="C934" s="1" t="n">
        <v>46089</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46089</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46089</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39149-2025</t>
        </is>
      </c>
      <c r="B937" s="1" t="n">
        <v>45888.60714120371</v>
      </c>
      <c r="C937" s="1" t="n">
        <v>46089</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59767-2022</t>
        </is>
      </c>
      <c r="B938" s="1" t="n">
        <v>44900</v>
      </c>
      <c r="C938" s="1" t="n">
        <v>46089</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5823-2023</t>
        </is>
      </c>
      <c r="B939" s="1" t="n">
        <v>44963</v>
      </c>
      <c r="C939" s="1" t="n">
        <v>46089</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19915-2024</t>
        </is>
      </c>
      <c r="B940" s="1" t="n">
        <v>45433.58431712963</v>
      </c>
      <c r="C940" s="1" t="n">
        <v>46089</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15217-2023</t>
        </is>
      </c>
      <c r="B941" s="1" t="n">
        <v>45019.28847222222</v>
      </c>
      <c r="C941" s="1" t="n">
        <v>46089</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25712-2025</t>
        </is>
      </c>
      <c r="B942" s="1" t="n">
        <v>45803.69228009259</v>
      </c>
      <c r="C942" s="1" t="n">
        <v>46089</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15300-2023</t>
        </is>
      </c>
      <c r="B943" s="1" t="n">
        <v>45019</v>
      </c>
      <c r="C943" s="1" t="n">
        <v>46089</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6894-2026</t>
        </is>
      </c>
      <c r="B944" s="1" t="n">
        <v>46057.47780092592</v>
      </c>
      <c r="C944" s="1" t="n">
        <v>46089</v>
      </c>
      <c r="D944" t="inlineStr">
        <is>
          <t>STOCKHOLMS LÄN</t>
        </is>
      </c>
      <c r="E944" t="inlineStr">
        <is>
          <t>VÄRMDÖ</t>
        </is>
      </c>
      <c r="G944" t="n">
        <v>2.1</v>
      </c>
      <c r="H944" t="n">
        <v>0</v>
      </c>
      <c r="I944" t="n">
        <v>0</v>
      </c>
      <c r="J944" t="n">
        <v>0</v>
      </c>
      <c r="K944" t="n">
        <v>0</v>
      </c>
      <c r="L944" t="n">
        <v>0</v>
      </c>
      <c r="M944" t="n">
        <v>0</v>
      </c>
      <c r="N944" t="n">
        <v>0</v>
      </c>
      <c r="O944" t="n">
        <v>0</v>
      </c>
      <c r="P944" t="n">
        <v>0</v>
      </c>
      <c r="Q944" t="n">
        <v>0</v>
      </c>
      <c r="R944" s="2" t="inlineStr"/>
    </row>
    <row r="945" ht="15" customHeight="1">
      <c r="A945" t="inlineStr">
        <is>
          <t>A 7723-2026</t>
        </is>
      </c>
      <c r="B945" s="1" t="n">
        <v>46062.49905092592</v>
      </c>
      <c r="C945" s="1" t="n">
        <v>46089</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11319-2024</t>
        </is>
      </c>
      <c r="B946" s="1" t="n">
        <v>45371.91613425926</v>
      </c>
      <c r="C946" s="1" t="n">
        <v>46089</v>
      </c>
      <c r="D946" t="inlineStr">
        <is>
          <t>STOCKHOLMS LÄN</t>
        </is>
      </c>
      <c r="E946" t="inlineStr">
        <is>
          <t>SÖDERTÄLJE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25415-2025</t>
        </is>
      </c>
      <c r="B947" s="1" t="n">
        <v>45799</v>
      </c>
      <c r="C947" s="1" t="n">
        <v>46089</v>
      </c>
      <c r="D947" t="inlineStr">
        <is>
          <t>STOCKHOLMS LÄN</t>
        </is>
      </c>
      <c r="E947" t="inlineStr">
        <is>
          <t>SÖDERTÄLJE</t>
        </is>
      </c>
      <c r="G947" t="n">
        <v>10.8</v>
      </c>
      <c r="H947" t="n">
        <v>0</v>
      </c>
      <c r="I947" t="n">
        <v>0</v>
      </c>
      <c r="J947" t="n">
        <v>0</v>
      </c>
      <c r="K947" t="n">
        <v>0</v>
      </c>
      <c r="L947" t="n">
        <v>0</v>
      </c>
      <c r="M947" t="n">
        <v>0</v>
      </c>
      <c r="N947" t="n">
        <v>0</v>
      </c>
      <c r="O947" t="n">
        <v>0</v>
      </c>
      <c r="P947" t="n">
        <v>0</v>
      </c>
      <c r="Q947" t="n">
        <v>0</v>
      </c>
      <c r="R947" s="2" t="inlineStr"/>
    </row>
    <row r="948" ht="15" customHeight="1">
      <c r="A948" t="inlineStr">
        <is>
          <t>A 25733-2025</t>
        </is>
      </c>
      <c r="B948" s="1" t="n">
        <v>45800</v>
      </c>
      <c r="C948" s="1" t="n">
        <v>46089</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50143-2023</t>
        </is>
      </c>
      <c r="B949" s="1" t="n">
        <v>45215</v>
      </c>
      <c r="C949" s="1" t="n">
        <v>46089</v>
      </c>
      <c r="D949" t="inlineStr">
        <is>
          <t>STOCKHOLMS LÄN</t>
        </is>
      </c>
      <c r="E949" t="inlineStr">
        <is>
          <t>NORRTÄLJE</t>
        </is>
      </c>
      <c r="G949" t="n">
        <v>10.3</v>
      </c>
      <c r="H949" t="n">
        <v>0</v>
      </c>
      <c r="I949" t="n">
        <v>0</v>
      </c>
      <c r="J949" t="n">
        <v>0</v>
      </c>
      <c r="K949" t="n">
        <v>0</v>
      </c>
      <c r="L949" t="n">
        <v>0</v>
      </c>
      <c r="M949" t="n">
        <v>0</v>
      </c>
      <c r="N949" t="n">
        <v>0</v>
      </c>
      <c r="O949" t="n">
        <v>0</v>
      </c>
      <c r="P949" t="n">
        <v>0</v>
      </c>
      <c r="Q949" t="n">
        <v>0</v>
      </c>
      <c r="R949" s="2" t="inlineStr"/>
    </row>
    <row r="950" ht="15" customHeight="1">
      <c r="A950" t="inlineStr">
        <is>
          <t>A 39238-2024</t>
        </is>
      </c>
      <c r="B950" s="1" t="n">
        <v>45549</v>
      </c>
      <c r="C950" s="1" t="n">
        <v>46089</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29176-2024</t>
        </is>
      </c>
      <c r="B951" s="1" t="n">
        <v>45482.53388888889</v>
      </c>
      <c r="C951" s="1" t="n">
        <v>46089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46089</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25721-2025</t>
        </is>
      </c>
      <c r="B953" s="1" t="n">
        <v>45800</v>
      </c>
      <c r="C953" s="1" t="n">
        <v>46089</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39692-2025</t>
        </is>
      </c>
      <c r="B954" s="1" t="n">
        <v>45890.68083333333</v>
      </c>
      <c r="C954" s="1" t="n">
        <v>46089</v>
      </c>
      <c r="D954" t="inlineStr">
        <is>
          <t>STOCKHOLMS LÄN</t>
        </is>
      </c>
      <c r="E954" t="inlineStr">
        <is>
          <t>NORRTÄLJE</t>
        </is>
      </c>
      <c r="G954" t="n">
        <v>10.5</v>
      </c>
      <c r="H954" t="n">
        <v>0</v>
      </c>
      <c r="I954" t="n">
        <v>0</v>
      </c>
      <c r="J954" t="n">
        <v>0</v>
      </c>
      <c r="K954" t="n">
        <v>0</v>
      </c>
      <c r="L954" t="n">
        <v>0</v>
      </c>
      <c r="M954" t="n">
        <v>0</v>
      </c>
      <c r="N954" t="n">
        <v>0</v>
      </c>
      <c r="O954" t="n">
        <v>0</v>
      </c>
      <c r="P954" t="n">
        <v>0</v>
      </c>
      <c r="Q954" t="n">
        <v>0</v>
      </c>
      <c r="R954" s="2" t="inlineStr"/>
    </row>
    <row r="955" ht="15" customHeight="1">
      <c r="A955" t="inlineStr">
        <is>
          <t>A 36430-2024</t>
        </is>
      </c>
      <c r="B955" s="1" t="n">
        <v>45536</v>
      </c>
      <c r="C955" s="1" t="n">
        <v>46089</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54222-2023</t>
        </is>
      </c>
      <c r="B956" s="1" t="n">
        <v>45225</v>
      </c>
      <c r="C956" s="1" t="n">
        <v>46089</v>
      </c>
      <c r="D956" t="inlineStr">
        <is>
          <t>STOCKHOLMS LÄN</t>
        </is>
      </c>
      <c r="E956" t="inlineStr">
        <is>
          <t>UPPLANDS-BRO</t>
        </is>
      </c>
      <c r="F956" t="inlineStr">
        <is>
          <t>Övriga statliga verk och myndigheter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51312-2023</t>
        </is>
      </c>
      <c r="B957" s="1" t="n">
        <v>45219.56697916667</v>
      </c>
      <c r="C957" s="1" t="n">
        <v>46089</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46671-2021</t>
        </is>
      </c>
      <c r="B958" s="1" t="n">
        <v>44445</v>
      </c>
      <c r="C958" s="1" t="n">
        <v>46089</v>
      </c>
      <c r="D958" t="inlineStr">
        <is>
          <t>STOCKHOLMS LÄN</t>
        </is>
      </c>
      <c r="E958" t="inlineStr">
        <is>
          <t>SÖDERTÄLJE</t>
        </is>
      </c>
      <c r="G958" t="n">
        <v>8.1</v>
      </c>
      <c r="H958" t="n">
        <v>0</v>
      </c>
      <c r="I958" t="n">
        <v>0</v>
      </c>
      <c r="J958" t="n">
        <v>0</v>
      </c>
      <c r="K958" t="n">
        <v>0</v>
      </c>
      <c r="L958" t="n">
        <v>0</v>
      </c>
      <c r="M958" t="n">
        <v>0</v>
      </c>
      <c r="N958" t="n">
        <v>0</v>
      </c>
      <c r="O958" t="n">
        <v>0</v>
      </c>
      <c r="P958" t="n">
        <v>0</v>
      </c>
      <c r="Q958" t="n">
        <v>0</v>
      </c>
      <c r="R958" s="2" t="inlineStr"/>
    </row>
    <row r="959" ht="15" customHeight="1">
      <c r="A959" t="inlineStr">
        <is>
          <t>A 35640-2024</t>
        </is>
      </c>
      <c r="B959" s="1" t="n">
        <v>45531</v>
      </c>
      <c r="C959" s="1" t="n">
        <v>46089</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25697-2025</t>
        </is>
      </c>
      <c r="B960" s="1" t="n">
        <v>45803.66587962963</v>
      </c>
      <c r="C960" s="1" t="n">
        <v>46089</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41218-2024</t>
        </is>
      </c>
      <c r="B961" s="1" t="n">
        <v>45559.54706018518</v>
      </c>
      <c r="C961" s="1" t="n">
        <v>46089</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7833-2026</t>
        </is>
      </c>
      <c r="B962" s="1" t="n">
        <v>46062.64694444444</v>
      </c>
      <c r="C962" s="1" t="n">
        <v>46089</v>
      </c>
      <c r="D962" t="inlineStr">
        <is>
          <t>STOCKHOLMS LÄN</t>
        </is>
      </c>
      <c r="E962" t="inlineStr">
        <is>
          <t>SIGTUNA</t>
        </is>
      </c>
      <c r="G962" t="n">
        <v>0.6</v>
      </c>
      <c r="H962" t="n">
        <v>0</v>
      </c>
      <c r="I962" t="n">
        <v>0</v>
      </c>
      <c r="J962" t="n">
        <v>0</v>
      </c>
      <c r="K962" t="n">
        <v>0</v>
      </c>
      <c r="L962" t="n">
        <v>0</v>
      </c>
      <c r="M962" t="n">
        <v>0</v>
      </c>
      <c r="N962" t="n">
        <v>0</v>
      </c>
      <c r="O962" t="n">
        <v>0</v>
      </c>
      <c r="P962" t="n">
        <v>0</v>
      </c>
      <c r="Q962" t="n">
        <v>0</v>
      </c>
      <c r="R962" s="2" t="inlineStr"/>
    </row>
    <row r="963" ht="15" customHeight="1">
      <c r="A963" t="inlineStr">
        <is>
          <t>A 35639-2025</t>
        </is>
      </c>
      <c r="B963" s="1" t="n">
        <v>45859</v>
      </c>
      <c r="C963" s="1" t="n">
        <v>46089</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31808-2023</t>
        </is>
      </c>
      <c r="B964" s="1" t="n">
        <v>45118.47105324074</v>
      </c>
      <c r="C964" s="1" t="n">
        <v>46089</v>
      </c>
      <c r="D964" t="inlineStr">
        <is>
          <t>STOCKHOLMS LÄN</t>
        </is>
      </c>
      <c r="E964" t="inlineStr">
        <is>
          <t>NYNÄSHAMN</t>
        </is>
      </c>
      <c r="F964" t="inlineStr">
        <is>
          <t>Kommuner</t>
        </is>
      </c>
      <c r="G964" t="n">
        <v>4.3</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44834.38636574074</v>
      </c>
      <c r="C965" s="1" t="n">
        <v>46089</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46089</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56349-2023</t>
        </is>
      </c>
      <c r="B967" s="1" t="n">
        <v>45243</v>
      </c>
      <c r="C967" s="1" t="n">
        <v>46089</v>
      </c>
      <c r="D967" t="inlineStr">
        <is>
          <t>STOCKHOLMS LÄN</t>
        </is>
      </c>
      <c r="E967" t="inlineStr">
        <is>
          <t>SÖDERTÄLJE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39924-2025</t>
        </is>
      </c>
      <c r="B968" s="1" t="n">
        <v>45891</v>
      </c>
      <c r="C968" s="1" t="n">
        <v>46089</v>
      </c>
      <c r="D968" t="inlineStr">
        <is>
          <t>STOCKHOLMS LÄN</t>
        </is>
      </c>
      <c r="E968" t="inlineStr">
        <is>
          <t>VAXHOLM</t>
        </is>
      </c>
      <c r="F968" t="inlineStr">
        <is>
          <t>Övriga statliga verk och myndigheter</t>
        </is>
      </c>
      <c r="G968" t="n">
        <v>1.1</v>
      </c>
      <c r="H968" t="n">
        <v>0</v>
      </c>
      <c r="I968" t="n">
        <v>0</v>
      </c>
      <c r="J968" t="n">
        <v>0</v>
      </c>
      <c r="K968" t="n">
        <v>0</v>
      </c>
      <c r="L968" t="n">
        <v>0</v>
      </c>
      <c r="M968" t="n">
        <v>0</v>
      </c>
      <c r="N968" t="n">
        <v>0</v>
      </c>
      <c r="O968" t="n">
        <v>0</v>
      </c>
      <c r="P968" t="n">
        <v>0</v>
      </c>
      <c r="Q968" t="n">
        <v>0</v>
      </c>
      <c r="R968" s="2" t="inlineStr"/>
    </row>
    <row r="969" ht="15" customHeight="1">
      <c r="A969" t="inlineStr">
        <is>
          <t>A 39928-2025</t>
        </is>
      </c>
      <c r="B969" s="1" t="n">
        <v>45891</v>
      </c>
      <c r="C969" s="1" t="n">
        <v>46089</v>
      </c>
      <c r="D969" t="inlineStr">
        <is>
          <t>STOCKHOLMS LÄN</t>
        </is>
      </c>
      <c r="E969" t="inlineStr">
        <is>
          <t>VAXHOLM</t>
        </is>
      </c>
      <c r="F969" t="inlineStr">
        <is>
          <t>Övriga statliga verk och myndigheter</t>
        </is>
      </c>
      <c r="G969" t="n">
        <v>0.9</v>
      </c>
      <c r="H969" t="n">
        <v>0</v>
      </c>
      <c r="I969" t="n">
        <v>0</v>
      </c>
      <c r="J969" t="n">
        <v>0</v>
      </c>
      <c r="K969" t="n">
        <v>0</v>
      </c>
      <c r="L969" t="n">
        <v>0</v>
      </c>
      <c r="M969" t="n">
        <v>0</v>
      </c>
      <c r="N969" t="n">
        <v>0</v>
      </c>
      <c r="O969" t="n">
        <v>0</v>
      </c>
      <c r="P969" t="n">
        <v>0</v>
      </c>
      <c r="Q969" t="n">
        <v>0</v>
      </c>
      <c r="R969" s="2" t="inlineStr"/>
    </row>
    <row r="970" ht="15" customHeight="1">
      <c r="A970" t="inlineStr">
        <is>
          <t>A 41111-2023</t>
        </is>
      </c>
      <c r="B970" s="1" t="n">
        <v>45173.74025462963</v>
      </c>
      <c r="C970" s="1" t="n">
        <v>46089</v>
      </c>
      <c r="D970" t="inlineStr">
        <is>
          <t>STOCKHOLMS LÄN</t>
        </is>
      </c>
      <c r="E970" t="inlineStr">
        <is>
          <t>SÖDERTÄLJE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41115-2023</t>
        </is>
      </c>
      <c r="B971" s="1" t="n">
        <v>45173</v>
      </c>
      <c r="C971" s="1" t="n">
        <v>46089</v>
      </c>
      <c r="D971" t="inlineStr">
        <is>
          <t>STOCKHOLMS LÄN</t>
        </is>
      </c>
      <c r="E971" t="inlineStr">
        <is>
          <t>SÖDERTÄLJE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35636-2025</t>
        </is>
      </c>
      <c r="B972" s="1" t="n">
        <v>45859</v>
      </c>
      <c r="C972" s="1" t="n">
        <v>46089</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38449-2022</t>
        </is>
      </c>
      <c r="B973" s="1" t="n">
        <v>44813</v>
      </c>
      <c r="C973" s="1" t="n">
        <v>46089</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40001-2025</t>
        </is>
      </c>
      <c r="B974" s="1" t="n">
        <v>45891</v>
      </c>
      <c r="C974" s="1" t="n">
        <v>46089</v>
      </c>
      <c r="D974" t="inlineStr">
        <is>
          <t>STOCKHOLMS LÄN</t>
        </is>
      </c>
      <c r="E974" t="inlineStr">
        <is>
          <t>VAXHOLM</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4322-2023</t>
        </is>
      </c>
      <c r="B975" s="1" t="n">
        <v>44953.69298611111</v>
      </c>
      <c r="C975" s="1" t="n">
        <v>46089</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50306-2023</t>
        </is>
      </c>
      <c r="B976" s="1" t="n">
        <v>45209</v>
      </c>
      <c r="C976" s="1" t="n">
        <v>46089</v>
      </c>
      <c r="D976" t="inlineStr">
        <is>
          <t>STOCKHOLMS LÄN</t>
        </is>
      </c>
      <c r="E976" t="inlineStr">
        <is>
          <t>HANINGE</t>
        </is>
      </c>
      <c r="G976" t="n">
        <v>2.3</v>
      </c>
      <c r="H976" t="n">
        <v>0</v>
      </c>
      <c r="I976" t="n">
        <v>0</v>
      </c>
      <c r="J976" t="n">
        <v>0</v>
      </c>
      <c r="K976" t="n">
        <v>0</v>
      </c>
      <c r="L976" t="n">
        <v>0</v>
      </c>
      <c r="M976" t="n">
        <v>0</v>
      </c>
      <c r="N976" t="n">
        <v>0</v>
      </c>
      <c r="O976" t="n">
        <v>0</v>
      </c>
      <c r="P976" t="n">
        <v>0</v>
      </c>
      <c r="Q976" t="n">
        <v>0</v>
      </c>
      <c r="R976" s="2" t="inlineStr"/>
      <c r="U976">
        <f>HYPERLINK("https://klasma.github.io/Logging_0136/knärot/A 50306-2023 karta knärot.png", "A 50306-2023")</f>
        <v/>
      </c>
      <c r="V976">
        <f>HYPERLINK("https://klasma.github.io/Logging_0136/klagomål/A 50306-2023 FSC-klagomål.docx", "A 50306-2023")</f>
        <v/>
      </c>
      <c r="W976">
        <f>HYPERLINK("https://klasma.github.io/Logging_0136/klagomålsmail/A 50306-2023 FSC-klagomål mail.docx", "A 50306-2023")</f>
        <v/>
      </c>
      <c r="X976">
        <f>HYPERLINK("https://klasma.github.io/Logging_0136/tillsyn/A 50306-2023 tillsynsbegäran.docx", "A 50306-2023")</f>
        <v/>
      </c>
      <c r="Y976">
        <f>HYPERLINK("https://klasma.github.io/Logging_0136/tillsynsmail/A 50306-2023 tillsynsbegäran mail.docx", "A 50306-2023")</f>
        <v/>
      </c>
    </row>
    <row r="977" ht="15" customHeight="1">
      <c r="A977" t="inlineStr">
        <is>
          <t>A 3382-2024</t>
        </is>
      </c>
      <c r="B977" s="1" t="n">
        <v>45317</v>
      </c>
      <c r="C977" s="1" t="n">
        <v>46089</v>
      </c>
      <c r="D977" t="inlineStr">
        <is>
          <t>STOCKHOLMS LÄN</t>
        </is>
      </c>
      <c r="E977" t="inlineStr">
        <is>
          <t>SÖDERTÄLJE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40172-2025</t>
        </is>
      </c>
      <c r="B978" s="1" t="n">
        <v>45894.6353125</v>
      </c>
      <c r="C978" s="1" t="n">
        <v>46089</v>
      </c>
      <c r="D978" t="inlineStr">
        <is>
          <t>STOCKHOLMS LÄN</t>
        </is>
      </c>
      <c r="E978" t="inlineStr">
        <is>
          <t>NORRTÄLJE</t>
        </is>
      </c>
      <c r="G978" t="n">
        <v>6</v>
      </c>
      <c r="H978" t="n">
        <v>0</v>
      </c>
      <c r="I978" t="n">
        <v>0</v>
      </c>
      <c r="J978" t="n">
        <v>0</v>
      </c>
      <c r="K978" t="n">
        <v>0</v>
      </c>
      <c r="L978" t="n">
        <v>0</v>
      </c>
      <c r="M978" t="n">
        <v>0</v>
      </c>
      <c r="N978" t="n">
        <v>0</v>
      </c>
      <c r="O978" t="n">
        <v>0</v>
      </c>
      <c r="P978" t="n">
        <v>0</v>
      </c>
      <c r="Q978" t="n">
        <v>0</v>
      </c>
      <c r="R978" s="2" t="inlineStr"/>
    </row>
    <row r="979" ht="15" customHeight="1">
      <c r="A979" t="inlineStr">
        <is>
          <t>A 40033-2025</t>
        </is>
      </c>
      <c r="B979" s="1" t="n">
        <v>45893</v>
      </c>
      <c r="C979" s="1" t="n">
        <v>46089</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40032-2025</t>
        </is>
      </c>
      <c r="B980" s="1" t="n">
        <v>45893</v>
      </c>
      <c r="C980" s="1" t="n">
        <v>46089</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27969-2022</t>
        </is>
      </c>
      <c r="B981" s="1" t="n">
        <v>44744</v>
      </c>
      <c r="C981" s="1" t="n">
        <v>46089</v>
      </c>
      <c r="D981" t="inlineStr">
        <is>
          <t>STOCKHOLMS LÄN</t>
        </is>
      </c>
      <c r="E981" t="inlineStr">
        <is>
          <t>SÖDERTÄLJE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40292-2025</t>
        </is>
      </c>
      <c r="B982" s="1" t="n">
        <v>45895.3867824074</v>
      </c>
      <c r="C982" s="1" t="n">
        <v>46089</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40294-2025</t>
        </is>
      </c>
      <c r="B983" s="1" t="n">
        <v>45895.38778935185</v>
      </c>
      <c r="C983" s="1" t="n">
        <v>46089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40228-2025</t>
        </is>
      </c>
      <c r="B984" s="1" t="n">
        <v>45894.70854166667</v>
      </c>
      <c r="C984" s="1" t="n">
        <v>46089</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26256-2025</t>
        </is>
      </c>
      <c r="B985" s="1" t="n">
        <v>45805.58125</v>
      </c>
      <c r="C985" s="1" t="n">
        <v>46089</v>
      </c>
      <c r="D985" t="inlineStr">
        <is>
          <t>STOCKHOLMS LÄN</t>
        </is>
      </c>
      <c r="E985" t="inlineStr">
        <is>
          <t>SIGTUNA</t>
        </is>
      </c>
      <c r="G985" t="n">
        <v>7.5</v>
      </c>
      <c r="H985" t="n">
        <v>0</v>
      </c>
      <c r="I985" t="n">
        <v>0</v>
      </c>
      <c r="J985" t="n">
        <v>0</v>
      </c>
      <c r="K985" t="n">
        <v>0</v>
      </c>
      <c r="L985" t="n">
        <v>0</v>
      </c>
      <c r="M985" t="n">
        <v>0</v>
      </c>
      <c r="N985" t="n">
        <v>0</v>
      </c>
      <c r="O985" t="n">
        <v>0</v>
      </c>
      <c r="P985" t="n">
        <v>0</v>
      </c>
      <c r="Q985" t="n">
        <v>0</v>
      </c>
      <c r="R985" s="2" t="inlineStr"/>
    </row>
    <row r="986" ht="15" customHeight="1">
      <c r="A986" t="inlineStr">
        <is>
          <t>A 8096-2026</t>
        </is>
      </c>
      <c r="B986" s="1" t="n">
        <v>46063.714375</v>
      </c>
      <c r="C986" s="1" t="n">
        <v>46089</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38990-2022</t>
        </is>
      </c>
      <c r="B987" s="1" t="n">
        <v>44816</v>
      </c>
      <c r="C987" s="1" t="n">
        <v>46089</v>
      </c>
      <c r="D987" t="inlineStr">
        <is>
          <t>STOCKHOLMS LÄN</t>
        </is>
      </c>
      <c r="E987" t="inlineStr">
        <is>
          <t>NORRTÄLJE</t>
        </is>
      </c>
      <c r="G987" t="n">
        <v>5.7</v>
      </c>
      <c r="H987" t="n">
        <v>0</v>
      </c>
      <c r="I987" t="n">
        <v>0</v>
      </c>
      <c r="J987" t="n">
        <v>0</v>
      </c>
      <c r="K987" t="n">
        <v>0</v>
      </c>
      <c r="L987" t="n">
        <v>0</v>
      </c>
      <c r="M987" t="n">
        <v>0</v>
      </c>
      <c r="N987" t="n">
        <v>0</v>
      </c>
      <c r="O987" t="n">
        <v>0</v>
      </c>
      <c r="P987" t="n">
        <v>0</v>
      </c>
      <c r="Q987" t="n">
        <v>0</v>
      </c>
      <c r="R987" s="2" t="inlineStr"/>
    </row>
    <row r="988" ht="15" customHeight="1">
      <c r="A988" t="inlineStr">
        <is>
          <t>A 53561-2023</t>
        </is>
      </c>
      <c r="B988" s="1" t="n">
        <v>45224</v>
      </c>
      <c r="C988" s="1" t="n">
        <v>46089</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17956-2025</t>
        </is>
      </c>
      <c r="B989" s="1" t="n">
        <v>45760.91174768518</v>
      </c>
      <c r="C989" s="1" t="n">
        <v>46089</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875-2023</t>
        </is>
      </c>
      <c r="B990" s="1" t="n">
        <v>44931.65626157408</v>
      </c>
      <c r="C990" s="1" t="n">
        <v>46089</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46089</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31236-2022</t>
        </is>
      </c>
      <c r="B992" s="1" t="n">
        <v>44771</v>
      </c>
      <c r="C992" s="1" t="n">
        <v>46089</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8315-2025</t>
        </is>
      </c>
      <c r="B993" s="1" t="n">
        <v>45708.61761574074</v>
      </c>
      <c r="C993" s="1" t="n">
        <v>46089</v>
      </c>
      <c r="D993" t="inlineStr">
        <is>
          <t>STOCKHOLMS LÄN</t>
        </is>
      </c>
      <c r="E993" t="inlineStr">
        <is>
          <t>NORRTÄLJE</t>
        </is>
      </c>
      <c r="G993" t="n">
        <v>3.9</v>
      </c>
      <c r="H993" t="n">
        <v>0</v>
      </c>
      <c r="I993" t="n">
        <v>0</v>
      </c>
      <c r="J993" t="n">
        <v>0</v>
      </c>
      <c r="K993" t="n">
        <v>0</v>
      </c>
      <c r="L993" t="n">
        <v>0</v>
      </c>
      <c r="M993" t="n">
        <v>0</v>
      </c>
      <c r="N993" t="n">
        <v>0</v>
      </c>
      <c r="O993" t="n">
        <v>0</v>
      </c>
      <c r="P993" t="n">
        <v>0</v>
      </c>
      <c r="Q993" t="n">
        <v>0</v>
      </c>
      <c r="R993" s="2" t="inlineStr"/>
    </row>
    <row r="994" ht="15" customHeight="1">
      <c r="A994" t="inlineStr">
        <is>
          <t>A 31281-2022</t>
        </is>
      </c>
      <c r="B994" s="1" t="n">
        <v>44771</v>
      </c>
      <c r="C994" s="1" t="n">
        <v>46089</v>
      </c>
      <c r="D994" t="inlineStr">
        <is>
          <t>STOCKHOLMS LÄN</t>
        </is>
      </c>
      <c r="E994" t="inlineStr">
        <is>
          <t>NORRTÄLJE</t>
        </is>
      </c>
      <c r="F994" t="inlineStr">
        <is>
          <t>Holmen skog AB</t>
        </is>
      </c>
      <c r="G994" t="n">
        <v>5.2</v>
      </c>
      <c r="H994" t="n">
        <v>0</v>
      </c>
      <c r="I994" t="n">
        <v>0</v>
      </c>
      <c r="J994" t="n">
        <v>0</v>
      </c>
      <c r="K994" t="n">
        <v>0</v>
      </c>
      <c r="L994" t="n">
        <v>0</v>
      </c>
      <c r="M994" t="n">
        <v>0</v>
      </c>
      <c r="N994" t="n">
        <v>0</v>
      </c>
      <c r="O994" t="n">
        <v>0</v>
      </c>
      <c r="P994" t="n">
        <v>0</v>
      </c>
      <c r="Q994" t="n">
        <v>0</v>
      </c>
      <c r="R994" s="2" t="inlineStr"/>
    </row>
    <row r="995" ht="15" customHeight="1">
      <c r="A995" t="inlineStr">
        <is>
          <t>A 25984-2025</t>
        </is>
      </c>
      <c r="B995" s="1" t="n">
        <v>45804.64016203704</v>
      </c>
      <c r="C995" s="1" t="n">
        <v>46089</v>
      </c>
      <c r="D995" t="inlineStr">
        <is>
          <t>STOCKHOLMS LÄN</t>
        </is>
      </c>
      <c r="E995" t="inlineStr">
        <is>
          <t>VALLENTUNA</t>
        </is>
      </c>
      <c r="G995" t="n">
        <v>2.5</v>
      </c>
      <c r="H995" t="n">
        <v>0</v>
      </c>
      <c r="I995" t="n">
        <v>0</v>
      </c>
      <c r="J995" t="n">
        <v>0</v>
      </c>
      <c r="K995" t="n">
        <v>0</v>
      </c>
      <c r="L995" t="n">
        <v>0</v>
      </c>
      <c r="M995" t="n">
        <v>0</v>
      </c>
      <c r="N995" t="n">
        <v>0</v>
      </c>
      <c r="O995" t="n">
        <v>0</v>
      </c>
      <c r="P995" t="n">
        <v>0</v>
      </c>
      <c r="Q995" t="n">
        <v>0</v>
      </c>
      <c r="R995" s="2" t="inlineStr"/>
    </row>
    <row r="996" ht="15" customHeight="1">
      <c r="A996" t="inlineStr">
        <is>
          <t>A 8055-2026</t>
        </is>
      </c>
      <c r="B996" s="1" t="n">
        <v>46063.62002314815</v>
      </c>
      <c r="C996" s="1" t="n">
        <v>46089</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7729-2026</t>
        </is>
      </c>
      <c r="B997" s="1" t="n">
        <v>46062.51100694444</v>
      </c>
      <c r="C997" s="1" t="n">
        <v>46089</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40217-2025</t>
        </is>
      </c>
      <c r="B998" s="1" t="n">
        <v>45894.68864583333</v>
      </c>
      <c r="C998" s="1" t="n">
        <v>46089</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40097-2025</t>
        </is>
      </c>
      <c r="B999" s="1" t="n">
        <v>45894.48322916667</v>
      </c>
      <c r="C999" s="1" t="n">
        <v>46089</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10790-2023</t>
        </is>
      </c>
      <c r="B1000" s="1" t="n">
        <v>44989.32980324074</v>
      </c>
      <c r="C1000" s="1" t="n">
        <v>46089</v>
      </c>
      <c r="D1000" t="inlineStr">
        <is>
          <t>STOCKHOLMS LÄN</t>
        </is>
      </c>
      <c r="E1000" t="inlineStr">
        <is>
          <t>SIGTUNA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40829-2025</t>
        </is>
      </c>
      <c r="B1001" s="1" t="n">
        <v>45897.50802083333</v>
      </c>
      <c r="C1001" s="1" t="n">
        <v>46089</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39958-2024</t>
        </is>
      </c>
      <c r="B1002" s="1" t="n">
        <v>45553</v>
      </c>
      <c r="C1002" s="1" t="n">
        <v>46089</v>
      </c>
      <c r="D1002" t="inlineStr">
        <is>
          <t>STOCKHOLMS LÄN</t>
        </is>
      </c>
      <c r="E1002" t="inlineStr">
        <is>
          <t>VAXHOLM</t>
        </is>
      </c>
      <c r="F1002" t="inlineStr">
        <is>
          <t>Övriga statliga verk och myndigheter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40837-2025</t>
        </is>
      </c>
      <c r="B1003" s="1" t="n">
        <v>45897.51328703704</v>
      </c>
      <c r="C1003" s="1" t="n">
        <v>46089</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9865-2025</t>
        </is>
      </c>
      <c r="B1004" s="1" t="n">
        <v>45716</v>
      </c>
      <c r="C1004" s="1" t="n">
        <v>46089</v>
      </c>
      <c r="D1004" t="inlineStr">
        <is>
          <t>STOCKHOLMS LÄN</t>
        </is>
      </c>
      <c r="E1004" t="inlineStr">
        <is>
          <t>ÖSTERÅKER</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35145-2023</t>
        </is>
      </c>
      <c r="B1005" s="1" t="n">
        <v>45145</v>
      </c>
      <c r="C1005" s="1" t="n">
        <v>46089</v>
      </c>
      <c r="D1005" t="inlineStr">
        <is>
          <t>STOCKHOLMS LÄN</t>
        </is>
      </c>
      <c r="E1005" t="inlineStr">
        <is>
          <t>SÖDERTÄLJE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40529-2025</t>
        </is>
      </c>
      <c r="B1006" s="1" t="n">
        <v>45896.38466435186</v>
      </c>
      <c r="C1006" s="1" t="n">
        <v>46089</v>
      </c>
      <c r="D1006" t="inlineStr">
        <is>
          <t>STOCKHOLMS LÄN</t>
        </is>
      </c>
      <c r="E1006" t="inlineStr">
        <is>
          <t>NORRTÄLJE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37098-2021</t>
        </is>
      </c>
      <c r="B1007" s="1" t="n">
        <v>44396</v>
      </c>
      <c r="C1007" s="1" t="n">
        <v>46089</v>
      </c>
      <c r="D1007" t="inlineStr">
        <is>
          <t>STOCKHOLMS LÄN</t>
        </is>
      </c>
      <c r="E1007" t="inlineStr">
        <is>
          <t>NYNÄSHAMN</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18665-2022</t>
        </is>
      </c>
      <c r="B1008" s="1" t="n">
        <v>44687</v>
      </c>
      <c r="C1008" s="1" t="n">
        <v>46089</v>
      </c>
      <c r="D1008" t="inlineStr">
        <is>
          <t>STOCKHOLMS LÄN</t>
        </is>
      </c>
      <c r="E1008" t="inlineStr">
        <is>
          <t>NORRTÄLJE</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40831-2025</t>
        </is>
      </c>
      <c r="B1009" s="1" t="n">
        <v>45897.51077546296</v>
      </c>
      <c r="C1009" s="1" t="n">
        <v>46089</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26051-2025</t>
        </is>
      </c>
      <c r="B1010" s="1" t="n">
        <v>45804.74479166666</v>
      </c>
      <c r="C1010" s="1" t="n">
        <v>46089</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51787-2021</t>
        </is>
      </c>
      <c r="B1011" s="1" t="n">
        <v>44462</v>
      </c>
      <c r="C1011" s="1" t="n">
        <v>46089</v>
      </c>
      <c r="D1011" t="inlineStr">
        <is>
          <t>STOCKHOLMS LÄN</t>
        </is>
      </c>
      <c r="E1011" t="inlineStr">
        <is>
          <t>NYKVARN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41281-2021</t>
        </is>
      </c>
      <c r="B1012" s="1" t="n">
        <v>44424</v>
      </c>
      <c r="C1012" s="1" t="n">
        <v>46089</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58302-2022</t>
        </is>
      </c>
      <c r="B1013" s="1" t="n">
        <v>44901</v>
      </c>
      <c r="C1013" s="1" t="n">
        <v>46089</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24967-2024</t>
        </is>
      </c>
      <c r="B1014" s="1" t="n">
        <v>45461</v>
      </c>
      <c r="C1014" s="1" t="n">
        <v>46089</v>
      </c>
      <c r="D1014" t="inlineStr">
        <is>
          <t>STOCKHOLMS LÄN</t>
        </is>
      </c>
      <c r="E1014" t="inlineStr">
        <is>
          <t>SIGTUNA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41158-2025</t>
        </is>
      </c>
      <c r="B1015" s="1" t="n">
        <v>45898.5315625</v>
      </c>
      <c r="C1015" s="1" t="n">
        <v>46089</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7860-2024</t>
        </is>
      </c>
      <c r="B1016" s="1" t="n">
        <v>45348</v>
      </c>
      <c r="C1016" s="1" t="n">
        <v>46089</v>
      </c>
      <c r="D1016" t="inlineStr">
        <is>
          <t>STOCKHOLMS LÄN</t>
        </is>
      </c>
      <c r="E1016" t="inlineStr">
        <is>
          <t>UPPLANDS-BRO</t>
        </is>
      </c>
      <c r="F1016" t="inlineStr">
        <is>
          <t>Övriga statliga verk och myndigheter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15733-2025</t>
        </is>
      </c>
      <c r="B1017" s="1" t="n">
        <v>45748</v>
      </c>
      <c r="C1017" s="1" t="n">
        <v>46089</v>
      </c>
      <c r="D1017" t="inlineStr">
        <is>
          <t>STOCKHOLMS LÄN</t>
        </is>
      </c>
      <c r="E1017" t="inlineStr">
        <is>
          <t>NORRTÄLJE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26708-2025</t>
        </is>
      </c>
      <c r="B1018" s="1" t="n">
        <v>45810.45633101852</v>
      </c>
      <c r="C1018" s="1" t="n">
        <v>46089</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38591-2023</t>
        </is>
      </c>
      <c r="B1019" s="1" t="n">
        <v>45162</v>
      </c>
      <c r="C1019" s="1" t="n">
        <v>46089</v>
      </c>
      <c r="D1019" t="inlineStr">
        <is>
          <t>STOCKHOLMS LÄN</t>
        </is>
      </c>
      <c r="E1019" t="inlineStr">
        <is>
          <t>NORRTÄLJE</t>
        </is>
      </c>
      <c r="F1019" t="inlineStr">
        <is>
          <t>Övriga Aktiebolag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19058-2024</t>
        </is>
      </c>
      <c r="B1020" s="1" t="n">
        <v>45427.89121527778</v>
      </c>
      <c r="C1020" s="1" t="n">
        <v>46089</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30338-2022</t>
        </is>
      </c>
      <c r="B1021" s="1" t="n">
        <v>44760</v>
      </c>
      <c r="C1021" s="1" t="n">
        <v>46089</v>
      </c>
      <c r="D1021" t="inlineStr">
        <is>
          <t>STOCKHOLMS LÄN</t>
        </is>
      </c>
      <c r="E1021" t="inlineStr">
        <is>
          <t>NORRTÄLJE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41206-2025</t>
        </is>
      </c>
      <c r="B1022" s="1" t="n">
        <v>45898</v>
      </c>
      <c r="C1022" s="1" t="n">
        <v>46089</v>
      </c>
      <c r="D1022" t="inlineStr">
        <is>
          <t>STOCKHOLMS LÄN</t>
        </is>
      </c>
      <c r="E1022" t="inlineStr">
        <is>
          <t>VALLENTUNA</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41053-2025</t>
        </is>
      </c>
      <c r="B1023" s="1" t="n">
        <v>45898.40480324074</v>
      </c>
      <c r="C1023" s="1" t="n">
        <v>46089</v>
      </c>
      <c r="D1023" t="inlineStr">
        <is>
          <t>STOCKHOLMS LÄN</t>
        </is>
      </c>
      <c r="E1023" t="inlineStr">
        <is>
          <t>NORRTÄLJE</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46089</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41275-2025</t>
        </is>
      </c>
      <c r="B1025" s="1" t="n">
        <v>45898.62625</v>
      </c>
      <c r="C1025" s="1" t="n">
        <v>46089</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41272-2025</t>
        </is>
      </c>
      <c r="B1026" s="1" t="n">
        <v>45898.62373842593</v>
      </c>
      <c r="C1026" s="1" t="n">
        <v>46089</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7110-2025</t>
        </is>
      </c>
      <c r="B1027" s="1" t="n">
        <v>45701</v>
      </c>
      <c r="C1027" s="1" t="n">
        <v>46089</v>
      </c>
      <c r="D1027" t="inlineStr">
        <is>
          <t>STOCKHOLMS LÄN</t>
        </is>
      </c>
      <c r="E1027" t="inlineStr">
        <is>
          <t>UPPLANDS-BRO</t>
        </is>
      </c>
      <c r="F1027" t="inlineStr">
        <is>
          <t>Övriga statliga verk och myndigheter</t>
        </is>
      </c>
      <c r="G1027" t="n">
        <v>17.3</v>
      </c>
      <c r="H1027" t="n">
        <v>0</v>
      </c>
      <c r="I1027" t="n">
        <v>0</v>
      </c>
      <c r="J1027" t="n">
        <v>0</v>
      </c>
      <c r="K1027" t="n">
        <v>0</v>
      </c>
      <c r="L1027" t="n">
        <v>0</v>
      </c>
      <c r="M1027" t="n">
        <v>0</v>
      </c>
      <c r="N1027" t="n">
        <v>0</v>
      </c>
      <c r="O1027" t="n">
        <v>0</v>
      </c>
      <c r="P1027" t="n">
        <v>0</v>
      </c>
      <c r="Q1027" t="n">
        <v>0</v>
      </c>
      <c r="R1027" s="2" t="inlineStr"/>
    </row>
    <row r="1028" ht="15" customHeight="1">
      <c r="A1028" t="inlineStr">
        <is>
          <t>A 52686-2024</t>
        </is>
      </c>
      <c r="B1028" s="1" t="n">
        <v>45610.39271990741</v>
      </c>
      <c r="C1028" s="1" t="n">
        <v>46089</v>
      </c>
      <c r="D1028" t="inlineStr">
        <is>
          <t>STOCKHOLMS LÄN</t>
        </is>
      </c>
      <c r="E1028" t="inlineStr">
        <is>
          <t>NORRTÄLJE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26702-2025</t>
        </is>
      </c>
      <c r="B1029" s="1" t="n">
        <v>45810.45236111111</v>
      </c>
      <c r="C1029" s="1" t="n">
        <v>46089</v>
      </c>
      <c r="D1029" t="inlineStr">
        <is>
          <t>STOCKHOLMS LÄN</t>
        </is>
      </c>
      <c r="E1029" t="inlineStr">
        <is>
          <t>NORRTÄLJE</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20343-2024</t>
        </is>
      </c>
      <c r="B1030" s="1" t="n">
        <v>45435.43466435185</v>
      </c>
      <c r="C1030" s="1" t="n">
        <v>46089</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20345-2024</t>
        </is>
      </c>
      <c r="B1031" s="1" t="n">
        <v>45435.43820601852</v>
      </c>
      <c r="C1031" s="1" t="n">
        <v>46089</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26763-2025</t>
        </is>
      </c>
      <c r="B1032" s="1" t="n">
        <v>45810.56418981482</v>
      </c>
      <c r="C1032" s="1" t="n">
        <v>46089</v>
      </c>
      <c r="D1032" t="inlineStr">
        <is>
          <t>STOCKHOLMS LÄN</t>
        </is>
      </c>
      <c r="E1032" t="inlineStr">
        <is>
          <t>NYKVARN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9765-2024</t>
        </is>
      </c>
      <c r="B1033" s="1" t="n">
        <v>45362.62811342593</v>
      </c>
      <c r="C1033" s="1" t="n">
        <v>46089</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41301-2025</t>
        </is>
      </c>
      <c r="B1034" s="1" t="n">
        <v>45898.68826388889</v>
      </c>
      <c r="C1034" s="1" t="n">
        <v>46089</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26600-2025</t>
        </is>
      </c>
      <c r="B1035" s="1" t="n">
        <v>45808.54792824074</v>
      </c>
      <c r="C1035" s="1" t="n">
        <v>46089</v>
      </c>
      <c r="D1035" t="inlineStr">
        <is>
          <t>STOCKHOLMS LÄN</t>
        </is>
      </c>
      <c r="E1035" t="inlineStr">
        <is>
          <t>EKERÖ</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23061-2025</t>
        </is>
      </c>
      <c r="B1036" s="1" t="n">
        <v>45790.81410879629</v>
      </c>
      <c r="C1036" s="1" t="n">
        <v>46089</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26501-2024</t>
        </is>
      </c>
      <c r="B1037" s="1" t="n">
        <v>45469</v>
      </c>
      <c r="C1037" s="1" t="n">
        <v>46089</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59875-2024</t>
        </is>
      </c>
      <c r="B1038" s="1" t="n">
        <v>45640.58716435185</v>
      </c>
      <c r="C1038" s="1" t="n">
        <v>46089</v>
      </c>
      <c r="D1038" t="inlineStr">
        <is>
          <t>STOCKHOLMS LÄN</t>
        </is>
      </c>
      <c r="E1038" t="inlineStr">
        <is>
          <t>NORRTÄLJE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61742-2022</t>
        </is>
      </c>
      <c r="B1039" s="1" t="n">
        <v>44917</v>
      </c>
      <c r="C1039" s="1" t="n">
        <v>46089</v>
      </c>
      <c r="D1039" t="inlineStr">
        <is>
          <t>STOCKHOLMS LÄN</t>
        </is>
      </c>
      <c r="E1039" t="inlineStr">
        <is>
          <t>VALLENTUNA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27040-2025</t>
        </is>
      </c>
      <c r="B1040" s="1" t="n">
        <v>45811.60451388889</v>
      </c>
      <c r="C1040" s="1" t="n">
        <v>46089</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46089</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41174-2025</t>
        </is>
      </c>
      <c r="B1042" s="1" t="n">
        <v>45898.54921296296</v>
      </c>
      <c r="C1042" s="1" t="n">
        <v>46089</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14559-2024</t>
        </is>
      </c>
      <c r="B1043" s="1" t="n">
        <v>45394.72869212963</v>
      </c>
      <c r="C1043" s="1" t="n">
        <v>46089</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26747-2025</t>
        </is>
      </c>
      <c r="B1044" s="1" t="n">
        <v>45810.5333912037</v>
      </c>
      <c r="C1044" s="1" t="n">
        <v>46089</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41030-2025</t>
        </is>
      </c>
      <c r="B1045" s="1" t="n">
        <v>45898.37636574074</v>
      </c>
      <c r="C1045" s="1" t="n">
        <v>46089</v>
      </c>
      <c r="D1045" t="inlineStr">
        <is>
          <t>STOCKHOLMS LÄN</t>
        </is>
      </c>
      <c r="E1045" t="inlineStr">
        <is>
          <t>NORRTÄLJE</t>
        </is>
      </c>
      <c r="F1045" t="inlineStr">
        <is>
          <t>Holmen skog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8489-2026</t>
        </is>
      </c>
      <c r="B1046" s="1" t="n">
        <v>46065.48268518518</v>
      </c>
      <c r="C1046" s="1" t="n">
        <v>46089</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22288-2023</t>
        </is>
      </c>
      <c r="B1047" s="1" t="n">
        <v>45070</v>
      </c>
      <c r="C1047" s="1" t="n">
        <v>46089</v>
      </c>
      <c r="D1047" t="inlineStr">
        <is>
          <t>STOCKHOLMS LÄN</t>
        </is>
      </c>
      <c r="E1047" t="inlineStr">
        <is>
          <t>HANINGE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8433-2022</t>
        </is>
      </c>
      <c r="B1048" s="1" t="n">
        <v>44611</v>
      </c>
      <c r="C1048" s="1" t="n">
        <v>46089</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862-2022</t>
        </is>
      </c>
      <c r="B1049" s="1" t="n">
        <v>44571</v>
      </c>
      <c r="C1049" s="1" t="n">
        <v>46089</v>
      </c>
      <c r="D1049" t="inlineStr">
        <is>
          <t>STOCKHOLMS LÄN</t>
        </is>
      </c>
      <c r="E1049" t="inlineStr">
        <is>
          <t>SIGTUNA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41036-2025</t>
        </is>
      </c>
      <c r="B1050" s="1" t="n">
        <v>45898.38552083333</v>
      </c>
      <c r="C1050" s="1" t="n">
        <v>46089</v>
      </c>
      <c r="D1050" t="inlineStr">
        <is>
          <t>STOCKHOLMS LÄN</t>
        </is>
      </c>
      <c r="E1050" t="inlineStr">
        <is>
          <t>NORRTÄLJE</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41106-2025</t>
        </is>
      </c>
      <c r="B1051" s="1" t="n">
        <v>45898.45636574074</v>
      </c>
      <c r="C1051" s="1" t="n">
        <v>46089</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41110-2025</t>
        </is>
      </c>
      <c r="B1052" s="1" t="n">
        <v>45898.45976851852</v>
      </c>
      <c r="C1052" s="1" t="n">
        <v>46089</v>
      </c>
      <c r="D1052" t="inlineStr">
        <is>
          <t>STOCKHOLMS LÄN</t>
        </is>
      </c>
      <c r="E1052" t="inlineStr">
        <is>
          <t>NORRTÄLJE</t>
        </is>
      </c>
      <c r="F1052" t="inlineStr">
        <is>
          <t>Holmen skog AB</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26755-2025</t>
        </is>
      </c>
      <c r="B1053" s="1" t="n">
        <v>45810.55623842592</v>
      </c>
      <c r="C1053" s="1" t="n">
        <v>46089</v>
      </c>
      <c r="D1053" t="inlineStr">
        <is>
          <t>STOCKHOLMS LÄN</t>
        </is>
      </c>
      <c r="E1053" t="inlineStr">
        <is>
          <t>NYKVARN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41259-2025</t>
        </is>
      </c>
      <c r="B1054" s="1" t="n">
        <v>45898.61054398148</v>
      </c>
      <c r="C1054" s="1" t="n">
        <v>46089</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10511-2025</t>
        </is>
      </c>
      <c r="B1055" s="1" t="n">
        <v>45721.40780092592</v>
      </c>
      <c r="C1055" s="1" t="n">
        <v>46089</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46089</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26675-2025</t>
        </is>
      </c>
      <c r="B1057" s="1" t="n">
        <v>45810.42393518519</v>
      </c>
      <c r="C1057" s="1" t="n">
        <v>46089</v>
      </c>
      <c r="D1057" t="inlineStr">
        <is>
          <t>STOCKHOLMS LÄN</t>
        </is>
      </c>
      <c r="E1057" t="inlineStr">
        <is>
          <t>NORRTÄLJE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12302-2025</t>
        </is>
      </c>
      <c r="B1058" s="1" t="n">
        <v>45729.72851851852</v>
      </c>
      <c r="C1058" s="1" t="n">
        <v>46089</v>
      </c>
      <c r="D1058" t="inlineStr">
        <is>
          <t>STOCKHOLMS LÄN</t>
        </is>
      </c>
      <c r="E1058" t="inlineStr">
        <is>
          <t>NORRTÄLJE</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19057-2024</t>
        </is>
      </c>
      <c r="B1059" s="1" t="n">
        <v>45427.88731481481</v>
      </c>
      <c r="C1059" s="1" t="n">
        <v>46089</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41949-2025</t>
        </is>
      </c>
      <c r="B1060" s="1" t="n">
        <v>45903.45309027778</v>
      </c>
      <c r="C1060" s="1" t="n">
        <v>46089</v>
      </c>
      <c r="D1060" t="inlineStr">
        <is>
          <t>STOCKHOLMS LÄN</t>
        </is>
      </c>
      <c r="E1060" t="inlineStr">
        <is>
          <t>SIGTUNA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41963-2025</t>
        </is>
      </c>
      <c r="B1061" s="1" t="n">
        <v>45903.47229166667</v>
      </c>
      <c r="C1061" s="1" t="n">
        <v>46089</v>
      </c>
      <c r="D1061" t="inlineStr">
        <is>
          <t>STOCKHOLMS LÄN</t>
        </is>
      </c>
      <c r="E1061" t="inlineStr">
        <is>
          <t>SIGTUNA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23397-2025</t>
        </is>
      </c>
      <c r="B1062" s="1" t="n">
        <v>45791.90849537037</v>
      </c>
      <c r="C1062" s="1" t="n">
        <v>46089</v>
      </c>
      <c r="D1062" t="inlineStr">
        <is>
          <t>STOCKHOLMS LÄN</t>
        </is>
      </c>
      <c r="E1062" t="inlineStr">
        <is>
          <t>NYNÄSHAMN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38889-2024</t>
        </is>
      </c>
      <c r="B1063" s="1" t="n">
        <v>45547</v>
      </c>
      <c r="C1063" s="1" t="n">
        <v>46089</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45451-2024</t>
        </is>
      </c>
      <c r="B1064" s="1" t="n">
        <v>45576</v>
      </c>
      <c r="C1064" s="1" t="n">
        <v>46089</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27554-2025</t>
        </is>
      </c>
      <c r="B1065" s="1" t="n">
        <v>45813.4709375</v>
      </c>
      <c r="C1065" s="1" t="n">
        <v>46089</v>
      </c>
      <c r="D1065" t="inlineStr">
        <is>
          <t>STOCKHOLMS LÄN</t>
        </is>
      </c>
      <c r="E1065" t="inlineStr">
        <is>
          <t>NORRTÄLJE</t>
        </is>
      </c>
      <c r="F1065" t="inlineStr">
        <is>
          <t>Övriga Aktiebolag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27561-2025</t>
        </is>
      </c>
      <c r="B1066" s="1" t="n">
        <v>45813.48378472222</v>
      </c>
      <c r="C1066" s="1" t="n">
        <v>46089</v>
      </c>
      <c r="D1066" t="inlineStr">
        <is>
          <t>STOCKHOLMS LÄN</t>
        </is>
      </c>
      <c r="E1066" t="inlineStr">
        <is>
          <t>HUDDINGE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41966-2025</t>
        </is>
      </c>
      <c r="B1067" s="1" t="n">
        <v>45903.47456018518</v>
      </c>
      <c r="C1067" s="1" t="n">
        <v>46089</v>
      </c>
      <c r="D1067" t="inlineStr">
        <is>
          <t>STOCKHOLMS LÄN</t>
        </is>
      </c>
      <c r="E1067" t="inlineStr">
        <is>
          <t>NORRTÄLJE</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41951-2025</t>
        </is>
      </c>
      <c r="B1068" s="1" t="n">
        <v>45903.45920138889</v>
      </c>
      <c r="C1068" s="1" t="n">
        <v>46089</v>
      </c>
      <c r="D1068" t="inlineStr">
        <is>
          <t>STOCKHOLMS LÄN</t>
        </is>
      </c>
      <c r="E1068" t="inlineStr">
        <is>
          <t>SIGTUNA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42038-2025</t>
        </is>
      </c>
      <c r="B1069" s="1" t="n">
        <v>45903.61431712963</v>
      </c>
      <c r="C1069" s="1" t="n">
        <v>46089</v>
      </c>
      <c r="D1069" t="inlineStr">
        <is>
          <t>STOCKHOLMS LÄN</t>
        </is>
      </c>
      <c r="E1069" t="inlineStr">
        <is>
          <t>NORRTÄLJE</t>
        </is>
      </c>
      <c r="F1069" t="inlineStr">
        <is>
          <t>Sveaskog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41957-2025</t>
        </is>
      </c>
      <c r="B1070" s="1" t="n">
        <v>45903.46525462963</v>
      </c>
      <c r="C1070" s="1" t="n">
        <v>46089</v>
      </c>
      <c r="D1070" t="inlineStr">
        <is>
          <t>STOCKHOLMS LÄN</t>
        </is>
      </c>
      <c r="E1070" t="inlineStr">
        <is>
          <t>SIGTUNA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12378-2025</t>
        </is>
      </c>
      <c r="B1071" s="1" t="n">
        <v>45730.38032407407</v>
      </c>
      <c r="C1071" s="1" t="n">
        <v>46089</v>
      </c>
      <c r="D1071" t="inlineStr">
        <is>
          <t>STOCKHOLMS LÄN</t>
        </is>
      </c>
      <c r="E1071" t="inlineStr">
        <is>
          <t>UPPLANDS-BRO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41702-2025</t>
        </is>
      </c>
      <c r="B1072" s="1" t="n">
        <v>45902.41623842593</v>
      </c>
      <c r="C1072" s="1" t="n">
        <v>46089</v>
      </c>
      <c r="D1072" t="inlineStr">
        <is>
          <t>STOCKHOLMS LÄN</t>
        </is>
      </c>
      <c r="E1072" t="inlineStr">
        <is>
          <t>SÖDERTÄLJE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41693-2022</t>
        </is>
      </c>
      <c r="B1073" s="1" t="n">
        <v>44827</v>
      </c>
      <c r="C1073" s="1" t="n">
        <v>46089</v>
      </c>
      <c r="D1073" t="inlineStr">
        <is>
          <t>STOCKHOLMS LÄN</t>
        </is>
      </c>
      <c r="E1073" t="inlineStr">
        <is>
          <t>SIGTUNA</t>
        </is>
      </c>
      <c r="F1073" t="inlineStr">
        <is>
          <t>Allmännings- och besparingsskogar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27589-2025</t>
        </is>
      </c>
      <c r="B1074" s="1" t="n">
        <v>45813.51070601852</v>
      </c>
      <c r="C1074" s="1" t="n">
        <v>46089</v>
      </c>
      <c r="D1074" t="inlineStr">
        <is>
          <t>STOCKHOLMS LÄN</t>
        </is>
      </c>
      <c r="E1074" t="inlineStr">
        <is>
          <t>HUDDINGE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27596-2025</t>
        </is>
      </c>
      <c r="B1075" s="1" t="n">
        <v>45813.52303240741</v>
      </c>
      <c r="C1075" s="1" t="n">
        <v>46089</v>
      </c>
      <c r="D1075" t="inlineStr">
        <is>
          <t>STOCKHOLMS LÄN</t>
        </is>
      </c>
      <c r="E1075" t="inlineStr">
        <is>
          <t>HANINGE</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1071-2023</t>
        </is>
      </c>
      <c r="B1076" s="1" t="n">
        <v>44935</v>
      </c>
      <c r="C1076" s="1" t="n">
        <v>46089</v>
      </c>
      <c r="D1076" t="inlineStr">
        <is>
          <t>STOCKHOLMS LÄN</t>
        </is>
      </c>
      <c r="E1076" t="inlineStr">
        <is>
          <t>SALEM</t>
        </is>
      </c>
      <c r="F1076" t="inlineStr">
        <is>
          <t>Kommuner</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27137-2025</t>
        </is>
      </c>
      <c r="B1077" s="1" t="n">
        <v>45811.95890046296</v>
      </c>
      <c r="C1077" s="1" t="n">
        <v>46089</v>
      </c>
      <c r="D1077" t="inlineStr">
        <is>
          <t>STOCKHOLMS LÄN</t>
        </is>
      </c>
      <c r="E1077" t="inlineStr">
        <is>
          <t>ÖSTERÅKER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46089</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41964-2025</t>
        </is>
      </c>
      <c r="B1079" s="1" t="n">
        <v>45903.47270833333</v>
      </c>
      <c r="C1079" s="1" t="n">
        <v>46089</v>
      </c>
      <c r="D1079" t="inlineStr">
        <is>
          <t>STOCKHOLMS LÄN</t>
        </is>
      </c>
      <c r="E1079" t="inlineStr">
        <is>
          <t>NORRTÄLJE</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9020-2023</t>
        </is>
      </c>
      <c r="B1080" s="1" t="n">
        <v>44979</v>
      </c>
      <c r="C1080" s="1" t="n">
        <v>46089</v>
      </c>
      <c r="D1080" t="inlineStr">
        <is>
          <t>STOCKHOLMS LÄN</t>
        </is>
      </c>
      <c r="E1080" t="inlineStr">
        <is>
          <t>NYNÄSHAMN</t>
        </is>
      </c>
      <c r="F1080" t="inlineStr">
        <is>
          <t>Kommuner</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18848-2024</t>
        </is>
      </c>
      <c r="B1081" s="1" t="n">
        <v>45426.68278935185</v>
      </c>
      <c r="C1081" s="1" t="n">
        <v>46089</v>
      </c>
      <c r="D1081" t="inlineStr">
        <is>
          <t>STOCKHOLMS LÄN</t>
        </is>
      </c>
      <c r="E1081" t="inlineStr">
        <is>
          <t>NYKVARN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27700-2025</t>
        </is>
      </c>
      <c r="B1082" s="1" t="n">
        <v>45813.6799537037</v>
      </c>
      <c r="C1082" s="1" t="n">
        <v>46089</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27697-2025</t>
        </is>
      </c>
      <c r="B1083" s="1" t="n">
        <v>45813.66961805556</v>
      </c>
      <c r="C1083" s="1" t="n">
        <v>46089</v>
      </c>
      <c r="D1083" t="inlineStr">
        <is>
          <t>STOCKHOLMS LÄN</t>
        </is>
      </c>
      <c r="E1083" t="inlineStr">
        <is>
          <t>NORRTÄLJE</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27802-2025</t>
        </is>
      </c>
      <c r="B1084" s="1" t="n">
        <v>45817.2565625</v>
      </c>
      <c r="C1084" s="1" t="n">
        <v>46089</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27806-2025</t>
        </is>
      </c>
      <c r="B1085" s="1" t="n">
        <v>45817.30329861111</v>
      </c>
      <c r="C1085" s="1" t="n">
        <v>46089</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27808-2025</t>
        </is>
      </c>
      <c r="B1086" s="1" t="n">
        <v>45817.31085648148</v>
      </c>
      <c r="C1086" s="1" t="n">
        <v>46089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27810-2025</t>
        </is>
      </c>
      <c r="B1087" s="1" t="n">
        <v>45817.31708333334</v>
      </c>
      <c r="C1087" s="1" t="n">
        <v>46089</v>
      </c>
      <c r="D1087" t="inlineStr">
        <is>
          <t>STOCKHOLMS LÄN</t>
        </is>
      </c>
      <c r="E1087" t="inlineStr">
        <is>
          <t>NORRTÄLJE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27811-2025</t>
        </is>
      </c>
      <c r="B1088" s="1" t="n">
        <v>45817.31986111111</v>
      </c>
      <c r="C1088" s="1" t="n">
        <v>46089</v>
      </c>
      <c r="D1088" t="inlineStr">
        <is>
          <t>STOCKHOLMS LÄN</t>
        </is>
      </c>
      <c r="E1088" t="inlineStr">
        <is>
          <t>NORRTÄLJE</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27818-2025</t>
        </is>
      </c>
      <c r="B1089" s="1" t="n">
        <v>45817.33503472222</v>
      </c>
      <c r="C1089" s="1" t="n">
        <v>46089</v>
      </c>
      <c r="D1089" t="inlineStr">
        <is>
          <t>STOCKHOLMS LÄN</t>
        </is>
      </c>
      <c r="E1089" t="inlineStr">
        <is>
          <t>NORRTÄLJE</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27948-2025</t>
        </is>
      </c>
      <c r="B1090" s="1" t="n">
        <v>45817.52460648148</v>
      </c>
      <c r="C1090" s="1" t="n">
        <v>46089</v>
      </c>
      <c r="D1090" t="inlineStr">
        <is>
          <t>STOCKHOLMS LÄN</t>
        </is>
      </c>
      <c r="E1090" t="inlineStr">
        <is>
          <t>ÖSTERÅKER</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30699-2025</t>
        </is>
      </c>
      <c r="B1091" s="1" t="n">
        <v>45831.54618055555</v>
      </c>
      <c r="C1091" s="1" t="n">
        <v>46089</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26644-2024</t>
        </is>
      </c>
      <c r="B1092" s="1" t="n">
        <v>45469</v>
      </c>
      <c r="C1092" s="1" t="n">
        <v>46089</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27801-2025</t>
        </is>
      </c>
      <c r="B1093" s="1" t="n">
        <v>45817.25471064815</v>
      </c>
      <c r="C1093" s="1" t="n">
        <v>46089</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53307-2023</t>
        </is>
      </c>
      <c r="B1094" s="1" t="n">
        <v>45229</v>
      </c>
      <c r="C1094" s="1" t="n">
        <v>46089</v>
      </c>
      <c r="D1094" t="inlineStr">
        <is>
          <t>STOCKHOLMS LÄN</t>
        </is>
      </c>
      <c r="E1094" t="inlineStr">
        <is>
          <t>NYKVARN</t>
        </is>
      </c>
      <c r="F1094" t="inlineStr">
        <is>
          <t>Kyrkan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38595-2021</t>
        </is>
      </c>
      <c r="B1095" s="1" t="n">
        <v>44407</v>
      </c>
      <c r="C1095" s="1" t="n">
        <v>46089</v>
      </c>
      <c r="D1095" t="inlineStr">
        <is>
          <t>STOCKHOLMS LÄN</t>
        </is>
      </c>
      <c r="E1095" t="inlineStr">
        <is>
          <t>HANINGE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15905-2022</t>
        </is>
      </c>
      <c r="B1096" s="1" t="n">
        <v>44664</v>
      </c>
      <c r="C1096" s="1" t="n">
        <v>46089</v>
      </c>
      <c r="D1096" t="inlineStr">
        <is>
          <t>STOCKHOLMS LÄN</t>
        </is>
      </c>
      <c r="E1096" t="inlineStr">
        <is>
          <t>BOTKYRKA</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27803-2025</t>
        </is>
      </c>
      <c r="B1097" s="1" t="n">
        <v>45817.291875</v>
      </c>
      <c r="C1097" s="1" t="n">
        <v>46089</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27813-2025</t>
        </is>
      </c>
      <c r="B1098" s="1" t="n">
        <v>45817.32538194444</v>
      </c>
      <c r="C1098" s="1" t="n">
        <v>46089</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2982-2023</t>
        </is>
      </c>
      <c r="B1099" s="1" t="n">
        <v>44945.67409722223</v>
      </c>
      <c r="C1099" s="1" t="n">
        <v>46089</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27821-2025</t>
        </is>
      </c>
      <c r="B1100" s="1" t="n">
        <v>45817.34083333334</v>
      </c>
      <c r="C1100" s="1" t="n">
        <v>46089</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12535-2025</t>
        </is>
      </c>
      <c r="B1101" s="1" t="n">
        <v>45730.69502314815</v>
      </c>
      <c r="C1101" s="1" t="n">
        <v>46089</v>
      </c>
      <c r="D1101" t="inlineStr">
        <is>
          <t>STOCKHOLMS LÄN</t>
        </is>
      </c>
      <c r="E1101" t="inlineStr">
        <is>
          <t>NORRTÄLJE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8410-2026</t>
        </is>
      </c>
      <c r="B1102" s="1" t="n">
        <v>46065.34261574074</v>
      </c>
      <c r="C1102" s="1" t="n">
        <v>46089</v>
      </c>
      <c r="D1102" t="inlineStr">
        <is>
          <t>STOCKHOLMS LÄN</t>
        </is>
      </c>
      <c r="E1102" t="inlineStr">
        <is>
          <t>NORRTÄLJE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16483-2023</t>
        </is>
      </c>
      <c r="B1103" s="1" t="n">
        <v>45029</v>
      </c>
      <c r="C1103" s="1" t="n">
        <v>46089</v>
      </c>
      <c r="D1103" t="inlineStr">
        <is>
          <t>STOCKHOLMS LÄN</t>
        </is>
      </c>
      <c r="E1103" t="inlineStr">
        <is>
          <t>BOTKYRKA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37136-2023</t>
        </is>
      </c>
      <c r="B1104" s="1" t="n">
        <v>45155</v>
      </c>
      <c r="C1104" s="1" t="n">
        <v>46089</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20011-2025</t>
        </is>
      </c>
      <c r="B1105" s="1" t="n">
        <v>45772.29622685185</v>
      </c>
      <c r="C1105" s="1" t="n">
        <v>46089</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464-2022</t>
        </is>
      </c>
      <c r="B1106" s="1" t="n">
        <v>44565</v>
      </c>
      <c r="C1106" s="1" t="n">
        <v>46089</v>
      </c>
      <c r="D1106" t="inlineStr">
        <is>
          <t>STOCKHOLMS LÄN</t>
        </is>
      </c>
      <c r="E1106" t="inlineStr">
        <is>
          <t>ÖSTERÅKER</t>
        </is>
      </c>
      <c r="F1106" t="inlineStr">
        <is>
          <t>Övriga Aktiebolag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42856-2025</t>
        </is>
      </c>
      <c r="B1107" s="1" t="n">
        <v>45908</v>
      </c>
      <c r="C1107" s="1" t="n">
        <v>46089</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28598-2025</t>
        </is>
      </c>
      <c r="B1108" s="1" t="n">
        <v>45819.59659722223</v>
      </c>
      <c r="C1108" s="1" t="n">
        <v>46089</v>
      </c>
      <c r="D1108" t="inlineStr">
        <is>
          <t>STOCKHOLMS LÄN</t>
        </is>
      </c>
      <c r="E1108" t="inlineStr">
        <is>
          <t>NYKVARN</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28346-2025</t>
        </is>
      </c>
      <c r="B1109" s="1" t="n">
        <v>45818.70325231482</v>
      </c>
      <c r="C1109" s="1" t="n">
        <v>46089</v>
      </c>
      <c r="D1109" t="inlineStr">
        <is>
          <t>STOCKHOLMS LÄN</t>
        </is>
      </c>
      <c r="E1109" t="inlineStr">
        <is>
          <t>SÖDERTÄLJE</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18787-2022</t>
        </is>
      </c>
      <c r="B1110" s="1" t="n">
        <v>44687</v>
      </c>
      <c r="C1110" s="1" t="n">
        <v>46089</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13718-2022</t>
        </is>
      </c>
      <c r="B1111" s="1" t="n">
        <v>44649</v>
      </c>
      <c r="C1111" s="1" t="n">
        <v>46089</v>
      </c>
      <c r="D1111" t="inlineStr">
        <is>
          <t>STOCKHOLMS LÄN</t>
        </is>
      </c>
      <c r="E1111" t="inlineStr">
        <is>
          <t>NORRTÄLJE</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25621-2022</t>
        </is>
      </c>
      <c r="B1112" s="1" t="n">
        <v>44732</v>
      </c>
      <c r="C1112" s="1" t="n">
        <v>46089</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15528-2025</t>
        </is>
      </c>
      <c r="B1113" s="1" t="n">
        <v>45747.63471064815</v>
      </c>
      <c r="C1113" s="1" t="n">
        <v>46089</v>
      </c>
      <c r="D1113" t="inlineStr">
        <is>
          <t>STOCKHOLMS LÄN</t>
        </is>
      </c>
      <c r="E1113" t="inlineStr">
        <is>
          <t>NORRTÄLJE</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11901-2024</t>
        </is>
      </c>
      <c r="B1114" s="1" t="n">
        <v>45376.55638888889</v>
      </c>
      <c r="C1114" s="1" t="n">
        <v>46089</v>
      </c>
      <c r="D1114" t="inlineStr">
        <is>
          <t>STOCKHOLMS LÄN</t>
        </is>
      </c>
      <c r="E1114" t="inlineStr">
        <is>
          <t>NORRTÄLJE</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32092-2023</t>
        </is>
      </c>
      <c r="B1115" s="1" t="n">
        <v>45119</v>
      </c>
      <c r="C1115" s="1" t="n">
        <v>46089</v>
      </c>
      <c r="D1115" t="inlineStr">
        <is>
          <t>STOCKHOLMS LÄN</t>
        </is>
      </c>
      <c r="E1115" t="inlineStr">
        <is>
          <t>NYNÄSHAMN</t>
        </is>
      </c>
      <c r="F1115" t="inlineStr">
        <is>
          <t>Kommuner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36269-2022</t>
        </is>
      </c>
      <c r="B1116" s="1" t="n">
        <v>44803</v>
      </c>
      <c r="C1116" s="1" t="n">
        <v>46089</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36308-2022</t>
        </is>
      </c>
      <c r="B1117" s="1" t="n">
        <v>44803</v>
      </c>
      <c r="C1117" s="1" t="n">
        <v>46089</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6919-2025</t>
        </is>
      </c>
      <c r="B1118" s="1" t="n">
        <v>45701.44372685185</v>
      </c>
      <c r="C1118" s="1" t="n">
        <v>46089</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32100-2022</t>
        </is>
      </c>
      <c r="B1119" s="1" t="n">
        <v>44778</v>
      </c>
      <c r="C1119" s="1" t="n">
        <v>46089</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28607-2025</t>
        </is>
      </c>
      <c r="B1120" s="1" t="n">
        <v>45819.60226851852</v>
      </c>
      <c r="C1120" s="1" t="n">
        <v>46089</v>
      </c>
      <c r="D1120" t="inlineStr">
        <is>
          <t>STOCKHOLMS LÄN</t>
        </is>
      </c>
      <c r="E1120" t="inlineStr">
        <is>
          <t>NYKVARN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11332-2025</t>
        </is>
      </c>
      <c r="B1121" s="1" t="n">
        <v>45726.48152777777</v>
      </c>
      <c r="C1121" s="1" t="n">
        <v>46089</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37444-2021</t>
        </is>
      </c>
      <c r="B1122" s="1" t="n">
        <v>44398</v>
      </c>
      <c r="C1122" s="1" t="n">
        <v>46089</v>
      </c>
      <c r="D1122" t="inlineStr">
        <is>
          <t>STOCKHOLMS LÄN</t>
        </is>
      </c>
      <c r="E1122" t="inlineStr">
        <is>
          <t>NORRTÄLJE</t>
        </is>
      </c>
      <c r="F1122" t="inlineStr">
        <is>
          <t>Holmen skog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30886-2022</t>
        </is>
      </c>
      <c r="B1123" s="1" t="n">
        <v>44767.60601851852</v>
      </c>
      <c r="C1123" s="1" t="n">
        <v>46089</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50184-2023</t>
        </is>
      </c>
      <c r="B1124" s="1" t="n">
        <v>45208</v>
      </c>
      <c r="C1124" s="1" t="n">
        <v>46089</v>
      </c>
      <c r="D1124" t="inlineStr">
        <is>
          <t>STOCKHOLMS LÄN</t>
        </is>
      </c>
      <c r="E1124" t="inlineStr">
        <is>
          <t>EKERÖ</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9654-2022</t>
        </is>
      </c>
      <c r="B1125" s="1" t="n">
        <v>44617</v>
      </c>
      <c r="C1125" s="1" t="n">
        <v>46089</v>
      </c>
      <c r="D1125" t="inlineStr">
        <is>
          <t>STOCKHOLMS LÄN</t>
        </is>
      </c>
      <c r="E1125" t="inlineStr">
        <is>
          <t>NORRTÄLJE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44075-2023</t>
        </is>
      </c>
      <c r="B1126" s="1" t="n">
        <v>45188.41637731482</v>
      </c>
      <c r="C1126" s="1" t="n">
        <v>46089</v>
      </c>
      <c r="D1126" t="inlineStr">
        <is>
          <t>STOCKHOLMS LÄN</t>
        </is>
      </c>
      <c r="E1126" t="inlineStr">
        <is>
          <t>NORRTÄLJE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24835-2025</t>
        </is>
      </c>
      <c r="B1127" s="1" t="n">
        <v>45799</v>
      </c>
      <c r="C1127" s="1" t="n">
        <v>46089</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1453-2025</t>
        </is>
      </c>
      <c r="B1128" s="1" t="n">
        <v>45670.3079050926</v>
      </c>
      <c r="C1128" s="1" t="n">
        <v>46089</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5804-2025</t>
        </is>
      </c>
      <c r="B1129" s="1" t="n">
        <v>45694.68207175926</v>
      </c>
      <c r="C1129" s="1" t="n">
        <v>46089</v>
      </c>
      <c r="D1129" t="inlineStr">
        <is>
          <t>STOCKHOLMS LÄN</t>
        </is>
      </c>
      <c r="E1129" t="inlineStr">
        <is>
          <t>NORRTÄLJE</t>
        </is>
      </c>
      <c r="F1129" t="inlineStr">
        <is>
          <t>Holmen skog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43169-2025</t>
        </is>
      </c>
      <c r="B1130" s="1" t="n">
        <v>45910</v>
      </c>
      <c r="C1130" s="1" t="n">
        <v>46089</v>
      </c>
      <c r="D1130" t="inlineStr">
        <is>
          <t>STOCKHOLMS LÄN</t>
        </is>
      </c>
      <c r="E1130" t="inlineStr">
        <is>
          <t>NORRTÄLJE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12363-2025</t>
        </is>
      </c>
      <c r="B1131" s="1" t="n">
        <v>45730.37431712963</v>
      </c>
      <c r="C1131" s="1" t="n">
        <v>46089</v>
      </c>
      <c r="D1131" t="inlineStr">
        <is>
          <t>STOCKHOLMS LÄN</t>
        </is>
      </c>
      <c r="E1131" t="inlineStr">
        <is>
          <t>UPPLANDS-BRO</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50907-2022</t>
        </is>
      </c>
      <c r="B1132" s="1" t="n">
        <v>44867.62090277778</v>
      </c>
      <c r="C1132" s="1" t="n">
        <v>46089</v>
      </c>
      <c r="D1132" t="inlineStr">
        <is>
          <t>STOCKHOLMS LÄN</t>
        </is>
      </c>
      <c r="E1132" t="inlineStr">
        <is>
          <t>NORRTÄLJE</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28981-2023</t>
        </is>
      </c>
      <c r="B1133" s="1" t="n">
        <v>45104</v>
      </c>
      <c r="C1133" s="1" t="n">
        <v>46089</v>
      </c>
      <c r="D1133" t="inlineStr">
        <is>
          <t>STOCKHOLMS LÄN</t>
        </is>
      </c>
      <c r="E1133" t="inlineStr">
        <is>
          <t>SÖDERTÄLJE</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29003-2023</t>
        </is>
      </c>
      <c r="B1134" s="1" t="n">
        <v>45104</v>
      </c>
      <c r="C1134" s="1" t="n">
        <v>46089</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8454-2026</t>
        </is>
      </c>
      <c r="B1135" s="1" t="n">
        <v>46065.42506944444</v>
      </c>
      <c r="C1135" s="1" t="n">
        <v>46089</v>
      </c>
      <c r="D1135" t="inlineStr">
        <is>
          <t>STOCKHOLMS LÄN</t>
        </is>
      </c>
      <c r="E1135" t="inlineStr">
        <is>
          <t>NORRTÄLJE</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33295-2023</t>
        </is>
      </c>
      <c r="B1136" s="1" t="n">
        <v>45127.69371527778</v>
      </c>
      <c r="C1136" s="1" t="n">
        <v>46089</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14127-2025</t>
        </is>
      </c>
      <c r="B1137" s="1" t="n">
        <v>45740.47055555556</v>
      </c>
      <c r="C1137" s="1" t="n">
        <v>46089</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16980-2023</t>
        </is>
      </c>
      <c r="B1138" s="1" t="n">
        <v>45033</v>
      </c>
      <c r="C1138" s="1" t="n">
        <v>46089</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30719-2025</t>
        </is>
      </c>
      <c r="B1139" s="1" t="n">
        <v>45831</v>
      </c>
      <c r="C1139" s="1" t="n">
        <v>46089</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43269-2025</t>
        </is>
      </c>
      <c r="B1140" s="1" t="n">
        <v>45910.5819212963</v>
      </c>
      <c r="C1140" s="1" t="n">
        <v>46089</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12562-2023</t>
        </is>
      </c>
      <c r="B1141" s="1" t="n">
        <v>45000</v>
      </c>
      <c r="C1141" s="1" t="n">
        <v>46089</v>
      </c>
      <c r="D1141" t="inlineStr">
        <is>
          <t>STOCKHOLMS LÄN</t>
        </is>
      </c>
      <c r="E1141" t="inlineStr">
        <is>
          <t>VALLENTUNA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32595-2023</t>
        </is>
      </c>
      <c r="B1142" s="1" t="n">
        <v>45121</v>
      </c>
      <c r="C1142" s="1" t="n">
        <v>46089</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29336-2025</t>
        </is>
      </c>
      <c r="B1143" s="1" t="n">
        <v>45824.49658564815</v>
      </c>
      <c r="C1143" s="1" t="n">
        <v>46089</v>
      </c>
      <c r="D1143" t="inlineStr">
        <is>
          <t>STOCKHOLMS LÄN</t>
        </is>
      </c>
      <c r="E1143" t="inlineStr">
        <is>
          <t>SÖDERTÄLJE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29811-2025</t>
        </is>
      </c>
      <c r="B1144" s="1" t="n">
        <v>45825</v>
      </c>
      <c r="C1144" s="1" t="n">
        <v>46089</v>
      </c>
      <c r="D1144" t="inlineStr">
        <is>
          <t>STOCKHOLMS LÄN</t>
        </is>
      </c>
      <c r="E1144" t="inlineStr">
        <is>
          <t>NYNÄSHAMN</t>
        </is>
      </c>
      <c r="F1144" t="inlineStr">
        <is>
          <t>Övriga statliga verk och myndigheter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29193-2025</t>
        </is>
      </c>
      <c r="B1145" s="1" t="n">
        <v>45822.70847222222</v>
      </c>
      <c r="C1145" s="1" t="n">
        <v>46089</v>
      </c>
      <c r="D1145" t="inlineStr">
        <is>
          <t>STOCKHOLMS LÄN</t>
        </is>
      </c>
      <c r="E1145" t="inlineStr">
        <is>
          <t>SIGTUNA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14480-2024</t>
        </is>
      </c>
      <c r="B1146" s="1" t="n">
        <v>45394.56777777777</v>
      </c>
      <c r="C1146" s="1" t="n">
        <v>46089</v>
      </c>
      <c r="D1146" t="inlineStr">
        <is>
          <t>STOCKHOLMS LÄN</t>
        </is>
      </c>
      <c r="E1146" t="inlineStr">
        <is>
          <t>VALLENTUNA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29770-2025</t>
        </is>
      </c>
      <c r="B1147" s="1" t="n">
        <v>45825.62880787037</v>
      </c>
      <c r="C1147" s="1" t="n">
        <v>46089</v>
      </c>
      <c r="D1147" t="inlineStr">
        <is>
          <t>STOCKHOLMS LÄN</t>
        </is>
      </c>
      <c r="E1147" t="inlineStr">
        <is>
          <t>SÖDERTÄLJE</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8465-2026</t>
        </is>
      </c>
      <c r="B1148" s="1" t="n">
        <v>46065.44141203703</v>
      </c>
      <c r="C1148" s="1" t="n">
        <v>46089</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37550-2022</t>
        </is>
      </c>
      <c r="B1149" s="1" t="n">
        <v>44809</v>
      </c>
      <c r="C1149" s="1" t="n">
        <v>46089</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43916-2025</t>
        </is>
      </c>
      <c r="B1150" s="1" t="n">
        <v>45914.78884259259</v>
      </c>
      <c r="C1150" s="1" t="n">
        <v>46089</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29250-2025</t>
        </is>
      </c>
      <c r="B1151" s="1" t="n">
        <v>45824.37275462963</v>
      </c>
      <c r="C1151" s="1" t="n">
        <v>46089</v>
      </c>
      <c r="D1151" t="inlineStr">
        <is>
          <t>STOCKHOLMS LÄN</t>
        </is>
      </c>
      <c r="E1151" t="inlineStr">
        <is>
          <t>NORRTÄLJE</t>
        </is>
      </c>
      <c r="F1151" t="inlineStr">
        <is>
          <t>Sveaskog</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17340-2025</t>
        </is>
      </c>
      <c r="B1152" s="1" t="n">
        <v>45756</v>
      </c>
      <c r="C1152" s="1" t="n">
        <v>46089</v>
      </c>
      <c r="D1152" t="inlineStr">
        <is>
          <t>STOCKHOLMS LÄN</t>
        </is>
      </c>
      <c r="E1152" t="inlineStr">
        <is>
          <t>VALLENTUNA</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46089</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34713-2025</t>
        </is>
      </c>
      <c r="B1154" s="1" t="n">
        <v>45848</v>
      </c>
      <c r="C1154" s="1" t="n">
        <v>46089</v>
      </c>
      <c r="D1154" t="inlineStr">
        <is>
          <t>STOCKHOLMS LÄN</t>
        </is>
      </c>
      <c r="E1154" t="inlineStr">
        <is>
          <t>ÖSTERÅKER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197-2026</t>
        </is>
      </c>
      <c r="B1155" s="1" t="n">
        <v>46026</v>
      </c>
      <c r="C1155" s="1" t="n">
        <v>46089</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234-2026</t>
        </is>
      </c>
      <c r="B1156" s="1" t="n">
        <v>46027.36018518519</v>
      </c>
      <c r="C1156" s="1" t="n">
        <v>46089</v>
      </c>
      <c r="D1156" t="inlineStr">
        <is>
          <t>STOCKHOLMS LÄN</t>
        </is>
      </c>
      <c r="E1156" t="inlineStr">
        <is>
          <t>SÖDERTÄLJE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243-2026</t>
        </is>
      </c>
      <c r="B1157" s="1" t="n">
        <v>46027.39109953704</v>
      </c>
      <c r="C1157" s="1" t="n">
        <v>46089</v>
      </c>
      <c r="D1157" t="inlineStr">
        <is>
          <t>STOCKHOLMS LÄN</t>
        </is>
      </c>
      <c r="E1157" t="inlineStr">
        <is>
          <t>SÖDERTÄLJE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48161-2022</t>
        </is>
      </c>
      <c r="B1158" s="1" t="n">
        <v>44858</v>
      </c>
      <c r="C1158" s="1" t="n">
        <v>46089</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48798-2021</t>
        </is>
      </c>
      <c r="B1159" s="1" t="n">
        <v>44452</v>
      </c>
      <c r="C1159" s="1" t="n">
        <v>46089</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16615-2024</t>
        </is>
      </c>
      <c r="B1160" s="1" t="n">
        <v>45408</v>
      </c>
      <c r="C1160" s="1" t="n">
        <v>46089</v>
      </c>
      <c r="D1160" t="inlineStr">
        <is>
          <t>STOCKHOLMS LÄN</t>
        </is>
      </c>
      <c r="E1160" t="inlineStr">
        <is>
          <t>SÖDERTÄLJE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44354-2025</t>
        </is>
      </c>
      <c r="B1161" s="1" t="n">
        <v>45916.44655092592</v>
      </c>
      <c r="C1161" s="1" t="n">
        <v>46089</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124-2026</t>
        </is>
      </c>
      <c r="B1162" s="1" t="n">
        <v>46024.58378472222</v>
      </c>
      <c r="C1162" s="1" t="n">
        <v>46089</v>
      </c>
      <c r="D1162" t="inlineStr">
        <is>
          <t>STOCKHOLMS LÄN</t>
        </is>
      </c>
      <c r="E1162" t="inlineStr">
        <is>
          <t>NORRTÄLJE</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12111-2021</t>
        </is>
      </c>
      <c r="B1163" s="1" t="n">
        <v>44266</v>
      </c>
      <c r="C1163" s="1" t="n">
        <v>46089</v>
      </c>
      <c r="D1163" t="inlineStr">
        <is>
          <t>STOCKHOLMS LÄN</t>
        </is>
      </c>
      <c r="E1163" t="inlineStr">
        <is>
          <t>NORRTÄLJE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50934-2024</t>
        </is>
      </c>
      <c r="B1164" s="1" t="n">
        <v>45602</v>
      </c>
      <c r="C1164" s="1" t="n">
        <v>46089</v>
      </c>
      <c r="D1164" t="inlineStr">
        <is>
          <t>STOCKHOLMS LÄN</t>
        </is>
      </c>
      <c r="E1164" t="inlineStr">
        <is>
          <t>UPPLANDS VÄSBY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54776-2023</t>
        </is>
      </c>
      <c r="B1165" s="1" t="n">
        <v>45236.46369212963</v>
      </c>
      <c r="C1165" s="1" t="n">
        <v>46089</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6857-2022</t>
        </is>
      </c>
      <c r="B1166" s="1" t="n">
        <v>44602.69712962963</v>
      </c>
      <c r="C1166" s="1" t="n">
        <v>46089</v>
      </c>
      <c r="D1166" t="inlineStr">
        <is>
          <t>STOCKHOLMS LÄN</t>
        </is>
      </c>
      <c r="E1166" t="inlineStr">
        <is>
          <t>NYKVARN</t>
        </is>
      </c>
      <c r="F1166" t="inlineStr">
        <is>
          <t>Kommuner</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32458-2023</t>
        </is>
      </c>
      <c r="B1167" s="1" t="n">
        <v>45120</v>
      </c>
      <c r="C1167" s="1" t="n">
        <v>46089</v>
      </c>
      <c r="D1167" t="inlineStr">
        <is>
          <t>STOCKHOLMS LÄN</t>
        </is>
      </c>
      <c r="E1167" t="inlineStr">
        <is>
          <t>VÄRMDÖ</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61360-2022</t>
        </is>
      </c>
      <c r="B1168" s="1" t="n">
        <v>44915</v>
      </c>
      <c r="C1168" s="1" t="n">
        <v>46089</v>
      </c>
      <c r="D1168" t="inlineStr">
        <is>
          <t>STOCKHOLMS LÄN</t>
        </is>
      </c>
      <c r="E1168" t="inlineStr">
        <is>
          <t>ÖSTERÅKER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57442-2021</t>
        </is>
      </c>
      <c r="B1169" s="1" t="n">
        <v>44483</v>
      </c>
      <c r="C1169" s="1" t="n">
        <v>46089</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46089</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44343-2025</t>
        </is>
      </c>
      <c r="B1171" s="1" t="n">
        <v>45916.43378472222</v>
      </c>
      <c r="C1171" s="1" t="n">
        <v>46089</v>
      </c>
      <c r="D1171" t="inlineStr">
        <is>
          <t>STOCKHOLMS LÄN</t>
        </is>
      </c>
      <c r="E1171" t="inlineStr">
        <is>
          <t>NORRTÄLJE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44349-2025</t>
        </is>
      </c>
      <c r="B1172" s="1" t="n">
        <v>45916.43929398148</v>
      </c>
      <c r="C1172" s="1" t="n">
        <v>46089</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12931-2022</t>
        </is>
      </c>
      <c r="B1173" s="1" t="n">
        <v>44642</v>
      </c>
      <c r="C1173" s="1" t="n">
        <v>46089</v>
      </c>
      <c r="D1173" t="inlineStr">
        <is>
          <t>STOCKHOLMS LÄN</t>
        </is>
      </c>
      <c r="E1173" t="inlineStr">
        <is>
          <t>SIGTUNA</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44311-2025</t>
        </is>
      </c>
      <c r="B1174" s="1" t="n">
        <v>45916.38394675926</v>
      </c>
      <c r="C1174" s="1" t="n">
        <v>46089</v>
      </c>
      <c r="D1174" t="inlineStr">
        <is>
          <t>STOCKHOLMS LÄN</t>
        </is>
      </c>
      <c r="E1174" t="inlineStr">
        <is>
          <t>NORRTÄLJE</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44333-2025</t>
        </is>
      </c>
      <c r="B1175" s="1" t="n">
        <v>45916.42293981482</v>
      </c>
      <c r="C1175" s="1" t="n">
        <v>46089</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30913-2021</t>
        </is>
      </c>
      <c r="B1176" s="1" t="n">
        <v>44365</v>
      </c>
      <c r="C1176" s="1" t="n">
        <v>46089</v>
      </c>
      <c r="D1176" t="inlineStr">
        <is>
          <t>STOCKHOLMS LÄN</t>
        </is>
      </c>
      <c r="E1176" t="inlineStr">
        <is>
          <t>VALLENTUNA</t>
        </is>
      </c>
      <c r="F1176" t="inlineStr">
        <is>
          <t>Övriga Aktiebolag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55952-2024</t>
        </is>
      </c>
      <c r="B1177" s="1" t="n">
        <v>45623.62563657408</v>
      </c>
      <c r="C1177" s="1" t="n">
        <v>46089</v>
      </c>
      <c r="D1177" t="inlineStr">
        <is>
          <t>STOCKHOLMS LÄN</t>
        </is>
      </c>
      <c r="E1177" t="inlineStr">
        <is>
          <t>NORRTÄLJE</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45496-2023</t>
        </is>
      </c>
      <c r="B1178" s="1" t="n">
        <v>45194</v>
      </c>
      <c r="C1178" s="1" t="n">
        <v>46089</v>
      </c>
      <c r="D1178" t="inlineStr">
        <is>
          <t>STOCKHOLMS LÄN</t>
        </is>
      </c>
      <c r="E1178" t="inlineStr">
        <is>
          <t>VALLENTUNA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8135-2025</t>
        </is>
      </c>
      <c r="B1179" s="1" t="n">
        <v>45707.84997685185</v>
      </c>
      <c r="C1179" s="1" t="n">
        <v>46089</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3383-2023</t>
        </is>
      </c>
      <c r="B1180" s="1" t="n">
        <v>44949</v>
      </c>
      <c r="C1180" s="1" t="n">
        <v>46089</v>
      </c>
      <c r="D1180" t="inlineStr">
        <is>
          <t>STOCKHOLMS LÄN</t>
        </is>
      </c>
      <c r="E1180" t="inlineStr">
        <is>
          <t>NORRTÄLJE</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13148-2021</t>
        </is>
      </c>
      <c r="B1181" s="1" t="n">
        <v>44272</v>
      </c>
      <c r="C1181" s="1" t="n">
        <v>46089</v>
      </c>
      <c r="D1181" t="inlineStr">
        <is>
          <t>STOCKHOLMS LÄN</t>
        </is>
      </c>
      <c r="E1181" t="inlineStr">
        <is>
          <t>NORRTÄLJE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46089</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23307-2024</t>
        </is>
      </c>
      <c r="B1183" s="1" t="n">
        <v>45453</v>
      </c>
      <c r="C1183" s="1" t="n">
        <v>46089</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29704-2023</t>
        </is>
      </c>
      <c r="B1184" s="1" t="n">
        <v>45107</v>
      </c>
      <c r="C1184" s="1" t="n">
        <v>46089</v>
      </c>
      <c r="D1184" t="inlineStr">
        <is>
          <t>STOCKHOLMS LÄN</t>
        </is>
      </c>
      <c r="E1184" t="inlineStr">
        <is>
          <t>VALLENTUNA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44937-2025</t>
        </is>
      </c>
      <c r="B1185" s="1" t="n">
        <v>45918</v>
      </c>
      <c r="C1185" s="1" t="n">
        <v>46089</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61323-2022</t>
        </is>
      </c>
      <c r="B1186" s="1" t="n">
        <v>44915</v>
      </c>
      <c r="C1186" s="1" t="n">
        <v>46089</v>
      </c>
      <c r="D1186" t="inlineStr">
        <is>
          <t>STOCKHOLMS LÄN</t>
        </is>
      </c>
      <c r="E1186" t="inlineStr">
        <is>
          <t>ÖSTERÅKER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36986-2025</t>
        </is>
      </c>
      <c r="B1187" s="1" t="n">
        <v>45874.65056712963</v>
      </c>
      <c r="C1187" s="1" t="n">
        <v>46089</v>
      </c>
      <c r="D1187" t="inlineStr">
        <is>
          <t>STOCKHOLMS LÄN</t>
        </is>
      </c>
      <c r="E1187" t="inlineStr">
        <is>
          <t>NYKVARN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44988-2025</t>
        </is>
      </c>
      <c r="B1188" s="1" t="n">
        <v>45918.65505787037</v>
      </c>
      <c r="C1188" s="1" t="n">
        <v>46089</v>
      </c>
      <c r="D1188" t="inlineStr">
        <is>
          <t>STOCKHOLMS LÄN</t>
        </is>
      </c>
      <c r="E1188" t="inlineStr">
        <is>
          <t>VALLENTUNA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23152-2021</t>
        </is>
      </c>
      <c r="B1189" s="1" t="n">
        <v>44332</v>
      </c>
      <c r="C1189" s="1" t="n">
        <v>46089</v>
      </c>
      <c r="D1189" t="inlineStr">
        <is>
          <t>STOCKHOLMS LÄN</t>
        </is>
      </c>
      <c r="E1189" t="inlineStr">
        <is>
          <t>NYKVARN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30639-2025</t>
        </is>
      </c>
      <c r="B1190" s="1" t="n">
        <v>45831.4844212963</v>
      </c>
      <c r="C1190" s="1" t="n">
        <v>46089</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30668-2025</t>
        </is>
      </c>
      <c r="B1191" s="1" t="n">
        <v>45831.51659722222</v>
      </c>
      <c r="C1191" s="1" t="n">
        <v>46089</v>
      </c>
      <c r="D1191" t="inlineStr">
        <is>
          <t>STOCKHOLMS LÄN</t>
        </is>
      </c>
      <c r="E1191" t="inlineStr">
        <is>
          <t>NORRTÄLJE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36148-2023</t>
        </is>
      </c>
      <c r="B1192" s="1" t="n">
        <v>45149</v>
      </c>
      <c r="C1192" s="1" t="n">
        <v>46089</v>
      </c>
      <c r="D1192" t="inlineStr">
        <is>
          <t>STOCKHOLMS LÄN</t>
        </is>
      </c>
      <c r="E1192" t="inlineStr">
        <is>
          <t>VÄRMDÖ</t>
        </is>
      </c>
      <c r="F1192" t="inlineStr">
        <is>
          <t>Övriga statliga verk och myndigheter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30902-2025</t>
        </is>
      </c>
      <c r="B1193" s="1" t="n">
        <v>45832.36104166666</v>
      </c>
      <c r="C1193" s="1" t="n">
        <v>46089</v>
      </c>
      <c r="D1193" t="inlineStr">
        <is>
          <t>STOCKHOLMS LÄN</t>
        </is>
      </c>
      <c r="E1193" t="inlineStr">
        <is>
          <t>VALLENTUNA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37085-2021</t>
        </is>
      </c>
      <c r="B1194" s="1" t="n">
        <v>44395</v>
      </c>
      <c r="C1194" s="1" t="n">
        <v>46089</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56428-2023</t>
        </is>
      </c>
      <c r="B1195" s="1" t="n">
        <v>45243.45289351852</v>
      </c>
      <c r="C1195" s="1" t="n">
        <v>46089</v>
      </c>
      <c r="D1195" t="inlineStr">
        <is>
          <t>STOCKHOLMS LÄN</t>
        </is>
      </c>
      <c r="E1195" t="inlineStr">
        <is>
          <t>NORRTÄLJE</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22359-2025</t>
        </is>
      </c>
      <c r="B1196" s="1" t="n">
        <v>45786</v>
      </c>
      <c r="C1196" s="1" t="n">
        <v>46089</v>
      </c>
      <c r="D1196" t="inlineStr">
        <is>
          <t>STOCKHOLMS LÄN</t>
        </is>
      </c>
      <c r="E1196" t="inlineStr">
        <is>
          <t>NORRTÄLJE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52101-2022</t>
        </is>
      </c>
      <c r="B1197" s="1" t="n">
        <v>44873</v>
      </c>
      <c r="C1197" s="1" t="n">
        <v>46089</v>
      </c>
      <c r="D1197" t="inlineStr">
        <is>
          <t>STOCKHOLMS LÄN</t>
        </is>
      </c>
      <c r="E1197" t="inlineStr">
        <is>
          <t>SÖDERTÄLJE</t>
        </is>
      </c>
      <c r="F1197" t="inlineStr">
        <is>
          <t>Kommuner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17556-2025</t>
        </is>
      </c>
      <c r="B1198" s="1" t="n">
        <v>45757.62482638889</v>
      </c>
      <c r="C1198" s="1" t="n">
        <v>46089</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31170-2025</t>
        </is>
      </c>
      <c r="B1199" s="1" t="n">
        <v>45832.66385416667</v>
      </c>
      <c r="C1199" s="1" t="n">
        <v>46089</v>
      </c>
      <c r="D1199" t="inlineStr">
        <is>
          <t>STOCKHOLMS LÄN</t>
        </is>
      </c>
      <c r="E1199" t="inlineStr">
        <is>
          <t>NORRTÄLJE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22080-2024</t>
        </is>
      </c>
      <c r="B1200" s="1" t="n">
        <v>45443.64962962963</v>
      </c>
      <c r="C1200" s="1" t="n">
        <v>46089</v>
      </c>
      <c r="D1200" t="inlineStr">
        <is>
          <t>STOCKHOLMS LÄN</t>
        </is>
      </c>
      <c r="E1200" t="inlineStr">
        <is>
          <t>ÖSTERÅKER</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31456-2025</t>
        </is>
      </c>
      <c r="B1201" s="1" t="n">
        <v>45833.5402662037</v>
      </c>
      <c r="C1201" s="1" t="n">
        <v>46089</v>
      </c>
      <c r="D1201" t="inlineStr">
        <is>
          <t>STOCKHOLMS LÄN</t>
        </is>
      </c>
      <c r="E1201" t="inlineStr">
        <is>
          <t>ÖSTERÅKER</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74170-2021</t>
        </is>
      </c>
      <c r="B1202" s="1" t="n">
        <v>44557</v>
      </c>
      <c r="C1202" s="1" t="n">
        <v>46089</v>
      </c>
      <c r="D1202" t="inlineStr">
        <is>
          <t>STOCKHOLMS LÄN</t>
        </is>
      </c>
      <c r="E1202" t="inlineStr">
        <is>
          <t>SIGTUNA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45697-2025</t>
        </is>
      </c>
      <c r="B1203" s="1" t="n">
        <v>45923.39877314815</v>
      </c>
      <c r="C1203" s="1" t="n">
        <v>46089</v>
      </c>
      <c r="D1203" t="inlineStr">
        <is>
          <t>STOCKHOLMS LÄN</t>
        </is>
      </c>
      <c r="E1203" t="inlineStr">
        <is>
          <t>NORRTÄLJE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31086-2025</t>
        </is>
      </c>
      <c r="B1204" s="1" t="n">
        <v>45832.59052083334</v>
      </c>
      <c r="C1204" s="1" t="n">
        <v>46089</v>
      </c>
      <c r="D1204" t="inlineStr">
        <is>
          <t>STOCKHOLMS LÄN</t>
        </is>
      </c>
      <c r="E1204" t="inlineStr">
        <is>
          <t>SÖDERTÄLJE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31607-2025</t>
        </is>
      </c>
      <c r="B1205" s="1" t="n">
        <v>45833</v>
      </c>
      <c r="C1205" s="1" t="n">
        <v>46089</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25754-2023</t>
        </is>
      </c>
      <c r="B1206" s="1" t="n">
        <v>45084</v>
      </c>
      <c r="C1206" s="1" t="n">
        <v>46089</v>
      </c>
      <c r="D1206" t="inlineStr">
        <is>
          <t>STOCKHOLMS LÄN</t>
        </is>
      </c>
      <c r="E1206" t="inlineStr">
        <is>
          <t>NYKVARN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42094-2023</t>
        </is>
      </c>
      <c r="B1207" s="1" t="n">
        <v>45177.61498842593</v>
      </c>
      <c r="C1207" s="1" t="n">
        <v>46089</v>
      </c>
      <c r="D1207" t="inlineStr">
        <is>
          <t>STOCKHOLMS LÄN</t>
        </is>
      </c>
      <c r="E1207" t="inlineStr">
        <is>
          <t>NORRTÄLJE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42133-2023</t>
        </is>
      </c>
      <c r="B1208" s="1" t="n">
        <v>45177.83136574074</v>
      </c>
      <c r="C1208" s="1" t="n">
        <v>46089</v>
      </c>
      <c r="D1208" t="inlineStr">
        <is>
          <t>STOCKHOLMS LÄN</t>
        </is>
      </c>
      <c r="E1208" t="inlineStr">
        <is>
          <t>SÖDERTÄLJE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46089</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31880-2025</t>
        </is>
      </c>
      <c r="B1210" s="1" t="n">
        <v>45834.65538194445</v>
      </c>
      <c r="C1210" s="1" t="n">
        <v>46089</v>
      </c>
      <c r="D1210" t="inlineStr">
        <is>
          <t>STOCKHOLMS LÄN</t>
        </is>
      </c>
      <c r="E1210" t="inlineStr">
        <is>
          <t>NORRTÄLJE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9103-2026</t>
        </is>
      </c>
      <c r="B1211" s="1" t="n">
        <v>46069.65039351852</v>
      </c>
      <c r="C1211" s="1" t="n">
        <v>46089</v>
      </c>
      <c r="D1211" t="inlineStr">
        <is>
          <t>STOCKHOLMS LÄN</t>
        </is>
      </c>
      <c r="E1211" t="inlineStr">
        <is>
          <t>NORRTÄLJE</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32122-2025</t>
        </is>
      </c>
      <c r="B1212" s="1" t="n">
        <v>45835.4928125</v>
      </c>
      <c r="C1212" s="1" t="n">
        <v>46089</v>
      </c>
      <c r="D1212" t="inlineStr">
        <is>
          <t>STOCKHOLMS LÄN</t>
        </is>
      </c>
      <c r="E1212" t="inlineStr">
        <is>
          <t>NORRTÄLJE</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27313-2023</t>
        </is>
      </c>
      <c r="B1213" s="1" t="n">
        <v>45096</v>
      </c>
      <c r="C1213" s="1" t="n">
        <v>46089</v>
      </c>
      <c r="D1213" t="inlineStr">
        <is>
          <t>STOCKHOLMS LÄN</t>
        </is>
      </c>
      <c r="E1213" t="inlineStr">
        <is>
          <t>UPPLANDS-BRO</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31868-2025</t>
        </is>
      </c>
      <c r="B1214" s="1" t="n">
        <v>45834.6447337963</v>
      </c>
      <c r="C1214" s="1" t="n">
        <v>46089</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46415-2025</t>
        </is>
      </c>
      <c r="B1215" s="1" t="n">
        <v>45925.58636574074</v>
      </c>
      <c r="C1215" s="1" t="n">
        <v>46089</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6413-2025</t>
        </is>
      </c>
      <c r="B1216" s="1" t="n">
        <v>45699.46283564815</v>
      </c>
      <c r="C1216" s="1" t="n">
        <v>46089</v>
      </c>
      <c r="D1216" t="inlineStr">
        <is>
          <t>STOCKHOLMS LÄN</t>
        </is>
      </c>
      <c r="E1216" t="inlineStr">
        <is>
          <t>NORRTÄLJE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32256-2025</t>
        </is>
      </c>
      <c r="B1217" s="1" t="n">
        <v>45835.6353125</v>
      </c>
      <c r="C1217" s="1" t="n">
        <v>46089</v>
      </c>
      <c r="D1217" t="inlineStr">
        <is>
          <t>STOCKHOLMS LÄN</t>
        </is>
      </c>
      <c r="E1217" t="inlineStr">
        <is>
          <t>VAXHOLM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46485-2025</t>
        </is>
      </c>
      <c r="B1218" s="1" t="n">
        <v>45925.70648148148</v>
      </c>
      <c r="C1218" s="1" t="n">
        <v>46089</v>
      </c>
      <c r="D1218" t="inlineStr">
        <is>
          <t>STOCKHOLMS LÄN</t>
        </is>
      </c>
      <c r="E1218" t="inlineStr">
        <is>
          <t>VÄRMDÖ</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37844-2022</t>
        </is>
      </c>
      <c r="B1219" s="1" t="n">
        <v>44810</v>
      </c>
      <c r="C1219" s="1" t="n">
        <v>46089</v>
      </c>
      <c r="D1219" t="inlineStr">
        <is>
          <t>STOCKHOLMS LÄN</t>
        </is>
      </c>
      <c r="E1219" t="inlineStr">
        <is>
          <t>SÖDERTÄLJE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32230-2025</t>
        </is>
      </c>
      <c r="B1220" s="1" t="n">
        <v>45835.59810185185</v>
      </c>
      <c r="C1220" s="1" t="n">
        <v>46089</v>
      </c>
      <c r="D1220" t="inlineStr">
        <is>
          <t>STOCKHOLMS LÄN</t>
        </is>
      </c>
      <c r="E1220" t="inlineStr">
        <is>
          <t>VÄRMDÖ</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32016-2025</t>
        </is>
      </c>
      <c r="B1221" s="1" t="n">
        <v>45835</v>
      </c>
      <c r="C1221" s="1" t="n">
        <v>46089</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8962-2026</t>
        </is>
      </c>
      <c r="B1222" s="1" t="n">
        <v>46069.41644675926</v>
      </c>
      <c r="C1222" s="1" t="n">
        <v>46089</v>
      </c>
      <c r="D1222" t="inlineStr">
        <is>
          <t>STOCKHOLMS LÄN</t>
        </is>
      </c>
      <c r="E1222" t="inlineStr">
        <is>
          <t>NORRTÄLJE</t>
        </is>
      </c>
      <c r="F1222" t="inlineStr">
        <is>
          <t>Holmen skog AB</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8989-2026</t>
        </is>
      </c>
      <c r="B1223" s="1" t="n">
        <v>46069.45789351852</v>
      </c>
      <c r="C1223" s="1" t="n">
        <v>46089</v>
      </c>
      <c r="D1223" t="inlineStr">
        <is>
          <t>STOCKHOLMS LÄN</t>
        </is>
      </c>
      <c r="E1223" t="inlineStr">
        <is>
          <t>NORRTÄLJE</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8370-2025</t>
        </is>
      </c>
      <c r="B1224" s="1" t="n">
        <v>45708</v>
      </c>
      <c r="C1224" s="1" t="n">
        <v>46089</v>
      </c>
      <c r="D1224" t="inlineStr">
        <is>
          <t>STOCKHOLMS LÄN</t>
        </is>
      </c>
      <c r="E1224" t="inlineStr">
        <is>
          <t>NORRTÄLJE</t>
        </is>
      </c>
      <c r="F1224" t="inlineStr">
        <is>
          <t>Övriga Aktiebolag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32555-2023</t>
        </is>
      </c>
      <c r="B1225" s="1" t="n">
        <v>45121.43032407408</v>
      </c>
      <c r="C1225" s="1" t="n">
        <v>46089</v>
      </c>
      <c r="D1225" t="inlineStr">
        <is>
          <t>STOCKHOLMS LÄN</t>
        </is>
      </c>
      <c r="E1225" t="inlineStr">
        <is>
          <t>NYKVARN</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32283-2025</t>
        </is>
      </c>
      <c r="B1226" s="1" t="n">
        <v>45835.68076388889</v>
      </c>
      <c r="C1226" s="1" t="n">
        <v>46089</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3299-2022</t>
        </is>
      </c>
      <c r="B1227" s="1" t="n">
        <v>44584.91001157407</v>
      </c>
      <c r="C1227" s="1" t="n">
        <v>46089</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16728-2022</t>
        </is>
      </c>
      <c r="B1228" s="1" t="n">
        <v>44673</v>
      </c>
      <c r="C1228" s="1" t="n">
        <v>46089</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10280-2025</t>
        </is>
      </c>
      <c r="B1229" s="1" t="n">
        <v>45720.40354166667</v>
      </c>
      <c r="C1229" s="1" t="n">
        <v>46089</v>
      </c>
      <c r="D1229" t="inlineStr">
        <is>
          <t>STOCKHOLMS LÄN</t>
        </is>
      </c>
      <c r="E1229" t="inlineStr">
        <is>
          <t>SÖDERTÄLJE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31874-2025</t>
        </is>
      </c>
      <c r="B1230" s="1" t="n">
        <v>45834</v>
      </c>
      <c r="C1230" s="1" t="n">
        <v>46089</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32094-2025</t>
        </is>
      </c>
      <c r="B1231" s="1" t="n">
        <v>45835.46034722222</v>
      </c>
      <c r="C1231" s="1" t="n">
        <v>46089</v>
      </c>
      <c r="D1231" t="inlineStr">
        <is>
          <t>STOCKHOLMS LÄN</t>
        </is>
      </c>
      <c r="E1231" t="inlineStr">
        <is>
          <t>NORRTÄLJE</t>
        </is>
      </c>
      <c r="F1231" t="inlineStr">
        <is>
          <t>Holmen skog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12348-2025</t>
        </is>
      </c>
      <c r="B1232" s="1" t="n">
        <v>45730.35026620371</v>
      </c>
      <c r="C1232" s="1" t="n">
        <v>46089</v>
      </c>
      <c r="D1232" t="inlineStr">
        <is>
          <t>STOCKHOLMS LÄN</t>
        </is>
      </c>
      <c r="E1232" t="inlineStr">
        <is>
          <t>NORRTÄLJE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46089</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46856-2025</t>
        </is>
      </c>
      <c r="B1234" s="1" t="n">
        <v>45928.88810185185</v>
      </c>
      <c r="C1234" s="1" t="n">
        <v>46089</v>
      </c>
      <c r="D1234" t="inlineStr">
        <is>
          <t>STOCKHOLMS LÄN</t>
        </is>
      </c>
      <c r="E1234" t="inlineStr">
        <is>
          <t>NYNÄSHAMN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46857-2025</t>
        </is>
      </c>
      <c r="B1235" s="1" t="n">
        <v>45928.89146990741</v>
      </c>
      <c r="C1235" s="1" t="n">
        <v>46089</v>
      </c>
      <c r="D1235" t="inlineStr">
        <is>
          <t>STOCKHOLMS LÄN</t>
        </is>
      </c>
      <c r="E1235" t="inlineStr">
        <is>
          <t>NYNÄSHAMN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63931-2021</t>
        </is>
      </c>
      <c r="B1236" s="1" t="n">
        <v>44509</v>
      </c>
      <c r="C1236" s="1" t="n">
        <v>46089</v>
      </c>
      <c r="D1236" t="inlineStr">
        <is>
          <t>STOCKHOLMS LÄN</t>
        </is>
      </c>
      <c r="E1236" t="inlineStr">
        <is>
          <t>NYNÄSHAMN</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46900-2025</t>
        </is>
      </c>
      <c r="B1237" s="1" t="n">
        <v>45929.38712962963</v>
      </c>
      <c r="C1237" s="1" t="n">
        <v>46089</v>
      </c>
      <c r="D1237" t="inlineStr">
        <is>
          <t>STOCKHOLMS LÄN</t>
        </is>
      </c>
      <c r="E1237" t="inlineStr">
        <is>
          <t>NORRTÄLJE</t>
        </is>
      </c>
      <c r="F1237" t="inlineStr">
        <is>
          <t>Holmen skog AB</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12874-2021</t>
        </is>
      </c>
      <c r="B1238" s="1" t="n">
        <v>44271.42787037037</v>
      </c>
      <c r="C1238" s="1" t="n">
        <v>46089</v>
      </c>
      <c r="D1238" t="inlineStr">
        <is>
          <t>STOCKHOLMS LÄN</t>
        </is>
      </c>
      <c r="E1238" t="inlineStr">
        <is>
          <t>SALEM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32962-2025</t>
        </is>
      </c>
      <c r="B1239" s="1" t="n">
        <v>45839</v>
      </c>
      <c r="C1239" s="1" t="n">
        <v>46089</v>
      </c>
      <c r="D1239" t="inlineStr">
        <is>
          <t>STOCKHOLMS LÄN</t>
        </is>
      </c>
      <c r="E1239" t="inlineStr">
        <is>
          <t>SALEM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33029-2025</t>
        </is>
      </c>
      <c r="B1240" s="1" t="n">
        <v>45839</v>
      </c>
      <c r="C1240" s="1" t="n">
        <v>46089</v>
      </c>
      <c r="D1240" t="inlineStr">
        <is>
          <t>STOCKHOLMS LÄN</t>
        </is>
      </c>
      <c r="E1240" t="inlineStr">
        <is>
          <t>SALEM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36886-2023</t>
        </is>
      </c>
      <c r="B1241" s="1" t="n">
        <v>45154</v>
      </c>
      <c r="C1241" s="1" t="n">
        <v>46089</v>
      </c>
      <c r="D1241" t="inlineStr">
        <is>
          <t>STOCKHOLMS LÄN</t>
        </is>
      </c>
      <c r="E1241" t="inlineStr">
        <is>
          <t>SÖDERTÄLJE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17545-2025</t>
        </is>
      </c>
      <c r="B1242" s="1" t="n">
        <v>45757.60658564815</v>
      </c>
      <c r="C1242" s="1" t="n">
        <v>46089</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33455-2025</t>
        </is>
      </c>
      <c r="B1243" s="1" t="n">
        <v>45839</v>
      </c>
      <c r="C1243" s="1" t="n">
        <v>46089</v>
      </c>
      <c r="D1243" t="inlineStr">
        <is>
          <t>STOCKHOLMS LÄN</t>
        </is>
      </c>
      <c r="E1243" t="inlineStr">
        <is>
          <t>SALEM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33243-2025</t>
        </is>
      </c>
      <c r="B1244" s="1" t="n">
        <v>45839</v>
      </c>
      <c r="C1244" s="1" t="n">
        <v>46089</v>
      </c>
      <c r="D1244" t="inlineStr">
        <is>
          <t>STOCKHOLMS LÄN</t>
        </is>
      </c>
      <c r="E1244" t="inlineStr">
        <is>
          <t>SALEM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33251-2025</t>
        </is>
      </c>
      <c r="B1245" s="1" t="n">
        <v>45839</v>
      </c>
      <c r="C1245" s="1" t="n">
        <v>46089</v>
      </c>
      <c r="D1245" t="inlineStr">
        <is>
          <t>STOCKHOLMS LÄN</t>
        </is>
      </c>
      <c r="E1245" t="inlineStr">
        <is>
          <t>SALEM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33277-2025</t>
        </is>
      </c>
      <c r="B1246" s="1" t="n">
        <v>45839</v>
      </c>
      <c r="C1246" s="1" t="n">
        <v>46089</v>
      </c>
      <c r="D1246" t="inlineStr">
        <is>
          <t>STOCKHOLMS LÄN</t>
        </is>
      </c>
      <c r="E1246" t="inlineStr">
        <is>
          <t>SALEM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32480-2025</t>
        </is>
      </c>
      <c r="B1247" s="1" t="n">
        <v>45838.43261574074</v>
      </c>
      <c r="C1247" s="1" t="n">
        <v>46089</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33284-2025</t>
        </is>
      </c>
      <c r="B1248" s="1" t="n">
        <v>45839</v>
      </c>
      <c r="C1248" s="1" t="n">
        <v>46089</v>
      </c>
      <c r="D1248" t="inlineStr">
        <is>
          <t>STOCKHOLMS LÄN</t>
        </is>
      </c>
      <c r="E1248" t="inlineStr">
        <is>
          <t>SALEM</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32960-2025</t>
        </is>
      </c>
      <c r="B1249" s="1" t="n">
        <v>45839</v>
      </c>
      <c r="C1249" s="1" t="n">
        <v>46089</v>
      </c>
      <c r="D1249" t="inlineStr">
        <is>
          <t>STOCKHOLMS LÄN</t>
        </is>
      </c>
      <c r="E1249" t="inlineStr">
        <is>
          <t>SALEM</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32968-2025</t>
        </is>
      </c>
      <c r="B1250" s="1" t="n">
        <v>45839</v>
      </c>
      <c r="C1250" s="1" t="n">
        <v>46089</v>
      </c>
      <c r="D1250" t="inlineStr">
        <is>
          <t>STOCKHOLMS LÄN</t>
        </is>
      </c>
      <c r="E1250" t="inlineStr">
        <is>
          <t>SALEM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32872-2025</t>
        </is>
      </c>
      <c r="B1251" s="1" t="n">
        <v>45839</v>
      </c>
      <c r="C1251" s="1" t="n">
        <v>46089</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25094-2023</t>
        </is>
      </c>
      <c r="B1252" s="1" t="n">
        <v>45086.3629050926</v>
      </c>
      <c r="C1252" s="1" t="n">
        <v>46089</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32903-2025</t>
        </is>
      </c>
      <c r="B1253" s="1" t="n">
        <v>45839.62398148148</v>
      </c>
      <c r="C1253" s="1" t="n">
        <v>46089</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36157-2024</t>
        </is>
      </c>
      <c r="B1254" s="1" t="n">
        <v>45534.38240740741</v>
      </c>
      <c r="C1254" s="1" t="n">
        <v>46089</v>
      </c>
      <c r="D1254" t="inlineStr">
        <is>
          <t>STOCKHOLMS LÄN</t>
        </is>
      </c>
      <c r="E1254" t="inlineStr">
        <is>
          <t>NORRTÄLJE</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32942-2025</t>
        </is>
      </c>
      <c r="B1255" s="1" t="n">
        <v>45839</v>
      </c>
      <c r="C1255" s="1" t="n">
        <v>46089</v>
      </c>
      <c r="D1255" t="inlineStr">
        <is>
          <t>STOCKHOLMS LÄN</t>
        </is>
      </c>
      <c r="E1255" t="inlineStr">
        <is>
          <t>SALEM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32952-2025</t>
        </is>
      </c>
      <c r="B1256" s="1" t="n">
        <v>45839.69278935185</v>
      </c>
      <c r="C1256" s="1" t="n">
        <v>46089</v>
      </c>
      <c r="D1256" t="inlineStr">
        <is>
          <t>STOCKHOLMS LÄN</t>
        </is>
      </c>
      <c r="E1256" t="inlineStr">
        <is>
          <t>HANINGE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32965-2025</t>
        </is>
      </c>
      <c r="B1257" s="1" t="n">
        <v>45839</v>
      </c>
      <c r="C1257" s="1" t="n">
        <v>46089</v>
      </c>
      <c r="D1257" t="inlineStr">
        <is>
          <t>STOCKHOLMS LÄN</t>
        </is>
      </c>
      <c r="E1257" t="inlineStr">
        <is>
          <t>SALEM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32970-2025</t>
        </is>
      </c>
      <c r="B1258" s="1" t="n">
        <v>45839</v>
      </c>
      <c r="C1258" s="1" t="n">
        <v>46089</v>
      </c>
      <c r="D1258" t="inlineStr">
        <is>
          <t>STOCKHOLMS LÄN</t>
        </is>
      </c>
      <c r="E1258" t="inlineStr">
        <is>
          <t>SALEM</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33281-2025</t>
        </is>
      </c>
      <c r="B1259" s="1" t="n">
        <v>45839</v>
      </c>
      <c r="C1259" s="1" t="n">
        <v>46089</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32395-2025</t>
        </is>
      </c>
      <c r="B1260" s="1" t="n">
        <v>45837.93730324074</v>
      </c>
      <c r="C1260" s="1" t="n">
        <v>46089</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32396-2025</t>
        </is>
      </c>
      <c r="B1261" s="1" t="n">
        <v>45837</v>
      </c>
      <c r="C1261" s="1" t="n">
        <v>46089</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32397-2025</t>
        </is>
      </c>
      <c r="B1262" s="1" t="n">
        <v>45837.94081018519</v>
      </c>
      <c r="C1262" s="1" t="n">
        <v>46089</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32953-2025</t>
        </is>
      </c>
      <c r="B1263" s="1" t="n">
        <v>45839</v>
      </c>
      <c r="C1263" s="1" t="n">
        <v>46089</v>
      </c>
      <c r="D1263" t="inlineStr">
        <is>
          <t>STOCKHOLMS LÄN</t>
        </is>
      </c>
      <c r="E1263" t="inlineStr">
        <is>
          <t>SALEM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32954-2025</t>
        </is>
      </c>
      <c r="B1264" s="1" t="n">
        <v>45839.70034722222</v>
      </c>
      <c r="C1264" s="1" t="n">
        <v>46089</v>
      </c>
      <c r="D1264" t="inlineStr">
        <is>
          <t>STOCKHOLMS LÄN</t>
        </is>
      </c>
      <c r="E1264" t="inlineStr">
        <is>
          <t>HANINGE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33470-2025</t>
        </is>
      </c>
      <c r="B1265" s="1" t="n">
        <v>45839</v>
      </c>
      <c r="C1265" s="1" t="n">
        <v>46089</v>
      </c>
      <c r="D1265" t="inlineStr">
        <is>
          <t>STOCKHOLMS LÄN</t>
        </is>
      </c>
      <c r="E1265" t="inlineStr">
        <is>
          <t>SALEM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33441-2025</t>
        </is>
      </c>
      <c r="B1266" s="1" t="n">
        <v>45839</v>
      </c>
      <c r="C1266" s="1" t="n">
        <v>46089</v>
      </c>
      <c r="D1266" t="inlineStr">
        <is>
          <t>STOCKHOLMS LÄN</t>
        </is>
      </c>
      <c r="E1266" t="inlineStr">
        <is>
          <t>SALEM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60324-2022</t>
        </is>
      </c>
      <c r="B1267" s="1" t="n">
        <v>44910.59086805556</v>
      </c>
      <c r="C1267" s="1" t="n">
        <v>46089</v>
      </c>
      <c r="D1267" t="inlineStr">
        <is>
          <t>STOCKHOLMS LÄN</t>
        </is>
      </c>
      <c r="E1267" t="inlineStr">
        <is>
          <t>NYKVARN</t>
        </is>
      </c>
      <c r="F1267" t="inlineStr">
        <is>
          <t>Kyrkan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64114-2023</t>
        </is>
      </c>
      <c r="B1268" s="1" t="n">
        <v>45279</v>
      </c>
      <c r="C1268" s="1" t="n">
        <v>46089</v>
      </c>
      <c r="D1268" t="inlineStr">
        <is>
          <t>STOCKHOLMS LÄN</t>
        </is>
      </c>
      <c r="E1268" t="inlineStr">
        <is>
          <t>UPPLANDS-BRO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47694-2023</t>
        </is>
      </c>
      <c r="B1269" s="1" t="n">
        <v>45203.63303240741</v>
      </c>
      <c r="C1269" s="1" t="n">
        <v>46089</v>
      </c>
      <c r="D1269" t="inlineStr">
        <is>
          <t>STOCKHOLMS LÄN</t>
        </is>
      </c>
      <c r="E1269" t="inlineStr">
        <is>
          <t>NORRTÄLJE</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35256-2025</t>
        </is>
      </c>
      <c r="B1270" s="1" t="n">
        <v>45853</v>
      </c>
      <c r="C1270" s="1" t="n">
        <v>46089</v>
      </c>
      <c r="D1270" t="inlineStr">
        <is>
          <t>STOCKHOLMS LÄN</t>
        </is>
      </c>
      <c r="E1270" t="inlineStr">
        <is>
          <t>NORRTÄLJE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35532-2024</t>
        </is>
      </c>
      <c r="B1271" s="1" t="n">
        <v>45531</v>
      </c>
      <c r="C1271" s="1" t="n">
        <v>46089</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33428-2025</t>
        </is>
      </c>
      <c r="B1272" s="1" t="n">
        <v>45839</v>
      </c>
      <c r="C1272" s="1" t="n">
        <v>46089</v>
      </c>
      <c r="D1272" t="inlineStr">
        <is>
          <t>STOCKHOLMS LÄN</t>
        </is>
      </c>
      <c r="E1272" t="inlineStr">
        <is>
          <t>SALEM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33439-2025</t>
        </is>
      </c>
      <c r="B1273" s="1" t="n">
        <v>45839</v>
      </c>
      <c r="C1273" s="1" t="n">
        <v>46089</v>
      </c>
      <c r="D1273" t="inlineStr">
        <is>
          <t>STOCKHOLMS LÄN</t>
        </is>
      </c>
      <c r="E1273" t="inlineStr">
        <is>
          <t>SALEM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33458-2025</t>
        </is>
      </c>
      <c r="B1274" s="1" t="n">
        <v>45839</v>
      </c>
      <c r="C1274" s="1" t="n">
        <v>46089</v>
      </c>
      <c r="D1274" t="inlineStr">
        <is>
          <t>STOCKHOLMS LÄN</t>
        </is>
      </c>
      <c r="E1274" t="inlineStr">
        <is>
          <t>SALEM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33460-2025</t>
        </is>
      </c>
      <c r="B1275" s="1" t="n">
        <v>45839</v>
      </c>
      <c r="C1275" s="1" t="n">
        <v>46089</v>
      </c>
      <c r="D1275" t="inlineStr">
        <is>
          <t>STOCKHOLMS LÄN</t>
        </is>
      </c>
      <c r="E1275" t="inlineStr">
        <is>
          <t>SALEM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33465-2025</t>
        </is>
      </c>
      <c r="B1276" s="1" t="n">
        <v>45839</v>
      </c>
      <c r="C1276" s="1" t="n">
        <v>46089</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32946-2025</t>
        </is>
      </c>
      <c r="B1277" s="1" t="n">
        <v>45839</v>
      </c>
      <c r="C1277" s="1" t="n">
        <v>46089</v>
      </c>
      <c r="D1277" t="inlineStr">
        <is>
          <t>STOCKHOLMS LÄN</t>
        </is>
      </c>
      <c r="E1277" t="inlineStr">
        <is>
          <t>SALEM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33421-2025</t>
        </is>
      </c>
      <c r="B1278" s="1" t="n">
        <v>45839</v>
      </c>
      <c r="C1278" s="1" t="n">
        <v>46089</v>
      </c>
      <c r="D1278" t="inlineStr">
        <is>
          <t>STOCKHOLMS LÄN</t>
        </is>
      </c>
      <c r="E1278" t="inlineStr">
        <is>
          <t>SALEM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33446-2025</t>
        </is>
      </c>
      <c r="B1279" s="1" t="n">
        <v>45839</v>
      </c>
      <c r="C1279" s="1" t="n">
        <v>46089</v>
      </c>
      <c r="D1279" t="inlineStr">
        <is>
          <t>STOCKHOLMS LÄN</t>
        </is>
      </c>
      <c r="E1279" t="inlineStr">
        <is>
          <t>SALEM</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1654-2025</t>
        </is>
      </c>
      <c r="B1280" s="1" t="n">
        <v>45670.65921296296</v>
      </c>
      <c r="C1280" s="1" t="n">
        <v>46089</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62644-2023</t>
        </is>
      </c>
      <c r="B1281" s="1" t="n">
        <v>45271</v>
      </c>
      <c r="C1281" s="1" t="n">
        <v>46089</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46818-2025</t>
        </is>
      </c>
      <c r="B1282" s="1" t="n">
        <v>45926.71837962963</v>
      </c>
      <c r="C1282" s="1" t="n">
        <v>46089</v>
      </c>
      <c r="D1282" t="inlineStr">
        <is>
          <t>STOCKHOLMS LÄN</t>
        </is>
      </c>
      <c r="E1282" t="inlineStr">
        <is>
          <t>NYNÄSHAMN</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33473-2025</t>
        </is>
      </c>
      <c r="B1283" s="1" t="n">
        <v>45839</v>
      </c>
      <c r="C1283" s="1" t="n">
        <v>46089</v>
      </c>
      <c r="D1283" t="inlineStr">
        <is>
          <t>STOCKHOLMS LÄN</t>
        </is>
      </c>
      <c r="E1283" t="inlineStr">
        <is>
          <t>SALEM</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1136-2023</t>
        </is>
      </c>
      <c r="B1284" s="1" t="n">
        <v>44935</v>
      </c>
      <c r="C1284" s="1" t="n">
        <v>46089</v>
      </c>
      <c r="D1284" t="inlineStr">
        <is>
          <t>STOCKHOLMS LÄN</t>
        </is>
      </c>
      <c r="E1284" t="inlineStr">
        <is>
          <t>ÖSTERÅKER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61710-2022</t>
        </is>
      </c>
      <c r="B1285" s="1" t="n">
        <v>44917</v>
      </c>
      <c r="C1285" s="1" t="n">
        <v>46089</v>
      </c>
      <c r="D1285" t="inlineStr">
        <is>
          <t>STOCKHOLMS LÄN</t>
        </is>
      </c>
      <c r="E1285" t="inlineStr">
        <is>
          <t>ÖSTERÅKER</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11229-2022</t>
        </is>
      </c>
      <c r="B1286" s="1" t="n">
        <v>44629</v>
      </c>
      <c r="C1286" s="1" t="n">
        <v>46089</v>
      </c>
      <c r="D1286" t="inlineStr">
        <is>
          <t>STOCKHOLMS LÄN</t>
        </is>
      </c>
      <c r="E1286" t="inlineStr">
        <is>
          <t>NORRTÄLJE</t>
        </is>
      </c>
      <c r="F1286" t="inlineStr">
        <is>
          <t>Övriga Aktiebolag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62013-2023</t>
        </is>
      </c>
      <c r="B1287" s="1" t="n">
        <v>45266</v>
      </c>
      <c r="C1287" s="1" t="n">
        <v>46089</v>
      </c>
      <c r="D1287" t="inlineStr">
        <is>
          <t>STOCKHOLMS LÄN</t>
        </is>
      </c>
      <c r="E1287" t="inlineStr">
        <is>
          <t>NYNÄSHAMN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62038-2023</t>
        </is>
      </c>
      <c r="B1288" s="1" t="n">
        <v>45266</v>
      </c>
      <c r="C1288" s="1" t="n">
        <v>46089</v>
      </c>
      <c r="D1288" t="inlineStr">
        <is>
          <t>STOCKHOLMS LÄN</t>
        </is>
      </c>
      <c r="E1288" t="inlineStr">
        <is>
          <t>NYNÄSHAMN</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33702-2025</t>
        </is>
      </c>
      <c r="B1289" s="1" t="n">
        <v>45841.74596064815</v>
      </c>
      <c r="C1289" s="1" t="n">
        <v>46089</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33211-2025</t>
        </is>
      </c>
      <c r="B1290" s="1" t="n">
        <v>45840.62755787037</v>
      </c>
      <c r="C1290" s="1" t="n">
        <v>46089</v>
      </c>
      <c r="D1290" t="inlineStr">
        <is>
          <t>STOCKHOLMS LÄN</t>
        </is>
      </c>
      <c r="E1290" t="inlineStr">
        <is>
          <t>NORRTÄLJE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47392-2025</t>
        </is>
      </c>
      <c r="B1291" s="1" t="n">
        <v>45930.60368055556</v>
      </c>
      <c r="C1291" s="1" t="n">
        <v>46089</v>
      </c>
      <c r="D1291" t="inlineStr">
        <is>
          <t>STOCKHOLMS LÄN</t>
        </is>
      </c>
      <c r="E1291" t="inlineStr">
        <is>
          <t>SIGTUNA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12372-2025</t>
        </is>
      </c>
      <c r="B1292" s="1" t="n">
        <v>45730.37740740741</v>
      </c>
      <c r="C1292" s="1" t="n">
        <v>46089</v>
      </c>
      <c r="D1292" t="inlineStr">
        <is>
          <t>STOCKHOLMS LÄN</t>
        </is>
      </c>
      <c r="E1292" t="inlineStr">
        <is>
          <t>UPPLANDS-BRO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57353-2024</t>
        </is>
      </c>
      <c r="B1293" s="1" t="n">
        <v>45629.65143518519</v>
      </c>
      <c r="C1293" s="1" t="n">
        <v>46089</v>
      </c>
      <c r="D1293" t="inlineStr">
        <is>
          <t>STOCKHOLMS LÄN</t>
        </is>
      </c>
      <c r="E1293" t="inlineStr">
        <is>
          <t>NORRTÄLJE</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48587-2023</t>
        </is>
      </c>
      <c r="B1294" s="1" t="n">
        <v>45208</v>
      </c>
      <c r="C1294" s="1" t="n">
        <v>46089</v>
      </c>
      <c r="D1294" t="inlineStr">
        <is>
          <t>STOCKHOLMS LÄN</t>
        </is>
      </c>
      <c r="E1294" t="inlineStr">
        <is>
          <t>NORRTÄLJE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47463-2025</t>
        </is>
      </c>
      <c r="B1295" s="1" t="n">
        <v>45930.66210648148</v>
      </c>
      <c r="C1295" s="1" t="n">
        <v>46089</v>
      </c>
      <c r="D1295" t="inlineStr">
        <is>
          <t>STOCKHOLMS LÄN</t>
        </is>
      </c>
      <c r="E1295" t="inlineStr">
        <is>
          <t>NYNÄSHAMN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33265-2025</t>
        </is>
      </c>
      <c r="B1296" s="1" t="n">
        <v>45840.67829861111</v>
      </c>
      <c r="C1296" s="1" t="n">
        <v>46089</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47498-2025</t>
        </is>
      </c>
      <c r="B1297" s="1" t="n">
        <v>45930.8134375</v>
      </c>
      <c r="C1297" s="1" t="n">
        <v>46089</v>
      </c>
      <c r="D1297" t="inlineStr">
        <is>
          <t>STOCKHOLMS LÄN</t>
        </is>
      </c>
      <c r="E1297" t="inlineStr">
        <is>
          <t>NORRTÄLJE</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47460-2025</t>
        </is>
      </c>
      <c r="B1298" s="1" t="n">
        <v>45930.66012731481</v>
      </c>
      <c r="C1298" s="1" t="n">
        <v>46089</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2549-2022</t>
        </is>
      </c>
      <c r="B1299" s="1" t="n">
        <v>44580</v>
      </c>
      <c r="C1299" s="1" t="n">
        <v>46089</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47496-2025</t>
        </is>
      </c>
      <c r="B1300" s="1" t="n">
        <v>45930.79252314815</v>
      </c>
      <c r="C1300" s="1" t="n">
        <v>46089</v>
      </c>
      <c r="D1300" t="inlineStr">
        <is>
          <t>STOCKHOLMS LÄN</t>
        </is>
      </c>
      <c r="E1300" t="inlineStr">
        <is>
          <t>NORRTÄLJE</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47497-2025</t>
        </is>
      </c>
      <c r="B1301" s="1" t="n">
        <v>45930.80217592593</v>
      </c>
      <c r="C1301" s="1" t="n">
        <v>46089</v>
      </c>
      <c r="D1301" t="inlineStr">
        <is>
          <t>STOCKHOLMS LÄN</t>
        </is>
      </c>
      <c r="E1301" t="inlineStr">
        <is>
          <t>NORRTÄLJE</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33552-2025</t>
        </is>
      </c>
      <c r="B1302" s="1" t="n">
        <v>45841.5737962963</v>
      </c>
      <c r="C1302" s="1" t="n">
        <v>46089</v>
      </c>
      <c r="D1302" t="inlineStr">
        <is>
          <t>STOCKHOLMS LÄN</t>
        </is>
      </c>
      <c r="E1302" t="inlineStr">
        <is>
          <t>NORRTÄLJE</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33336-2025</t>
        </is>
      </c>
      <c r="B1303" s="1" t="n">
        <v>45841.35611111111</v>
      </c>
      <c r="C1303" s="1" t="n">
        <v>46089</v>
      </c>
      <c r="D1303" t="inlineStr">
        <is>
          <t>STOCKHOLMS LÄN</t>
        </is>
      </c>
      <c r="E1303" t="inlineStr">
        <is>
          <t>NORRTÄLJE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4438-2023</t>
        </is>
      </c>
      <c r="B1304" s="1" t="n">
        <v>44956</v>
      </c>
      <c r="C1304" s="1" t="n">
        <v>46089</v>
      </c>
      <c r="D1304" t="inlineStr">
        <is>
          <t>STOCKHOLMS LÄN</t>
        </is>
      </c>
      <c r="E1304" t="inlineStr">
        <is>
          <t>NORRTÄLJE</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4443-2023</t>
        </is>
      </c>
      <c r="B1305" s="1" t="n">
        <v>44956.45393518519</v>
      </c>
      <c r="C1305" s="1" t="n">
        <v>46089</v>
      </c>
      <c r="D1305" t="inlineStr">
        <is>
          <t>STOCKHOLMS LÄN</t>
        </is>
      </c>
      <c r="E1305" t="inlineStr">
        <is>
          <t>SÖDERTÄLJE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33824-2025</t>
        </is>
      </c>
      <c r="B1306" s="1" t="n">
        <v>45842.46885416667</v>
      </c>
      <c r="C1306" s="1" t="n">
        <v>46089</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34038-2025</t>
        </is>
      </c>
      <c r="B1307" s="1" t="n">
        <v>45842</v>
      </c>
      <c r="C1307" s="1" t="n">
        <v>46089</v>
      </c>
      <c r="D1307" t="inlineStr">
        <is>
          <t>STOCKHOLMS LÄN</t>
        </is>
      </c>
      <c r="E1307" t="inlineStr">
        <is>
          <t>ÖSTERÅKER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28752-2024</t>
        </is>
      </c>
      <c r="B1308" s="1" t="n">
        <v>45478.57900462963</v>
      </c>
      <c r="C1308" s="1" t="n">
        <v>46089</v>
      </c>
      <c r="D1308" t="inlineStr">
        <is>
          <t>STOCKHOLMS LÄN</t>
        </is>
      </c>
      <c r="E1308" t="inlineStr">
        <is>
          <t>SIGTUNA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12609-2024</t>
        </is>
      </c>
      <c r="B1309" s="1" t="n">
        <v>45382.8109375</v>
      </c>
      <c r="C1309" s="1" t="n">
        <v>46089</v>
      </c>
      <c r="D1309" t="inlineStr">
        <is>
          <t>STOCKHOLMS LÄN</t>
        </is>
      </c>
      <c r="E1309" t="inlineStr">
        <is>
          <t>VALLENTUNA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47714-2023</t>
        </is>
      </c>
      <c r="B1310" s="1" t="n">
        <v>45198</v>
      </c>
      <c r="C1310" s="1" t="n">
        <v>46089</v>
      </c>
      <c r="D1310" t="inlineStr">
        <is>
          <t>STOCKHOLMS LÄN</t>
        </is>
      </c>
      <c r="E1310" t="inlineStr">
        <is>
          <t>SÖDERTÄLJE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47758-2023</t>
        </is>
      </c>
      <c r="B1311" s="1" t="n">
        <v>45203.83891203703</v>
      </c>
      <c r="C1311" s="1" t="n">
        <v>46089</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48342-2025</t>
        </is>
      </c>
      <c r="B1312" s="1" t="n">
        <v>45933</v>
      </c>
      <c r="C1312" s="1" t="n">
        <v>46089</v>
      </c>
      <c r="D1312" t="inlineStr">
        <is>
          <t>STOCKHOLMS LÄN</t>
        </is>
      </c>
      <c r="E1312" t="inlineStr">
        <is>
          <t>SÖDERTÄLJE</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48360-2025</t>
        </is>
      </c>
      <c r="B1313" s="1" t="n">
        <v>45933.66253472222</v>
      </c>
      <c r="C1313" s="1" t="n">
        <v>46089</v>
      </c>
      <c r="D1313" t="inlineStr">
        <is>
          <t>STOCKHOLMS LÄN</t>
        </is>
      </c>
      <c r="E1313" t="inlineStr">
        <is>
          <t>NORRTÄLJE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34006-2025</t>
        </is>
      </c>
      <c r="B1314" s="1" t="n">
        <v>45844.62609953704</v>
      </c>
      <c r="C1314" s="1" t="n">
        <v>46089</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48370-2025</t>
        </is>
      </c>
      <c r="B1315" s="1" t="n">
        <v>45933.67854166667</v>
      </c>
      <c r="C1315" s="1" t="n">
        <v>46089</v>
      </c>
      <c r="D1315" t="inlineStr">
        <is>
          <t>STOCKHOLMS LÄN</t>
        </is>
      </c>
      <c r="E1315" t="inlineStr">
        <is>
          <t>NORRTÄLJE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34139-2025</t>
        </is>
      </c>
      <c r="B1316" s="1" t="n">
        <v>45845</v>
      </c>
      <c r="C1316" s="1" t="n">
        <v>46089</v>
      </c>
      <c r="D1316" t="inlineStr">
        <is>
          <t>STOCKHOLMS LÄN</t>
        </is>
      </c>
      <c r="E1316" t="inlineStr">
        <is>
          <t>NORRTÄLJE</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34079-2025</t>
        </is>
      </c>
      <c r="B1317" s="1" t="n">
        <v>45842</v>
      </c>
      <c r="C1317" s="1" t="n">
        <v>46089</v>
      </c>
      <c r="D1317" t="inlineStr">
        <is>
          <t>STOCKHOLMS LÄN</t>
        </is>
      </c>
      <c r="E1317" t="inlineStr">
        <is>
          <t>ÖSTERÅKER</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18512-2024</t>
        </is>
      </c>
      <c r="B1318" s="1" t="n">
        <v>45425.59938657407</v>
      </c>
      <c r="C1318" s="1" t="n">
        <v>46089</v>
      </c>
      <c r="D1318" t="inlineStr">
        <is>
          <t>STOCKHOLMS LÄN</t>
        </is>
      </c>
      <c r="E1318" t="inlineStr">
        <is>
          <t>HANINGE</t>
        </is>
      </c>
      <c r="F1318" t="inlineStr">
        <is>
          <t>Kommuner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34010-2025</t>
        </is>
      </c>
      <c r="B1319" s="1" t="n">
        <v>45844.91234953704</v>
      </c>
      <c r="C1319" s="1" t="n">
        <v>46089</v>
      </c>
      <c r="D1319" t="inlineStr">
        <is>
          <t>STOCKHOLMS LÄN</t>
        </is>
      </c>
      <c r="E1319" t="inlineStr">
        <is>
          <t>NORRTÄLJE</t>
        </is>
      </c>
      <c r="F1319" t="inlineStr">
        <is>
          <t>Övriga Aktiebolag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34073-2025</t>
        </is>
      </c>
      <c r="B1320" s="1" t="n">
        <v>45845</v>
      </c>
      <c r="C1320" s="1" t="n">
        <v>46089</v>
      </c>
      <c r="D1320" t="inlineStr">
        <is>
          <t>STOCKHOLMS LÄN</t>
        </is>
      </c>
      <c r="E1320" t="inlineStr">
        <is>
          <t>EKERÖ</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50294-2023</t>
        </is>
      </c>
      <c r="B1321" s="1" t="n">
        <v>45216</v>
      </c>
      <c r="C1321" s="1" t="n">
        <v>46089</v>
      </c>
      <c r="D1321" t="inlineStr">
        <is>
          <t>STOCKHOLMS LÄN</t>
        </is>
      </c>
      <c r="E1321" t="inlineStr">
        <is>
          <t>UPPLANDS-BRO</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48364-2025</t>
        </is>
      </c>
      <c r="B1322" s="1" t="n">
        <v>45933.66796296297</v>
      </c>
      <c r="C1322" s="1" t="n">
        <v>46089</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52953-2024</t>
        </is>
      </c>
      <c r="B1323" s="1" t="n">
        <v>45610.92077546296</v>
      </c>
      <c r="C1323" s="1" t="n">
        <v>46089</v>
      </c>
      <c r="D1323" t="inlineStr">
        <is>
          <t>STOCKHOLMS LÄN</t>
        </is>
      </c>
      <c r="E1323" t="inlineStr">
        <is>
          <t>NYNÄSHAMN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28431-2025</t>
        </is>
      </c>
      <c r="B1324" s="1" t="n">
        <v>45819.38072916667</v>
      </c>
      <c r="C1324" s="1" t="n">
        <v>46089</v>
      </c>
      <c r="D1324" t="inlineStr">
        <is>
          <t>STOCKHOLMS LÄN</t>
        </is>
      </c>
      <c r="E1324" t="inlineStr">
        <is>
          <t>VALLENTUNA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48046-2025</t>
        </is>
      </c>
      <c r="B1325" s="1" t="n">
        <v>45932.67148148148</v>
      </c>
      <c r="C1325" s="1" t="n">
        <v>46089</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47128-2023</t>
        </is>
      </c>
      <c r="B1326" s="1" t="n">
        <v>45196</v>
      </c>
      <c r="C1326" s="1" t="n">
        <v>46089</v>
      </c>
      <c r="D1326" t="inlineStr">
        <is>
          <t>STOCKHOLMS LÄN</t>
        </is>
      </c>
      <c r="E1326" t="inlineStr">
        <is>
          <t>NYNÄSHAMN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13945-2025</t>
        </is>
      </c>
      <c r="B1327" s="1" t="n">
        <v>45737.71512731481</v>
      </c>
      <c r="C1327" s="1" t="n">
        <v>46089</v>
      </c>
      <c r="D1327" t="inlineStr">
        <is>
          <t>STOCKHOLMS LÄN</t>
        </is>
      </c>
      <c r="E1327" t="inlineStr">
        <is>
          <t>NYNÄSHAMN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51061-2023</t>
        </is>
      </c>
      <c r="B1328" s="1" t="n">
        <v>45218.65849537037</v>
      </c>
      <c r="C1328" s="1" t="n">
        <v>46089</v>
      </c>
      <c r="D1328" t="inlineStr">
        <is>
          <t>STOCKHOLMS LÄN</t>
        </is>
      </c>
      <c r="E1328" t="inlineStr">
        <is>
          <t>NORRTÄLJE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34034-2025</t>
        </is>
      </c>
      <c r="B1329" s="1" t="n">
        <v>45842</v>
      </c>
      <c r="C1329" s="1" t="n">
        <v>46089</v>
      </c>
      <c r="D1329" t="inlineStr">
        <is>
          <t>STOCKHOLMS LÄN</t>
        </is>
      </c>
      <c r="E1329" t="inlineStr">
        <is>
          <t>ÖSTERÅKER</t>
        </is>
      </c>
      <c r="F1329" t="inlineStr">
        <is>
          <t>Övriga Aktiebolag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46089</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46073-2024</t>
        </is>
      </c>
      <c r="B1331" s="1" t="n">
        <v>45581</v>
      </c>
      <c r="C1331" s="1" t="n">
        <v>46089</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22697-2022</t>
        </is>
      </c>
      <c r="B1332" s="1" t="n">
        <v>44714.56040509259</v>
      </c>
      <c r="C1332" s="1" t="n">
        <v>46089</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56756-2021</t>
        </is>
      </c>
      <c r="B1333" s="1" t="n">
        <v>44481</v>
      </c>
      <c r="C1333" s="1" t="n">
        <v>46089</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45549-2022</t>
        </is>
      </c>
      <c r="B1334" s="1" t="n">
        <v>44845.48064814815</v>
      </c>
      <c r="C1334" s="1" t="n">
        <v>46089</v>
      </c>
      <c r="D1334" t="inlineStr">
        <is>
          <t>STOCKHOLMS LÄN</t>
        </is>
      </c>
      <c r="E1334" t="inlineStr">
        <is>
          <t>NORRTÄLJE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29982-2025</t>
        </is>
      </c>
      <c r="B1335" s="1" t="n">
        <v>45826</v>
      </c>
      <c r="C1335" s="1" t="n">
        <v>46089</v>
      </c>
      <c r="D1335" t="inlineStr">
        <is>
          <t>STOCKHOLMS LÄN</t>
        </is>
      </c>
      <c r="E1335" t="inlineStr">
        <is>
          <t>SALEM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54396-2021</t>
        </is>
      </c>
      <c r="B1336" s="1" t="n">
        <v>44472</v>
      </c>
      <c r="C1336" s="1" t="n">
        <v>46089</v>
      </c>
      <c r="D1336" t="inlineStr">
        <is>
          <t>STOCKHOLMS LÄN</t>
        </is>
      </c>
      <c r="E1336" t="inlineStr">
        <is>
          <t>NORRTÄLJE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24727-2023</t>
        </is>
      </c>
      <c r="B1337" s="1" t="n">
        <v>45084.57695601852</v>
      </c>
      <c r="C1337" s="1" t="n">
        <v>46089</v>
      </c>
      <c r="D1337" t="inlineStr">
        <is>
          <t>STOCKHOLMS LÄN</t>
        </is>
      </c>
      <c r="E1337" t="inlineStr">
        <is>
          <t>NORRTÄLJE</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22528-2024</t>
        </is>
      </c>
      <c r="B1338" s="1" t="n">
        <v>45447.44967592593</v>
      </c>
      <c r="C1338" s="1" t="n">
        <v>46089</v>
      </c>
      <c r="D1338" t="inlineStr">
        <is>
          <t>STOCKHOLMS LÄN</t>
        </is>
      </c>
      <c r="E1338" t="inlineStr">
        <is>
          <t>ÖSTERÅKER</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48174-2025</t>
        </is>
      </c>
      <c r="B1339" s="1" t="n">
        <v>45933.44230324074</v>
      </c>
      <c r="C1339" s="1" t="n">
        <v>46089</v>
      </c>
      <c r="D1339" t="inlineStr">
        <is>
          <t>STOCKHOLMS LÄN</t>
        </is>
      </c>
      <c r="E1339" t="inlineStr">
        <is>
          <t>NORRTÄLJE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48014-2025</t>
        </is>
      </c>
      <c r="B1340" s="1" t="n">
        <v>45932.64520833334</v>
      </c>
      <c r="C1340" s="1" t="n">
        <v>46089</v>
      </c>
      <c r="D1340" t="inlineStr">
        <is>
          <t>STOCKHOLMS LÄN</t>
        </is>
      </c>
      <c r="E1340" t="inlineStr">
        <is>
          <t>VALLENTUNA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48127-2025</t>
        </is>
      </c>
      <c r="B1341" s="1" t="n">
        <v>45933.36621527778</v>
      </c>
      <c r="C1341" s="1" t="n">
        <v>46089</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48179-2025</t>
        </is>
      </c>
      <c r="B1342" s="1" t="n">
        <v>45933.44907407407</v>
      </c>
      <c r="C1342" s="1" t="n">
        <v>46089</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48722-2023</t>
        </is>
      </c>
      <c r="B1343" s="1" t="n">
        <v>45208.70996527778</v>
      </c>
      <c r="C1343" s="1" t="n">
        <v>46089</v>
      </c>
      <c r="D1343" t="inlineStr">
        <is>
          <t>STOCKHOLMS LÄN</t>
        </is>
      </c>
      <c r="E1343" t="inlineStr">
        <is>
          <t>NORRTÄLJE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35235-2024</t>
        </is>
      </c>
      <c r="B1344" s="1" t="n">
        <v>45530</v>
      </c>
      <c r="C1344" s="1" t="n">
        <v>46089</v>
      </c>
      <c r="D1344" t="inlineStr">
        <is>
          <t>STOCKHOLMS LÄN</t>
        </is>
      </c>
      <c r="E1344" t="inlineStr">
        <is>
          <t>NORRTÄLJE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48038-2025</t>
        </is>
      </c>
      <c r="B1345" s="1" t="n">
        <v>45932.66008101852</v>
      </c>
      <c r="C1345" s="1" t="n">
        <v>46089</v>
      </c>
      <c r="D1345" t="inlineStr">
        <is>
          <t>STOCKHOLMS LÄN</t>
        </is>
      </c>
      <c r="E1345" t="inlineStr">
        <is>
          <t>VALLENTUNA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13836-2022</t>
        </is>
      </c>
      <c r="B1346" s="1" t="n">
        <v>44649</v>
      </c>
      <c r="C1346" s="1" t="n">
        <v>46089</v>
      </c>
      <c r="D1346" t="inlineStr">
        <is>
          <t>STOCKHOLMS LÄN</t>
        </is>
      </c>
      <c r="E1346" t="inlineStr">
        <is>
          <t>VALLENTUNA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1448-2023</t>
        </is>
      </c>
      <c r="B1347" s="1" t="n">
        <v>44937</v>
      </c>
      <c r="C1347" s="1" t="n">
        <v>46089</v>
      </c>
      <c r="D1347" t="inlineStr">
        <is>
          <t>STOCKHOLMS LÄN</t>
        </is>
      </c>
      <c r="E1347" t="inlineStr">
        <is>
          <t>NORRTÄLJE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48718-2025</t>
        </is>
      </c>
      <c r="B1348" s="1" t="n">
        <v>45936</v>
      </c>
      <c r="C1348" s="1" t="n">
        <v>46089</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48593-2025</t>
        </is>
      </c>
      <c r="B1349" s="1" t="n">
        <v>45936.4627662037</v>
      </c>
      <c r="C1349" s="1" t="n">
        <v>46089</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8736-2024</t>
        </is>
      </c>
      <c r="B1350" s="1" t="n">
        <v>45356.4722800926</v>
      </c>
      <c r="C1350" s="1" t="n">
        <v>46089</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32044-2023</t>
        </is>
      </c>
      <c r="B1351" s="1" t="n">
        <v>45119</v>
      </c>
      <c r="C1351" s="1" t="n">
        <v>46089</v>
      </c>
      <c r="D1351" t="inlineStr">
        <is>
          <t>STOCKHOLMS LÄN</t>
        </is>
      </c>
      <c r="E1351" t="inlineStr">
        <is>
          <t>SÖDERTÄLJE</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32948-2025</t>
        </is>
      </c>
      <c r="B1352" s="1" t="n">
        <v>45839</v>
      </c>
      <c r="C1352" s="1" t="n">
        <v>46089</v>
      </c>
      <c r="D1352" t="inlineStr">
        <is>
          <t>STOCKHOLMS LÄN</t>
        </is>
      </c>
      <c r="E1352" t="inlineStr">
        <is>
          <t>HANINGE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32074-2023</t>
        </is>
      </c>
      <c r="B1353" s="1" t="n">
        <v>45119</v>
      </c>
      <c r="C1353" s="1" t="n">
        <v>46089</v>
      </c>
      <c r="D1353" t="inlineStr">
        <is>
          <t>STOCKHOLMS LÄN</t>
        </is>
      </c>
      <c r="E1353" t="inlineStr">
        <is>
          <t>NYNÄSHAMN</t>
        </is>
      </c>
      <c r="F1353" t="inlineStr">
        <is>
          <t>Kommuner</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231-2026</t>
        </is>
      </c>
      <c r="B1354" s="1" t="n">
        <v>46027.34201388889</v>
      </c>
      <c r="C1354" s="1" t="n">
        <v>46089</v>
      </c>
      <c r="D1354" t="inlineStr">
        <is>
          <t>STOCKHOLMS LÄN</t>
        </is>
      </c>
      <c r="E1354" t="inlineStr">
        <is>
          <t>SÖDERTÄLJE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33149-2022</t>
        </is>
      </c>
      <c r="B1355" s="1" t="n">
        <v>44785</v>
      </c>
      <c r="C1355" s="1" t="n">
        <v>46089</v>
      </c>
      <c r="D1355" t="inlineStr">
        <is>
          <t>STOCKHOLMS LÄN</t>
        </is>
      </c>
      <c r="E1355" t="inlineStr">
        <is>
          <t>NORRTÄLJE</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48443-2025</t>
        </is>
      </c>
      <c r="B1356" s="1" t="n">
        <v>45935.55326388889</v>
      </c>
      <c r="C1356" s="1" t="n">
        <v>46089</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48456-2025</t>
        </is>
      </c>
      <c r="B1357" s="1" t="n">
        <v>45935.85752314814</v>
      </c>
      <c r="C1357" s="1" t="n">
        <v>46089</v>
      </c>
      <c r="D1357" t="inlineStr">
        <is>
          <t>STOCKHOLMS LÄN</t>
        </is>
      </c>
      <c r="E1357" t="inlineStr">
        <is>
          <t>NYNÄSHAMN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233-2026</t>
        </is>
      </c>
      <c r="B1358" s="1" t="n">
        <v>46027.34767361111</v>
      </c>
      <c r="C1358" s="1" t="n">
        <v>46089</v>
      </c>
      <c r="D1358" t="inlineStr">
        <is>
          <t>STOCKHOLMS LÄN</t>
        </is>
      </c>
      <c r="E1358" t="inlineStr">
        <is>
          <t>SÖDERTÄLJE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48606-2025</t>
        </is>
      </c>
      <c r="B1359" s="1" t="n">
        <v>45936.47019675926</v>
      </c>
      <c r="C1359" s="1" t="n">
        <v>46089</v>
      </c>
      <c r="D1359" t="inlineStr">
        <is>
          <t>STOCKHOLMS LÄN</t>
        </is>
      </c>
      <c r="E1359" t="inlineStr">
        <is>
          <t>HANINGE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8985-2026</t>
        </is>
      </c>
      <c r="B1360" s="1" t="n">
        <v>46069.45234953704</v>
      </c>
      <c r="C1360" s="1" t="n">
        <v>46089</v>
      </c>
      <c r="D1360" t="inlineStr">
        <is>
          <t>STOCKHOLMS LÄN</t>
        </is>
      </c>
      <c r="E1360" t="inlineStr">
        <is>
          <t>NORRTÄLJE</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48780-2025</t>
        </is>
      </c>
      <c r="B1361" s="1" t="n">
        <v>45937.30377314815</v>
      </c>
      <c r="C1361" s="1" t="n">
        <v>46089</v>
      </c>
      <c r="D1361" t="inlineStr">
        <is>
          <t>STOCKHOLMS LÄN</t>
        </is>
      </c>
      <c r="E1361" t="inlineStr">
        <is>
          <t>NORRTÄLJE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49175-2025</t>
        </is>
      </c>
      <c r="B1362" s="1" t="n">
        <v>45938.3790162037</v>
      </c>
      <c r="C1362" s="1" t="n">
        <v>46089</v>
      </c>
      <c r="D1362" t="inlineStr">
        <is>
          <t>STOCKHOLMS LÄN</t>
        </is>
      </c>
      <c r="E1362" t="inlineStr">
        <is>
          <t>BOTKYRKA</t>
        </is>
      </c>
      <c r="F1362" t="inlineStr">
        <is>
          <t>Övriga Aktiebolag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35110-2025</t>
        </is>
      </c>
      <c r="B1363" s="1" t="n">
        <v>45852.58030092593</v>
      </c>
      <c r="C1363" s="1" t="n">
        <v>46089</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28681-2025</t>
        </is>
      </c>
      <c r="B1364" s="1" t="n">
        <v>45819.68207175926</v>
      </c>
      <c r="C1364" s="1" t="n">
        <v>46089</v>
      </c>
      <c r="D1364" t="inlineStr">
        <is>
          <t>STOCKHOLMS LÄN</t>
        </is>
      </c>
      <c r="E1364" t="inlineStr">
        <is>
          <t>SIGTUNA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35254-2025</t>
        </is>
      </c>
      <c r="B1365" s="1" t="n">
        <v>45853</v>
      </c>
      <c r="C1365" s="1" t="n">
        <v>46089</v>
      </c>
      <c r="D1365" t="inlineStr">
        <is>
          <t>STOCKHOLMS LÄN</t>
        </is>
      </c>
      <c r="E1365" t="inlineStr">
        <is>
          <t>NORRTÄLJE</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1184-2024</t>
        </is>
      </c>
      <c r="B1366" s="1" t="n">
        <v>45302.57663194444</v>
      </c>
      <c r="C1366" s="1" t="n">
        <v>46089</v>
      </c>
      <c r="D1366" t="inlineStr">
        <is>
          <t>STOCKHOLMS LÄN</t>
        </is>
      </c>
      <c r="E1366" t="inlineStr">
        <is>
          <t>HANINGE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55941-2023</t>
        </is>
      </c>
      <c r="B1367" s="1" t="n">
        <v>45240</v>
      </c>
      <c r="C1367" s="1" t="n">
        <v>46089</v>
      </c>
      <c r="D1367" t="inlineStr">
        <is>
          <t>STOCKHOLMS LÄN</t>
        </is>
      </c>
      <c r="E1367" t="inlineStr">
        <is>
          <t>SÖDERTÄLJE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41702-2023</t>
        </is>
      </c>
      <c r="B1368" s="1" t="n">
        <v>45176</v>
      </c>
      <c r="C1368" s="1" t="n">
        <v>46089</v>
      </c>
      <c r="D1368" t="inlineStr">
        <is>
          <t>STOCKHOLMS LÄN</t>
        </is>
      </c>
      <c r="E1368" t="inlineStr">
        <is>
          <t>SIGTUNA</t>
        </is>
      </c>
      <c r="F1368" t="inlineStr">
        <is>
          <t>Allmännings- och besparingsskogar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35047-2025</t>
        </is>
      </c>
      <c r="B1369" s="1" t="n">
        <v>45852.35094907408</v>
      </c>
      <c r="C1369" s="1" t="n">
        <v>46089</v>
      </c>
      <c r="D1369" t="inlineStr">
        <is>
          <t>STOCKHOLMS LÄN</t>
        </is>
      </c>
      <c r="E1369" t="inlineStr">
        <is>
          <t>EKERÖ</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46089</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40175-2024</t>
        </is>
      </c>
      <c r="B1371" s="1" t="n">
        <v>45554.55707175926</v>
      </c>
      <c r="C1371" s="1" t="n">
        <v>46089</v>
      </c>
      <c r="D1371" t="inlineStr">
        <is>
          <t>STOCKHOLMS LÄN</t>
        </is>
      </c>
      <c r="E1371" t="inlineStr">
        <is>
          <t>NORRTÄLJE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28982-2024</t>
        </is>
      </c>
      <c r="B1372" s="1" t="n">
        <v>45481.47568287037</v>
      </c>
      <c r="C1372" s="1" t="n">
        <v>46089</v>
      </c>
      <c r="D1372" t="inlineStr">
        <is>
          <t>STOCKHOLMS LÄN</t>
        </is>
      </c>
      <c r="E1372" t="inlineStr">
        <is>
          <t>SÖDERTÄLJE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35479-2025</t>
        </is>
      </c>
      <c r="B1373" s="1" t="n">
        <v>45855.69387731481</v>
      </c>
      <c r="C1373" s="1" t="n">
        <v>46089</v>
      </c>
      <c r="D1373" t="inlineStr">
        <is>
          <t>STOCKHOLMS LÄN</t>
        </is>
      </c>
      <c r="E1373" t="inlineStr">
        <is>
          <t>NORRTÄLJE</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35483-2025</t>
        </is>
      </c>
      <c r="B1374" s="1" t="n">
        <v>45855</v>
      </c>
      <c r="C1374" s="1" t="n">
        <v>46089</v>
      </c>
      <c r="D1374" t="inlineStr">
        <is>
          <t>STOCKHOLMS LÄN</t>
        </is>
      </c>
      <c r="E1374" t="inlineStr">
        <is>
          <t>NYNÄSHAMN</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49129-2025</t>
        </is>
      </c>
      <c r="B1375" s="1" t="n">
        <v>45937.89517361111</v>
      </c>
      <c r="C1375" s="1" t="n">
        <v>46089</v>
      </c>
      <c r="D1375" t="inlineStr">
        <is>
          <t>STOCKHOLMS LÄN</t>
        </is>
      </c>
      <c r="E1375" t="inlineStr">
        <is>
          <t>NORRTÄLJE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54558-2024</t>
        </is>
      </c>
      <c r="B1376" s="1" t="n">
        <v>45617.62358796296</v>
      </c>
      <c r="C1376" s="1" t="n">
        <v>46089</v>
      </c>
      <c r="D1376" t="inlineStr">
        <is>
          <t>STOCKHOLMS LÄN</t>
        </is>
      </c>
      <c r="E1376" t="inlineStr">
        <is>
          <t>NORRTÄLJE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35451-2025</t>
        </is>
      </c>
      <c r="B1377" s="1" t="n">
        <v>45855.57033564815</v>
      </c>
      <c r="C1377" s="1" t="n">
        <v>46089</v>
      </c>
      <c r="D1377" t="inlineStr">
        <is>
          <t>STOCKHOLMS LÄN</t>
        </is>
      </c>
      <c r="E1377" t="inlineStr">
        <is>
          <t>NORRTÄLJE</t>
        </is>
      </c>
      <c r="F1377" t="inlineStr">
        <is>
          <t>Holmen skog AB</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35478-2025</t>
        </is>
      </c>
      <c r="B1378" s="1" t="n">
        <v>45855.68413194444</v>
      </c>
      <c r="C1378" s="1" t="n">
        <v>46089</v>
      </c>
      <c r="D1378" t="inlineStr">
        <is>
          <t>STOCKHOLMS LÄN</t>
        </is>
      </c>
      <c r="E1378" t="inlineStr">
        <is>
          <t>NORRTÄLJE</t>
        </is>
      </c>
      <c r="F1378" t="inlineStr">
        <is>
          <t>Holmen skog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4804-2024</t>
        </is>
      </c>
      <c r="B1379" s="1" t="n">
        <v>45328</v>
      </c>
      <c r="C1379" s="1" t="n">
        <v>46089</v>
      </c>
      <c r="D1379" t="inlineStr">
        <is>
          <t>STOCKHOLMS LÄN</t>
        </is>
      </c>
      <c r="E1379" t="inlineStr">
        <is>
          <t>VALLENTUNA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23056-2023</t>
        </is>
      </c>
      <c r="B1380" s="1" t="n">
        <v>45075</v>
      </c>
      <c r="C1380" s="1" t="n">
        <v>46089</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35656-2025</t>
        </is>
      </c>
      <c r="B1381" s="1" t="n">
        <v>45859</v>
      </c>
      <c r="C1381" s="1" t="n">
        <v>46089</v>
      </c>
      <c r="D1381" t="inlineStr">
        <is>
          <t>STOCKHOLMS LÄN</t>
        </is>
      </c>
      <c r="E1381" t="inlineStr">
        <is>
          <t>ÖSTERÅKER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47431-2023</t>
        </is>
      </c>
      <c r="B1382" s="1" t="n">
        <v>45202</v>
      </c>
      <c r="C1382" s="1" t="n">
        <v>46089</v>
      </c>
      <c r="D1382" t="inlineStr">
        <is>
          <t>STOCKHOLMS LÄN</t>
        </is>
      </c>
      <c r="E1382" t="inlineStr">
        <is>
          <t>NORRTÄLJE</t>
        </is>
      </c>
      <c r="F1382" t="inlineStr">
        <is>
          <t>Naturvårdsverket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59499-2023</t>
        </is>
      </c>
      <c r="B1383" s="1" t="n">
        <v>45254</v>
      </c>
      <c r="C1383" s="1" t="n">
        <v>46089</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49916-2025</t>
        </is>
      </c>
      <c r="B1384" s="1" t="n">
        <v>45940.62260416667</v>
      </c>
      <c r="C1384" s="1" t="n">
        <v>46089</v>
      </c>
      <c r="D1384" t="inlineStr">
        <is>
          <t>STOCKHOLMS LÄN</t>
        </is>
      </c>
      <c r="E1384" t="inlineStr">
        <is>
          <t>SIGTUNA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59468-2023</t>
        </is>
      </c>
      <c r="B1385" s="1" t="n">
        <v>45254.41509259259</v>
      </c>
      <c r="C1385" s="1" t="n">
        <v>46089</v>
      </c>
      <c r="D1385" t="inlineStr">
        <is>
          <t>STOCKHOLMS LÄN</t>
        </is>
      </c>
      <c r="E1385" t="inlineStr">
        <is>
          <t>NORRTÄLJE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9234-2026</t>
        </is>
      </c>
      <c r="B1386" s="1" t="n">
        <v>46070.46931712963</v>
      </c>
      <c r="C1386" s="1" t="n">
        <v>46089</v>
      </c>
      <c r="D1386" t="inlineStr">
        <is>
          <t>STOCKHOLMS LÄN</t>
        </is>
      </c>
      <c r="E1386" t="inlineStr">
        <is>
          <t>SÖDERTÄLJE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28143-2024</t>
        </is>
      </c>
      <c r="B1387" s="1" t="n">
        <v>45476</v>
      </c>
      <c r="C1387" s="1" t="n">
        <v>46089</v>
      </c>
      <c r="D1387" t="inlineStr">
        <is>
          <t>STOCKHOLMS LÄN</t>
        </is>
      </c>
      <c r="E1387" t="inlineStr">
        <is>
          <t>ÖSTERÅKER</t>
        </is>
      </c>
      <c r="F1387" t="inlineStr">
        <is>
          <t>Övriga Aktiebolag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718-2026</t>
        </is>
      </c>
      <c r="B1388" s="1" t="n">
        <v>46029.63174768518</v>
      </c>
      <c r="C1388" s="1" t="n">
        <v>46089</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35819-2025</t>
        </is>
      </c>
      <c r="B1389" s="1" t="n">
        <v>45861</v>
      </c>
      <c r="C1389" s="1" t="n">
        <v>46089</v>
      </c>
      <c r="D1389" t="inlineStr">
        <is>
          <t>STOCKHOLMS LÄN</t>
        </is>
      </c>
      <c r="E1389" t="inlineStr">
        <is>
          <t>ÖSTERÅKER</t>
        </is>
      </c>
      <c r="F1389" t="inlineStr">
        <is>
          <t>Övriga Aktiebolag</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12532-2025</t>
        </is>
      </c>
      <c r="B1390" s="1" t="n">
        <v>45730.69143518519</v>
      </c>
      <c r="C1390" s="1" t="n">
        <v>46089</v>
      </c>
      <c r="D1390" t="inlineStr">
        <is>
          <t>STOCKHOLMS LÄN</t>
        </is>
      </c>
      <c r="E1390" t="inlineStr">
        <is>
          <t>NORRTÄLJE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5732-2023</t>
        </is>
      </c>
      <c r="B1391" s="1" t="n">
        <v>44962</v>
      </c>
      <c r="C1391" s="1" t="n">
        <v>46089</v>
      </c>
      <c r="D1391" t="inlineStr">
        <is>
          <t>STOCKHOLMS LÄN</t>
        </is>
      </c>
      <c r="E1391" t="inlineStr">
        <is>
          <t>NORRTÄLJE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36179-2022</t>
        </is>
      </c>
      <c r="B1392" s="1" t="n">
        <v>44803</v>
      </c>
      <c r="C1392" s="1" t="n">
        <v>46089</v>
      </c>
      <c r="D1392" t="inlineStr">
        <is>
          <t>STOCKHOLMS LÄN</t>
        </is>
      </c>
      <c r="E1392" t="inlineStr">
        <is>
          <t>SIGTUNA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50097-2025</t>
        </is>
      </c>
      <c r="B1393" s="1" t="n">
        <v>45943.50207175926</v>
      </c>
      <c r="C1393" s="1" t="n">
        <v>46089</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10653-2022</t>
        </is>
      </c>
      <c r="B1394" s="1" t="n">
        <v>44624.59434027778</v>
      </c>
      <c r="C1394" s="1" t="n">
        <v>46089</v>
      </c>
      <c r="D1394" t="inlineStr">
        <is>
          <t>STOCKHOLMS LÄN</t>
        </is>
      </c>
      <c r="E1394" t="inlineStr">
        <is>
          <t>NORRTÄLJE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43230-2022</t>
        </is>
      </c>
      <c r="B1395" s="1" t="n">
        <v>44834</v>
      </c>
      <c r="C1395" s="1" t="n">
        <v>46089</v>
      </c>
      <c r="D1395" t="inlineStr">
        <is>
          <t>STOCKHOLMS LÄN</t>
        </is>
      </c>
      <c r="E1395" t="inlineStr">
        <is>
          <t>NYKVARN</t>
        </is>
      </c>
      <c r="F1395" t="inlineStr">
        <is>
          <t>Allmännings- och besparingsskogar</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44947-2021</t>
        </is>
      </c>
      <c r="B1396" s="1" t="n">
        <v>44438.69939814815</v>
      </c>
      <c r="C1396" s="1" t="n">
        <v>46089</v>
      </c>
      <c r="D1396" t="inlineStr">
        <is>
          <t>STOCKHOLMS LÄN</t>
        </is>
      </c>
      <c r="E1396" t="inlineStr">
        <is>
          <t>NYKVARN</t>
        </is>
      </c>
      <c r="F1396" t="inlineStr">
        <is>
          <t>Allmännings- och besparingsskogar</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21729-2024</t>
        </is>
      </c>
      <c r="B1397" s="1" t="n">
        <v>45442</v>
      </c>
      <c r="C1397" s="1" t="n">
        <v>46089</v>
      </c>
      <c r="D1397" t="inlineStr">
        <is>
          <t>STOCKHOLMS LÄN</t>
        </is>
      </c>
      <c r="E1397" t="inlineStr">
        <is>
          <t>NORRTÄLJE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49836-2025</t>
        </is>
      </c>
      <c r="B1398" s="1" t="n">
        <v>45940.46862268518</v>
      </c>
      <c r="C1398" s="1" t="n">
        <v>46089</v>
      </c>
      <c r="D1398" t="inlineStr">
        <is>
          <t>STOCKHOLMS LÄN</t>
        </is>
      </c>
      <c r="E1398" t="inlineStr">
        <is>
          <t>NORRTÄLJE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2990-2023</t>
        </is>
      </c>
      <c r="B1399" s="1" t="n">
        <v>44945</v>
      </c>
      <c r="C1399" s="1" t="n">
        <v>46089</v>
      </c>
      <c r="D1399" t="inlineStr">
        <is>
          <t>STOCKHOLMS LÄN</t>
        </is>
      </c>
      <c r="E1399" t="inlineStr">
        <is>
          <t>SALEM</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9017-2023</t>
        </is>
      </c>
      <c r="B1400" s="1" t="n">
        <v>44979</v>
      </c>
      <c r="C1400" s="1" t="n">
        <v>46089</v>
      </c>
      <c r="D1400" t="inlineStr">
        <is>
          <t>STOCKHOLMS LÄN</t>
        </is>
      </c>
      <c r="E1400" t="inlineStr">
        <is>
          <t>NYNÄSHAMN</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11854-2025</t>
        </is>
      </c>
      <c r="B1401" s="1" t="n">
        <v>45728.38924768518</v>
      </c>
      <c r="C1401" s="1" t="n">
        <v>46089</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14762-2024</t>
        </is>
      </c>
      <c r="B1402" s="1" t="n">
        <v>45397</v>
      </c>
      <c r="C1402" s="1" t="n">
        <v>46089</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34444-2024</t>
        </is>
      </c>
      <c r="B1403" s="1" t="n">
        <v>45525</v>
      </c>
      <c r="C1403" s="1" t="n">
        <v>46089</v>
      </c>
      <c r="D1403" t="inlineStr">
        <is>
          <t>STOCKHOLMS LÄN</t>
        </is>
      </c>
      <c r="E1403" t="inlineStr">
        <is>
          <t>NORRTÄLJE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58011-2021</t>
        </is>
      </c>
      <c r="B1404" s="1" t="n">
        <v>44487</v>
      </c>
      <c r="C1404" s="1" t="n">
        <v>46089</v>
      </c>
      <c r="D1404" t="inlineStr">
        <is>
          <t>STOCKHOLMS LÄN</t>
        </is>
      </c>
      <c r="E1404" t="inlineStr">
        <is>
          <t>UPPLANDS-BRO</t>
        </is>
      </c>
      <c r="F1404" t="inlineStr">
        <is>
          <t>Övriga statliga verk och myndigheter</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14264-2025</t>
        </is>
      </c>
      <c r="B1405" s="1" t="n">
        <v>45740.6340162037</v>
      </c>
      <c r="C1405" s="1" t="n">
        <v>46089</v>
      </c>
      <c r="D1405" t="inlineStr">
        <is>
          <t>STOCKHOLMS LÄN</t>
        </is>
      </c>
      <c r="E1405" t="inlineStr">
        <is>
          <t>HANINGE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20698-2025</t>
        </is>
      </c>
      <c r="B1406" s="1" t="n">
        <v>45776.47122685185</v>
      </c>
      <c r="C1406" s="1" t="n">
        <v>46089</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50327-2025</t>
        </is>
      </c>
      <c r="B1407" s="1" t="n">
        <v>45944.46387731482</v>
      </c>
      <c r="C1407" s="1" t="n">
        <v>46089</v>
      </c>
      <c r="D1407" t="inlineStr">
        <is>
          <t>STOCKHOLMS LÄN</t>
        </is>
      </c>
      <c r="E1407" t="inlineStr">
        <is>
          <t>NORRTÄLJE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36082-2025</t>
        </is>
      </c>
      <c r="B1408" s="1" t="n">
        <v>45866.45336805555</v>
      </c>
      <c r="C1408" s="1" t="n">
        <v>46089</v>
      </c>
      <c r="D1408" t="inlineStr">
        <is>
          <t>STOCKHOLMS LÄN</t>
        </is>
      </c>
      <c r="E1408" t="inlineStr">
        <is>
          <t>NYNÄSHAMN</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50563-2025</t>
        </is>
      </c>
      <c r="B1409" s="1" t="n">
        <v>45944</v>
      </c>
      <c r="C1409" s="1" t="n">
        <v>46089</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50474-2025</t>
        </is>
      </c>
      <c r="B1410" s="1" t="n">
        <v>45945.36526620371</v>
      </c>
      <c r="C1410" s="1" t="n">
        <v>46089</v>
      </c>
      <c r="D1410" t="inlineStr">
        <is>
          <t>STOCKHOLMS LÄN</t>
        </is>
      </c>
      <c r="E1410" t="inlineStr">
        <is>
          <t>BOTKYRKA</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59712-2024</t>
        </is>
      </c>
      <c r="B1411" s="1" t="n">
        <v>45639.45166666667</v>
      </c>
      <c r="C1411" s="1" t="n">
        <v>46089</v>
      </c>
      <c r="D1411" t="inlineStr">
        <is>
          <t>STOCKHOLMS LÄN</t>
        </is>
      </c>
      <c r="E1411" t="inlineStr">
        <is>
          <t>NORRTÄLJE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50333-2025</t>
        </is>
      </c>
      <c r="B1412" s="1" t="n">
        <v>45944.47178240741</v>
      </c>
      <c r="C1412" s="1" t="n">
        <v>46089</v>
      </c>
      <c r="D1412" t="inlineStr">
        <is>
          <t>STOCKHOLMS LÄN</t>
        </is>
      </c>
      <c r="E1412" t="inlineStr">
        <is>
          <t>NORRTÄLJE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46405-2022</t>
        </is>
      </c>
      <c r="B1413" s="1" t="n">
        <v>44846</v>
      </c>
      <c r="C1413" s="1" t="n">
        <v>46089</v>
      </c>
      <c r="D1413" t="inlineStr">
        <is>
          <t>STOCKHOLMS LÄN</t>
        </is>
      </c>
      <c r="E1413" t="inlineStr">
        <is>
          <t>BOTKYRKA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694-2026</t>
        </is>
      </c>
      <c r="B1414" s="1" t="n">
        <v>46029.61375</v>
      </c>
      <c r="C1414" s="1" t="n">
        <v>46089</v>
      </c>
      <c r="D1414" t="inlineStr">
        <is>
          <t>STOCKHOLMS LÄN</t>
        </is>
      </c>
      <c r="E1414" t="inlineStr">
        <is>
          <t>NORRTÄLJE</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51122-2025</t>
        </is>
      </c>
      <c r="B1415" s="1" t="n">
        <v>45947.53693287037</v>
      </c>
      <c r="C1415" s="1" t="n">
        <v>46089</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35127-2023</t>
        </is>
      </c>
      <c r="B1416" s="1" t="n">
        <v>45145.51</v>
      </c>
      <c r="C1416" s="1" t="n">
        <v>46089</v>
      </c>
      <c r="D1416" t="inlineStr">
        <is>
          <t>STOCKHOLMS LÄN</t>
        </is>
      </c>
      <c r="E1416" t="inlineStr">
        <is>
          <t>NORRTÄLJE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36509-2025</t>
        </is>
      </c>
      <c r="B1417" s="1" t="n">
        <v>45869.57434027778</v>
      </c>
      <c r="C1417" s="1" t="n">
        <v>46089</v>
      </c>
      <c r="D1417" t="inlineStr">
        <is>
          <t>STOCKHOLMS LÄN</t>
        </is>
      </c>
      <c r="E1417" t="inlineStr">
        <is>
          <t>NYNÄSHAMN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51233-2025</t>
        </is>
      </c>
      <c r="B1418" s="1" t="n">
        <v>45947.68232638889</v>
      </c>
      <c r="C1418" s="1" t="n">
        <v>46089</v>
      </c>
      <c r="D1418" t="inlineStr">
        <is>
          <t>STOCKHOLMS LÄN</t>
        </is>
      </c>
      <c r="E1418" t="inlineStr">
        <is>
          <t>NORRTÄLJE</t>
        </is>
      </c>
      <c r="F1418" t="inlineStr">
        <is>
          <t>Naturvårdsverket</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51236-2025</t>
        </is>
      </c>
      <c r="B1419" s="1" t="n">
        <v>45947.69078703703</v>
      </c>
      <c r="C1419" s="1" t="n">
        <v>46089</v>
      </c>
      <c r="D1419" t="inlineStr">
        <is>
          <t>STOCKHOLMS LÄN</t>
        </is>
      </c>
      <c r="E1419" t="inlineStr">
        <is>
          <t>NORRTÄLJE</t>
        </is>
      </c>
      <c r="F1419" t="inlineStr">
        <is>
          <t>Naturvårdsverket</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51241-2025</t>
        </is>
      </c>
      <c r="B1420" s="1" t="n">
        <v>45947.71726851852</v>
      </c>
      <c r="C1420" s="1" t="n">
        <v>46089</v>
      </c>
      <c r="D1420" t="inlineStr">
        <is>
          <t>STOCKHOLMS LÄN</t>
        </is>
      </c>
      <c r="E1420" t="inlineStr">
        <is>
          <t>NORRTÄLJE</t>
        </is>
      </c>
      <c r="F1420" t="inlineStr">
        <is>
          <t>Naturvårdsverket</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22232-2024</t>
        </is>
      </c>
      <c r="B1421" s="1" t="n">
        <v>45446.4287962963</v>
      </c>
      <c r="C1421" s="1" t="n">
        <v>46089</v>
      </c>
      <c r="D1421" t="inlineStr">
        <is>
          <t>STOCKHOLMS LÄN</t>
        </is>
      </c>
      <c r="E1421" t="inlineStr">
        <is>
          <t>NORRTÄLJE</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33046-2022</t>
        </is>
      </c>
      <c r="B1422" s="1" t="n">
        <v>44785</v>
      </c>
      <c r="C1422" s="1" t="n">
        <v>46089</v>
      </c>
      <c r="D1422" t="inlineStr">
        <is>
          <t>STOCKHOLMS LÄN</t>
        </is>
      </c>
      <c r="E1422" t="inlineStr">
        <is>
          <t>VÄRMDÖ</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17286-2022</t>
        </is>
      </c>
      <c r="B1423" s="1" t="n">
        <v>44678</v>
      </c>
      <c r="C1423" s="1" t="n">
        <v>46089</v>
      </c>
      <c r="D1423" t="inlineStr">
        <is>
          <t>STOCKHOLMS LÄN</t>
        </is>
      </c>
      <c r="E1423" t="inlineStr">
        <is>
          <t>SIGTUNA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50784-2025</t>
        </is>
      </c>
      <c r="B1424" s="1" t="n">
        <v>45946</v>
      </c>
      <c r="C1424" s="1" t="n">
        <v>46089</v>
      </c>
      <c r="D1424" t="inlineStr">
        <is>
          <t>STOCKHOLMS LÄN</t>
        </is>
      </c>
      <c r="E1424" t="inlineStr">
        <is>
          <t>VALLENTUNA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51240-2025</t>
        </is>
      </c>
      <c r="B1425" s="1" t="n">
        <v>45947.70420138889</v>
      </c>
      <c r="C1425" s="1" t="n">
        <v>46089</v>
      </c>
      <c r="D1425" t="inlineStr">
        <is>
          <t>STOCKHOLMS LÄN</t>
        </is>
      </c>
      <c r="E1425" t="inlineStr">
        <is>
          <t>NORRTÄLJE</t>
        </is>
      </c>
      <c r="F1425" t="inlineStr">
        <is>
          <t>Naturvårdsverket</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36396-2025</t>
        </is>
      </c>
      <c r="B1426" s="1" t="n">
        <v>45868.62267361111</v>
      </c>
      <c r="C1426" s="1" t="n">
        <v>46089</v>
      </c>
      <c r="D1426" t="inlineStr">
        <is>
          <t>STOCKHOLMS LÄN</t>
        </is>
      </c>
      <c r="E1426" t="inlineStr">
        <is>
          <t>NORRTÄLJE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36496-2025</t>
        </is>
      </c>
      <c r="B1427" s="1" t="n">
        <v>45869.55287037037</v>
      </c>
      <c r="C1427" s="1" t="n">
        <v>46089</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36468-2025</t>
        </is>
      </c>
      <c r="B1428" s="1" t="n">
        <v>45869.47163194444</v>
      </c>
      <c r="C1428" s="1" t="n">
        <v>46089</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36611-2025</t>
        </is>
      </c>
      <c r="B1429" s="1" t="n">
        <v>45870</v>
      </c>
      <c r="C1429" s="1" t="n">
        <v>46089</v>
      </c>
      <c r="D1429" t="inlineStr">
        <is>
          <t>STOCKHOLMS LÄN</t>
        </is>
      </c>
      <c r="E1429" t="inlineStr">
        <is>
          <t>ÖSTERÅKER</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51121-2025</t>
        </is>
      </c>
      <c r="B1430" s="1" t="n">
        <v>45947.53293981482</v>
      </c>
      <c r="C1430" s="1" t="n">
        <v>46089</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92-2024</t>
        </is>
      </c>
      <c r="B1431" s="1" t="n">
        <v>45293</v>
      </c>
      <c r="C1431" s="1" t="n">
        <v>46089</v>
      </c>
      <c r="D1431" t="inlineStr">
        <is>
          <t>STOCKHOLMS LÄN</t>
        </is>
      </c>
      <c r="E1431" t="inlineStr">
        <is>
          <t>SÖDERTÄLJE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45255-2022</t>
        </is>
      </c>
      <c r="B1432" s="1" t="n">
        <v>44840</v>
      </c>
      <c r="C1432" s="1" t="n">
        <v>46089</v>
      </c>
      <c r="D1432" t="inlineStr">
        <is>
          <t>STOCKHOLMS LÄN</t>
        </is>
      </c>
      <c r="E1432" t="inlineStr">
        <is>
          <t>NORRTÄLJE</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59477-2025</t>
        </is>
      </c>
      <c r="B1433" s="1" t="n">
        <v>45989.58679398148</v>
      </c>
      <c r="C1433" s="1" t="n">
        <v>46089</v>
      </c>
      <c r="D1433" t="inlineStr">
        <is>
          <t>STOCKHOLMS LÄN</t>
        </is>
      </c>
      <c r="E1433" t="inlineStr">
        <is>
          <t>NORRTÄLJE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36614-2025</t>
        </is>
      </c>
      <c r="B1434" s="1" t="n">
        <v>45870</v>
      </c>
      <c r="C1434" s="1" t="n">
        <v>46089</v>
      </c>
      <c r="D1434" t="inlineStr">
        <is>
          <t>STOCKHOLMS LÄN</t>
        </is>
      </c>
      <c r="E1434" t="inlineStr">
        <is>
          <t>ÖSTERÅKER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59893-2022</t>
        </is>
      </c>
      <c r="B1435" s="1" t="n">
        <v>44908.77368055555</v>
      </c>
      <c r="C1435" s="1" t="n">
        <v>46089</v>
      </c>
      <c r="D1435" t="inlineStr">
        <is>
          <t>STOCKHOLMS LÄN</t>
        </is>
      </c>
      <c r="E1435" t="inlineStr">
        <is>
          <t>NORRTÄLJE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35838-2023</t>
        </is>
      </c>
      <c r="B1436" s="1" t="n">
        <v>45147</v>
      </c>
      <c r="C1436" s="1" t="n">
        <v>46089</v>
      </c>
      <c r="D1436" t="inlineStr">
        <is>
          <t>STOCKHOLMS LÄN</t>
        </is>
      </c>
      <c r="E1436" t="inlineStr">
        <is>
          <t>VAXHOLM</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36612-2025</t>
        </is>
      </c>
      <c r="B1437" s="1" t="n">
        <v>45870</v>
      </c>
      <c r="C1437" s="1" t="n">
        <v>46089</v>
      </c>
      <c r="D1437" t="inlineStr">
        <is>
          <t>STOCKHOLMS LÄN</t>
        </is>
      </c>
      <c r="E1437" t="inlineStr">
        <is>
          <t>ÖSTERÅKER</t>
        </is>
      </c>
      <c r="F1437" t="inlineStr">
        <is>
          <t>Övriga Aktiebolag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39905-2023</t>
        </is>
      </c>
      <c r="B1438" s="1" t="n">
        <v>45168.44489583333</v>
      </c>
      <c r="C1438" s="1" t="n">
        <v>46089</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51532-2025</t>
        </is>
      </c>
      <c r="B1439" s="1" t="n">
        <v>45950.68297453703</v>
      </c>
      <c r="C1439" s="1" t="n">
        <v>46089</v>
      </c>
      <c r="D1439" t="inlineStr">
        <is>
          <t>STOCKHOLMS LÄN</t>
        </is>
      </c>
      <c r="E1439" t="inlineStr">
        <is>
          <t>NORRTÄLJE</t>
        </is>
      </c>
      <c r="F1439" t="inlineStr">
        <is>
          <t>Naturvårdsverket</t>
        </is>
      </c>
      <c r="G1439" t="n">
        <v>17.3</v>
      </c>
      <c r="H1439" t="n">
        <v>0</v>
      </c>
      <c r="I1439" t="n">
        <v>0</v>
      </c>
      <c r="J1439" t="n">
        <v>0</v>
      </c>
      <c r="K1439" t="n">
        <v>0</v>
      </c>
      <c r="L1439" t="n">
        <v>0</v>
      </c>
      <c r="M1439" t="n">
        <v>0</v>
      </c>
      <c r="N1439" t="n">
        <v>0</v>
      </c>
      <c r="O1439" t="n">
        <v>0</v>
      </c>
      <c r="P1439" t="n">
        <v>0</v>
      </c>
      <c r="Q1439" t="n">
        <v>0</v>
      </c>
      <c r="R1439" s="2" t="inlineStr"/>
    </row>
    <row r="1440" ht="15" customHeight="1">
      <c r="A1440" t="inlineStr">
        <is>
          <t>A 5645-2023</t>
        </is>
      </c>
      <c r="B1440" s="1" t="n">
        <v>44960.60469907407</v>
      </c>
      <c r="C1440" s="1" t="n">
        <v>46089</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68361-2021</t>
        </is>
      </c>
      <c r="B1441" s="1" t="n">
        <v>44528.91494212963</v>
      </c>
      <c r="C1441" s="1" t="n">
        <v>46089</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51789-2025</t>
        </is>
      </c>
      <c r="B1442" s="1" t="n">
        <v>45951.68046296296</v>
      </c>
      <c r="C1442" s="1" t="n">
        <v>46089</v>
      </c>
      <c r="D1442" t="inlineStr">
        <is>
          <t>STOCKHOLMS LÄN</t>
        </is>
      </c>
      <c r="E1442" t="inlineStr">
        <is>
          <t>NORRTÄLJE</t>
        </is>
      </c>
      <c r="F1442" t="inlineStr">
        <is>
          <t>Naturvårdsverket</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414-2026</t>
        </is>
      </c>
      <c r="B1443" s="1" t="n">
        <v>46028.76050925926</v>
      </c>
      <c r="C1443" s="1" t="n">
        <v>46089</v>
      </c>
      <c r="D1443" t="inlineStr">
        <is>
          <t>STOCKHOLMS LÄN</t>
        </is>
      </c>
      <c r="E1443" t="inlineStr">
        <is>
          <t>VALLENTUNA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60529-2023</t>
        </is>
      </c>
      <c r="B1444" s="1" t="n">
        <v>45259</v>
      </c>
      <c r="C1444" s="1" t="n">
        <v>46089</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49622-2021</t>
        </is>
      </c>
      <c r="B1445" s="1" t="n">
        <v>44455</v>
      </c>
      <c r="C1445" s="1" t="n">
        <v>46089</v>
      </c>
      <c r="D1445" t="inlineStr">
        <is>
          <t>STOCKHOLMS LÄN</t>
        </is>
      </c>
      <c r="E1445" t="inlineStr">
        <is>
          <t>UPPLANDS-BRO</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12907-2024</t>
        </is>
      </c>
      <c r="B1446" s="1" t="n">
        <v>45385</v>
      </c>
      <c r="C1446" s="1" t="n">
        <v>46089</v>
      </c>
      <c r="D1446" t="inlineStr">
        <is>
          <t>STOCKHOLMS LÄN</t>
        </is>
      </c>
      <c r="E1446" t="inlineStr">
        <is>
          <t>SÖDERTÄLJE</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26909-2024</t>
        </is>
      </c>
      <c r="B1447" s="1" t="n">
        <v>45470</v>
      </c>
      <c r="C1447" s="1" t="n">
        <v>46089</v>
      </c>
      <c r="D1447" t="inlineStr">
        <is>
          <t>STOCKHOLMS LÄN</t>
        </is>
      </c>
      <c r="E1447" t="inlineStr">
        <is>
          <t>SÖDERTÄLJE</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20649-2022</t>
        </is>
      </c>
      <c r="B1448" s="1" t="n">
        <v>44700</v>
      </c>
      <c r="C1448" s="1" t="n">
        <v>46089</v>
      </c>
      <c r="D1448" t="inlineStr">
        <is>
          <t>STOCKHOLMS LÄN</t>
        </is>
      </c>
      <c r="E1448" t="inlineStr">
        <is>
          <t>BOTKYRKA</t>
        </is>
      </c>
      <c r="F1448" t="inlineStr">
        <is>
          <t>Övriga Aktiebolag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24707-2023</t>
        </is>
      </c>
      <c r="B1449" s="1" t="n">
        <v>45084</v>
      </c>
      <c r="C1449" s="1" t="n">
        <v>46089</v>
      </c>
      <c r="D1449" t="inlineStr">
        <is>
          <t>STOCKHOLMS LÄN</t>
        </is>
      </c>
      <c r="E1449" t="inlineStr">
        <is>
          <t>VALLENTUNA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28502-2023</t>
        </is>
      </c>
      <c r="B1450" s="1" t="n">
        <v>45103</v>
      </c>
      <c r="C1450" s="1" t="n">
        <v>46089</v>
      </c>
      <c r="D1450" t="inlineStr">
        <is>
          <t>STOCKHOLMS LÄN</t>
        </is>
      </c>
      <c r="E1450" t="inlineStr">
        <is>
          <t>SÖDERTÄLJE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36052-2023</t>
        </is>
      </c>
      <c r="B1451" s="1" t="n">
        <v>45149</v>
      </c>
      <c r="C1451" s="1" t="n">
        <v>46089</v>
      </c>
      <c r="D1451" t="inlineStr">
        <is>
          <t>STOCKHOLMS LÄN</t>
        </is>
      </c>
      <c r="E1451" t="inlineStr">
        <is>
          <t>NYNÄSHAMN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19706-2023</t>
        </is>
      </c>
      <c r="B1452" s="1" t="n">
        <v>45051.455</v>
      </c>
      <c r="C1452" s="1" t="n">
        <v>46089</v>
      </c>
      <c r="D1452" t="inlineStr">
        <is>
          <t>STOCKHOLMS LÄN</t>
        </is>
      </c>
      <c r="E1452" t="inlineStr">
        <is>
          <t>NORRTÄLJE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15176-2024</t>
        </is>
      </c>
      <c r="B1453" s="1" t="n">
        <v>45400</v>
      </c>
      <c r="C1453" s="1" t="n">
        <v>46089</v>
      </c>
      <c r="D1453" t="inlineStr">
        <is>
          <t>STOCKHOLMS LÄN</t>
        </is>
      </c>
      <c r="E1453" t="inlineStr">
        <is>
          <t>NYNÄSHAMN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18539-2021</t>
        </is>
      </c>
      <c r="B1454" s="1" t="n">
        <v>44306</v>
      </c>
      <c r="C1454" s="1" t="n">
        <v>46089</v>
      </c>
      <c r="D1454" t="inlineStr">
        <is>
          <t>STOCKHOLMS LÄN</t>
        </is>
      </c>
      <c r="E1454" t="inlineStr">
        <is>
          <t>NORRTÄLJE</t>
        </is>
      </c>
      <c r="F1454" t="inlineStr">
        <is>
          <t>Holmen skog AB</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17612-2022</t>
        </is>
      </c>
      <c r="B1455" s="1" t="n">
        <v>44680</v>
      </c>
      <c r="C1455" s="1" t="n">
        <v>46089</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51960-2025</t>
        </is>
      </c>
      <c r="B1456" s="1" t="n">
        <v>45952.54755787037</v>
      </c>
      <c r="C1456" s="1" t="n">
        <v>46089</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16835-2022</t>
        </is>
      </c>
      <c r="B1457" s="1" t="n">
        <v>44673</v>
      </c>
      <c r="C1457" s="1" t="n">
        <v>46089</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9562-2025</t>
        </is>
      </c>
      <c r="B1458" s="1" t="n">
        <v>45715.61215277778</v>
      </c>
      <c r="C1458" s="1" t="n">
        <v>46089</v>
      </c>
      <c r="D1458" t="inlineStr">
        <is>
          <t>STOCKHOLMS LÄN</t>
        </is>
      </c>
      <c r="E1458" t="inlineStr">
        <is>
          <t>SÖDERTÄLJE</t>
        </is>
      </c>
      <c r="F1458" t="inlineStr">
        <is>
          <t>Sveaskog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62765-2022</t>
        </is>
      </c>
      <c r="B1459" s="1" t="n">
        <v>44637</v>
      </c>
      <c r="C1459" s="1" t="n">
        <v>46089</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58404-2023</t>
        </is>
      </c>
      <c r="B1460" s="1" t="n">
        <v>45245</v>
      </c>
      <c r="C1460" s="1" t="n">
        <v>46089</v>
      </c>
      <c r="D1460" t="inlineStr">
        <is>
          <t>STOCKHOLMS LÄN</t>
        </is>
      </c>
      <c r="E1460" t="inlineStr">
        <is>
          <t>NORRTÄLJE</t>
        </is>
      </c>
      <c r="G1460" t="n">
        <v>53.5</v>
      </c>
      <c r="H1460" t="n">
        <v>0</v>
      </c>
      <c r="I1460" t="n">
        <v>0</v>
      </c>
      <c r="J1460" t="n">
        <v>0</v>
      </c>
      <c r="K1460" t="n">
        <v>0</v>
      </c>
      <c r="L1460" t="n">
        <v>0</v>
      </c>
      <c r="M1460" t="n">
        <v>0</v>
      </c>
      <c r="N1460" t="n">
        <v>0</v>
      </c>
      <c r="O1460" t="n">
        <v>0</v>
      </c>
      <c r="P1460" t="n">
        <v>0</v>
      </c>
      <c r="Q1460" t="n">
        <v>0</v>
      </c>
      <c r="R1460" s="2" t="inlineStr"/>
    </row>
    <row r="1461" ht="15" customHeight="1">
      <c r="A1461" t="inlineStr">
        <is>
          <t>A 37261-2025</t>
        </is>
      </c>
      <c r="B1461" s="1" t="n">
        <v>45876.45253472222</v>
      </c>
      <c r="C1461" s="1" t="n">
        <v>46089</v>
      </c>
      <c r="D1461" t="inlineStr">
        <is>
          <t>STOCKHOLMS LÄN</t>
        </is>
      </c>
      <c r="E1461" t="inlineStr">
        <is>
          <t>NORRTÄLJE</t>
        </is>
      </c>
      <c r="F1461" t="inlineStr">
        <is>
          <t>Kommuner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8586-2023</t>
        </is>
      </c>
      <c r="B1462" s="1" t="n">
        <v>44977</v>
      </c>
      <c r="C1462" s="1" t="n">
        <v>46089</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8611-2023</t>
        </is>
      </c>
      <c r="B1463" s="1" t="n">
        <v>44977</v>
      </c>
      <c r="C1463" s="1" t="n">
        <v>46089</v>
      </c>
      <c r="D1463" t="inlineStr">
        <is>
          <t>STOCKHOLMS LÄN</t>
        </is>
      </c>
      <c r="E1463" t="inlineStr">
        <is>
          <t>SÖDERTÄLJE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37245-2025</t>
        </is>
      </c>
      <c r="B1464" s="1" t="n">
        <v>45876.39396990741</v>
      </c>
      <c r="C1464" s="1" t="n">
        <v>46089</v>
      </c>
      <c r="D1464" t="inlineStr">
        <is>
          <t>STOCKHOLMS LÄN</t>
        </is>
      </c>
      <c r="E1464" t="inlineStr">
        <is>
          <t>EKERÖ</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51941-2025</t>
        </is>
      </c>
      <c r="B1465" s="1" t="n">
        <v>45952.52261574074</v>
      </c>
      <c r="C1465" s="1" t="n">
        <v>46089</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42572-2024</t>
        </is>
      </c>
      <c r="B1466" s="1" t="n">
        <v>45565.64217592592</v>
      </c>
      <c r="C1466" s="1" t="n">
        <v>46089</v>
      </c>
      <c r="D1466" t="inlineStr">
        <is>
          <t>STOCKHOLMS LÄN</t>
        </is>
      </c>
      <c r="E1466" t="inlineStr">
        <is>
          <t>SIGTUNA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52770-2024</t>
        </is>
      </c>
      <c r="B1467" s="1" t="n">
        <v>45610.52414351852</v>
      </c>
      <c r="C1467" s="1" t="n">
        <v>46089</v>
      </c>
      <c r="D1467" t="inlineStr">
        <is>
          <t>STOCKHOLMS LÄN</t>
        </is>
      </c>
      <c r="E1467" t="inlineStr">
        <is>
          <t>HANINGE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52061-2025</t>
        </is>
      </c>
      <c r="B1468" s="1" t="n">
        <v>45952.63679398148</v>
      </c>
      <c r="C1468" s="1" t="n">
        <v>46089</v>
      </c>
      <c r="D1468" t="inlineStr">
        <is>
          <t>STOCKHOLMS LÄN</t>
        </is>
      </c>
      <c r="E1468" t="inlineStr">
        <is>
          <t>NORRTÄLJE</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51945-2025</t>
        </is>
      </c>
      <c r="B1469" s="1" t="n">
        <v>45952.52679398148</v>
      </c>
      <c r="C1469" s="1" t="n">
        <v>46089</v>
      </c>
      <c r="D1469" t="inlineStr">
        <is>
          <t>STOCKHOLMS LÄN</t>
        </is>
      </c>
      <c r="E1469" t="inlineStr">
        <is>
          <t>NORRTÄLJE</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16202-2022</t>
        </is>
      </c>
      <c r="B1470" s="1" t="n">
        <v>44670</v>
      </c>
      <c r="C1470" s="1" t="n">
        <v>46089</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52220-2025</t>
        </is>
      </c>
      <c r="B1471" s="1" t="n">
        <v>45953</v>
      </c>
      <c r="C1471" s="1" t="n">
        <v>46089</v>
      </c>
      <c r="D1471" t="inlineStr">
        <is>
          <t>STOCKHOLMS LÄN</t>
        </is>
      </c>
      <c r="E1471" t="inlineStr">
        <is>
          <t>ÖSTERÅKER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3108-2024</t>
        </is>
      </c>
      <c r="B1472" s="1" t="n">
        <v>45316</v>
      </c>
      <c r="C1472" s="1" t="n">
        <v>46089</v>
      </c>
      <c r="D1472" t="inlineStr">
        <is>
          <t>STOCKHOLMS LÄN</t>
        </is>
      </c>
      <c r="E1472" t="inlineStr">
        <is>
          <t>SÖDERTÄLJE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55018-2024</t>
        </is>
      </c>
      <c r="B1473" s="1" t="n">
        <v>45621.35712962963</v>
      </c>
      <c r="C1473" s="1" t="n">
        <v>46089</v>
      </c>
      <c r="D1473" t="inlineStr">
        <is>
          <t>STOCKHOLMS LÄN</t>
        </is>
      </c>
      <c r="E1473" t="inlineStr">
        <is>
          <t>NORRTÄLJE</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51954-2025</t>
        </is>
      </c>
      <c r="B1474" s="1" t="n">
        <v>45952</v>
      </c>
      <c r="C1474" s="1" t="n">
        <v>46089</v>
      </c>
      <c r="D1474" t="inlineStr">
        <is>
          <t>STOCKHOLMS LÄN</t>
        </is>
      </c>
      <c r="E1474" t="inlineStr">
        <is>
          <t>NYNÄSHAMN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52251-2025</t>
        </is>
      </c>
      <c r="B1475" s="1" t="n">
        <v>45953.49185185185</v>
      </c>
      <c r="C1475" s="1" t="n">
        <v>46089</v>
      </c>
      <c r="D1475" t="inlineStr">
        <is>
          <t>STOCKHOLMS LÄN</t>
        </is>
      </c>
      <c r="E1475" t="inlineStr">
        <is>
          <t>NORRTÄLJE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52254-2025</t>
        </is>
      </c>
      <c r="B1476" s="1" t="n">
        <v>45953.49519675926</v>
      </c>
      <c r="C1476" s="1" t="n">
        <v>46089</v>
      </c>
      <c r="D1476" t="inlineStr">
        <is>
          <t>STOCKHOLMS LÄN</t>
        </is>
      </c>
      <c r="E1476" t="inlineStr">
        <is>
          <t>NORRTÄLJE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17020-2022</t>
        </is>
      </c>
      <c r="B1477" s="1" t="n">
        <v>44676</v>
      </c>
      <c r="C1477" s="1" t="n">
        <v>46089</v>
      </c>
      <c r="D1477" t="inlineStr">
        <is>
          <t>STOCKHOLMS LÄN</t>
        </is>
      </c>
      <c r="E1477" t="inlineStr">
        <is>
          <t>HANINGE</t>
        </is>
      </c>
      <c r="F1477" t="inlineStr">
        <is>
          <t>Övriga statliga verk och myndigheter</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52773-2025</t>
        </is>
      </c>
      <c r="B1478" s="1" t="n">
        <v>45957.41457175926</v>
      </c>
      <c r="C1478" s="1" t="n">
        <v>46089</v>
      </c>
      <c r="D1478" t="inlineStr">
        <is>
          <t>STOCKHOLMS LÄN</t>
        </is>
      </c>
      <c r="E1478" t="inlineStr">
        <is>
          <t>NORRTÄLJE</t>
        </is>
      </c>
      <c r="F1478" t="inlineStr">
        <is>
          <t>Sveaskog</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37628-2025</t>
        </is>
      </c>
      <c r="B1479" s="1" t="n">
        <v>45880.46189814815</v>
      </c>
      <c r="C1479" s="1" t="n">
        <v>46089</v>
      </c>
      <c r="D1479" t="inlineStr">
        <is>
          <t>STOCKHOLMS LÄN</t>
        </is>
      </c>
      <c r="E1479" t="inlineStr">
        <is>
          <t>NORRTÄLJE</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29369-2024</t>
        </is>
      </c>
      <c r="B1480" s="1" t="n">
        <v>45483.57244212963</v>
      </c>
      <c r="C1480" s="1" t="n">
        <v>46089</v>
      </c>
      <c r="D1480" t="inlineStr">
        <is>
          <t>STOCKHOLMS LÄN</t>
        </is>
      </c>
      <c r="E1480" t="inlineStr">
        <is>
          <t>NORRTÄLJE</t>
        </is>
      </c>
      <c r="G1480" t="n">
        <v>15.9</v>
      </c>
      <c r="H1480" t="n">
        <v>0</v>
      </c>
      <c r="I1480" t="n">
        <v>0</v>
      </c>
      <c r="J1480" t="n">
        <v>0</v>
      </c>
      <c r="K1480" t="n">
        <v>0</v>
      </c>
      <c r="L1480" t="n">
        <v>0</v>
      </c>
      <c r="M1480" t="n">
        <v>0</v>
      </c>
      <c r="N1480" t="n">
        <v>0</v>
      </c>
      <c r="O1480" t="n">
        <v>0</v>
      </c>
      <c r="P1480" t="n">
        <v>0</v>
      </c>
      <c r="Q1480" t="n">
        <v>0</v>
      </c>
      <c r="R1480" s="2" t="inlineStr"/>
    </row>
    <row r="1481" ht="15" customHeight="1">
      <c r="A1481" t="inlineStr">
        <is>
          <t>A 50136-2023</t>
        </is>
      </c>
      <c r="B1481" s="1" t="n">
        <v>45215</v>
      </c>
      <c r="C1481" s="1" t="n">
        <v>46089</v>
      </c>
      <c r="D1481" t="inlineStr">
        <is>
          <t>STOCKHOLMS LÄN</t>
        </is>
      </c>
      <c r="E1481" t="inlineStr">
        <is>
          <t>NORRTÄLJE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52777-2025</t>
        </is>
      </c>
      <c r="B1482" s="1" t="n">
        <v>45957.41832175926</v>
      </c>
      <c r="C1482" s="1" t="n">
        <v>46089</v>
      </c>
      <c r="D1482" t="inlineStr">
        <is>
          <t>STOCKHOLMS LÄN</t>
        </is>
      </c>
      <c r="E1482" t="inlineStr">
        <is>
          <t>NORRTÄLJE</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25656-2023</t>
        </is>
      </c>
      <c r="B1483" s="1" t="n">
        <v>45089</v>
      </c>
      <c r="C1483" s="1" t="n">
        <v>46089</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37632-2025</t>
        </is>
      </c>
      <c r="B1484" s="1" t="n">
        <v>45880.46524305556</v>
      </c>
      <c r="C1484" s="1" t="n">
        <v>46089</v>
      </c>
      <c r="D1484" t="inlineStr">
        <is>
          <t>STOCKHOLMS LÄN</t>
        </is>
      </c>
      <c r="E1484" t="inlineStr">
        <is>
          <t>NORRTÄLJE</t>
        </is>
      </c>
      <c r="F1484" t="inlineStr">
        <is>
          <t>Sveaskog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6003-2025</t>
        </is>
      </c>
      <c r="B1485" s="1" t="n">
        <v>45695.57881944445</v>
      </c>
      <c r="C1485" s="1" t="n">
        <v>46089</v>
      </c>
      <c r="D1485" t="inlineStr">
        <is>
          <t>STOCKHOLMS LÄN</t>
        </is>
      </c>
      <c r="E1485" t="inlineStr">
        <is>
          <t>NORRTÄLJE</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29841-2024</t>
        </is>
      </c>
      <c r="B1486" s="1" t="n">
        <v>45485.60261574074</v>
      </c>
      <c r="C1486" s="1" t="n">
        <v>46089</v>
      </c>
      <c r="D1486" t="inlineStr">
        <is>
          <t>STOCKHOLMS LÄN</t>
        </is>
      </c>
      <c r="E1486" t="inlineStr">
        <is>
          <t>NORRTÄLJE</t>
        </is>
      </c>
      <c r="G1486" t="n">
        <v>15.9</v>
      </c>
      <c r="H1486" t="n">
        <v>0</v>
      </c>
      <c r="I1486" t="n">
        <v>0</v>
      </c>
      <c r="J1486" t="n">
        <v>0</v>
      </c>
      <c r="K1486" t="n">
        <v>0</v>
      </c>
      <c r="L1486" t="n">
        <v>0</v>
      </c>
      <c r="M1486" t="n">
        <v>0</v>
      </c>
      <c r="N1486" t="n">
        <v>0</v>
      </c>
      <c r="O1486" t="n">
        <v>0</v>
      </c>
      <c r="P1486" t="n">
        <v>0</v>
      </c>
      <c r="Q1486" t="n">
        <v>0</v>
      </c>
      <c r="R1486" s="2" t="inlineStr"/>
    </row>
    <row r="1487" ht="15" customHeight="1">
      <c r="A1487" t="inlineStr">
        <is>
          <t>A 11430-2022</t>
        </is>
      </c>
      <c r="B1487" s="1" t="n">
        <v>44630.5968287037</v>
      </c>
      <c r="C1487" s="1" t="n">
        <v>46089</v>
      </c>
      <c r="D1487" t="inlineStr">
        <is>
          <t>STOCKHOLMS LÄN</t>
        </is>
      </c>
      <c r="E1487" t="inlineStr">
        <is>
          <t>NYKVARN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42337-2024</t>
        </is>
      </c>
      <c r="B1488" s="1" t="n">
        <v>45562</v>
      </c>
      <c r="C1488" s="1" t="n">
        <v>46089</v>
      </c>
      <c r="D1488" t="inlineStr">
        <is>
          <t>STOCKHOLMS LÄN</t>
        </is>
      </c>
      <c r="E1488" t="inlineStr">
        <is>
          <t>SÖDERTÄLJE</t>
        </is>
      </c>
      <c r="F1488" t="inlineStr">
        <is>
          <t>Övriga statliga verk och myndigheter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52526-2025</t>
        </is>
      </c>
      <c r="B1489" s="1" t="n">
        <v>45954.53061342592</v>
      </c>
      <c r="C1489" s="1" t="n">
        <v>46089</v>
      </c>
      <c r="D1489" t="inlineStr">
        <is>
          <t>STOCKHOLMS LÄN</t>
        </is>
      </c>
      <c r="E1489" t="inlineStr">
        <is>
          <t>NORRTÄLJE</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53000-2025</t>
        </is>
      </c>
      <c r="B1490" s="1" t="n">
        <v>45957.74357638889</v>
      </c>
      <c r="C1490" s="1" t="n">
        <v>46089</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20692-2025</t>
        </is>
      </c>
      <c r="B1491" s="1" t="n">
        <v>45776.46369212963</v>
      </c>
      <c r="C1491" s="1" t="n">
        <v>46089</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37630-2025</t>
        </is>
      </c>
      <c r="B1492" s="1" t="n">
        <v>45880.46372685185</v>
      </c>
      <c r="C1492" s="1" t="n">
        <v>46089</v>
      </c>
      <c r="D1492" t="inlineStr">
        <is>
          <t>STOCKHOLMS LÄN</t>
        </is>
      </c>
      <c r="E1492" t="inlineStr">
        <is>
          <t>NORRTÄLJE</t>
        </is>
      </c>
      <c r="F1492" t="inlineStr">
        <is>
          <t>Sveaskog</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11902-2024</t>
        </is>
      </c>
      <c r="B1493" s="1" t="n">
        <v>45376.55704861111</v>
      </c>
      <c r="C1493" s="1" t="n">
        <v>46089</v>
      </c>
      <c r="D1493" t="inlineStr">
        <is>
          <t>STOCKHOLMS LÄN</t>
        </is>
      </c>
      <c r="E1493" t="inlineStr">
        <is>
          <t>NORRTÄLJE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52703-2025</t>
        </is>
      </c>
      <c r="B1494" s="1" t="n">
        <v>45956.88643518519</v>
      </c>
      <c r="C1494" s="1" t="n">
        <v>46089</v>
      </c>
      <c r="D1494" t="inlineStr">
        <is>
          <t>STOCKHOLMS LÄN</t>
        </is>
      </c>
      <c r="E1494" t="inlineStr">
        <is>
          <t>NORRTÄLJE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14776-2024</t>
        </is>
      </c>
      <c r="B1495" s="1" t="n">
        <v>45397</v>
      </c>
      <c r="C1495" s="1" t="n">
        <v>46089</v>
      </c>
      <c r="D1495" t="inlineStr">
        <is>
          <t>STOCKHOLMS LÄN</t>
        </is>
      </c>
      <c r="E1495" t="inlineStr">
        <is>
          <t>ÖSTERÅKER</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46089</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46089</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38049-2023</t>
        </is>
      </c>
      <c r="B1498" s="1" t="n">
        <v>45159</v>
      </c>
      <c r="C1498" s="1" t="n">
        <v>46089</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59535-2024</t>
        </is>
      </c>
      <c r="B1499" s="1" t="n">
        <v>45638.59979166667</v>
      </c>
      <c r="C1499" s="1" t="n">
        <v>46089</v>
      </c>
      <c r="D1499" t="inlineStr">
        <is>
          <t>STOCKHOLMS LÄN</t>
        </is>
      </c>
      <c r="E1499" t="inlineStr">
        <is>
          <t>NORRTÄLJE</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693-2026</t>
        </is>
      </c>
      <c r="B1500" s="1" t="n">
        <v>46029.6133449074</v>
      </c>
      <c r="C1500" s="1" t="n">
        <v>46089</v>
      </c>
      <c r="D1500" t="inlineStr">
        <is>
          <t>STOCKHOLMS LÄN</t>
        </is>
      </c>
      <c r="E1500" t="inlineStr">
        <is>
          <t>NORRTÄLJE</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46071-2024</t>
        </is>
      </c>
      <c r="B1501" s="1" t="n">
        <v>45581</v>
      </c>
      <c r="C1501" s="1" t="n">
        <v>46089</v>
      </c>
      <c r="D1501" t="inlineStr">
        <is>
          <t>STOCKHOLMS LÄN</t>
        </is>
      </c>
      <c r="E1501" t="inlineStr">
        <is>
          <t>NORRTÄLJE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5968-2023</t>
        </is>
      </c>
      <c r="B1502" s="1" t="n">
        <v>44959</v>
      </c>
      <c r="C1502" s="1" t="n">
        <v>46089</v>
      </c>
      <c r="D1502" t="inlineStr">
        <is>
          <t>STOCKHOLMS LÄN</t>
        </is>
      </c>
      <c r="E1502" t="inlineStr">
        <is>
          <t>VAXHOLM</t>
        </is>
      </c>
      <c r="F1502" t="inlineStr">
        <is>
          <t>Övriga statliga verk och myndigheter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52950-2024</t>
        </is>
      </c>
      <c r="B1503" s="1" t="n">
        <v>45610.89103009259</v>
      </c>
      <c r="C1503" s="1" t="n">
        <v>46089</v>
      </c>
      <c r="D1503" t="inlineStr">
        <is>
          <t>STOCKHOLMS LÄN</t>
        </is>
      </c>
      <c r="E1503" t="inlineStr">
        <is>
          <t>NYNÄSHAMN</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8528-2024</t>
        </is>
      </c>
      <c r="B1504" s="1" t="n">
        <v>45355.49099537037</v>
      </c>
      <c r="C1504" s="1" t="n">
        <v>46089</v>
      </c>
      <c r="D1504" t="inlineStr">
        <is>
          <t>STOCKHOLMS LÄN</t>
        </is>
      </c>
      <c r="E1504" t="inlineStr">
        <is>
          <t>BOTKYRKA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52776-2025</t>
        </is>
      </c>
      <c r="B1505" s="1" t="n">
        <v>45957.41724537037</v>
      </c>
      <c r="C1505" s="1" t="n">
        <v>46089</v>
      </c>
      <c r="D1505" t="inlineStr">
        <is>
          <t>STOCKHOLMS LÄN</t>
        </is>
      </c>
      <c r="E1505" t="inlineStr">
        <is>
          <t>NORRTÄLJE</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12900-2022</t>
        </is>
      </c>
      <c r="B1506" s="1" t="n">
        <v>44642</v>
      </c>
      <c r="C1506" s="1" t="n">
        <v>46089</v>
      </c>
      <c r="D1506" t="inlineStr">
        <is>
          <t>STOCKHOLMS LÄN</t>
        </is>
      </c>
      <c r="E1506" t="inlineStr">
        <is>
          <t>SIGTUNA</t>
        </is>
      </c>
      <c r="G1506" t="n">
        <v>5.6</v>
      </c>
      <c r="H1506" t="n">
        <v>0</v>
      </c>
      <c r="I1506" t="n">
        <v>0</v>
      </c>
      <c r="J1506" t="n">
        <v>0</v>
      </c>
      <c r="K1506" t="n">
        <v>0</v>
      </c>
      <c r="L1506" t="n">
        <v>0</v>
      </c>
      <c r="M1506" t="n">
        <v>0</v>
      </c>
      <c r="N1506" t="n">
        <v>0</v>
      </c>
      <c r="O1506" t="n">
        <v>0</v>
      </c>
      <c r="P1506" t="n">
        <v>0</v>
      </c>
      <c r="Q1506" t="n">
        <v>0</v>
      </c>
      <c r="R1506" s="2" t="inlineStr"/>
      <c r="U1506">
        <f>HYPERLINK("https://klasma.github.io/Logging_0191/knärot/A 12900-2022 karta knärot.png", "A 12900-2022")</f>
        <v/>
      </c>
      <c r="V1506">
        <f>HYPERLINK("https://klasma.github.io/Logging_0191/klagomål/A 12900-2022 FSC-klagomål.docx", "A 12900-2022")</f>
        <v/>
      </c>
      <c r="W1506">
        <f>HYPERLINK("https://klasma.github.io/Logging_0191/klagomålsmail/A 12900-2022 FSC-klagomål mail.docx", "A 12900-2022")</f>
        <v/>
      </c>
      <c r="X1506">
        <f>HYPERLINK("https://klasma.github.io/Logging_0191/tillsyn/A 12900-2022 tillsynsbegäran.docx", "A 12900-2022")</f>
        <v/>
      </c>
      <c r="Y1506">
        <f>HYPERLINK("https://klasma.github.io/Logging_0191/tillsynsmail/A 12900-2022 tillsynsbegäran mail.docx", "A 12900-2022")</f>
        <v/>
      </c>
    </row>
    <row r="1507" ht="15" customHeight="1">
      <c r="A1507" t="inlineStr">
        <is>
          <t>A 13137-2024</t>
        </is>
      </c>
      <c r="B1507" s="1" t="n">
        <v>45386.34175925926</v>
      </c>
      <c r="C1507" s="1" t="n">
        <v>46089</v>
      </c>
      <c r="D1507" t="inlineStr">
        <is>
          <t>STOCKHOLMS LÄN</t>
        </is>
      </c>
      <c r="E1507" t="inlineStr">
        <is>
          <t>NORRTÄLJE</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44346-2021</t>
        </is>
      </c>
      <c r="B1508" s="1" t="n">
        <v>44434</v>
      </c>
      <c r="C1508" s="1" t="n">
        <v>46089</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475-2026</t>
        </is>
      </c>
      <c r="B1509" s="1" t="n">
        <v>46029.39351851852</v>
      </c>
      <c r="C1509" s="1" t="n">
        <v>46089</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52529-2025</t>
        </is>
      </c>
      <c r="B1510" s="1" t="n">
        <v>45954.53229166667</v>
      </c>
      <c r="C1510" s="1" t="n">
        <v>46089</v>
      </c>
      <c r="D1510" t="inlineStr">
        <is>
          <t>STOCKHOLMS LÄN</t>
        </is>
      </c>
      <c r="E1510" t="inlineStr">
        <is>
          <t>NORRTÄLJE</t>
        </is>
      </c>
      <c r="F1510" t="inlineStr">
        <is>
          <t>Sveaskog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52704-2025</t>
        </is>
      </c>
      <c r="B1511" s="1" t="n">
        <v>45956.89097222222</v>
      </c>
      <c r="C1511" s="1" t="n">
        <v>46089</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45233-2024</t>
        </is>
      </c>
      <c r="B1512" s="1" t="n">
        <v>45575</v>
      </c>
      <c r="C1512" s="1" t="n">
        <v>46089</v>
      </c>
      <c r="D1512" t="inlineStr">
        <is>
          <t>STOCKHOLMS LÄN</t>
        </is>
      </c>
      <c r="E1512" t="inlineStr">
        <is>
          <t>SIGTUNA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7457-2025</t>
        </is>
      </c>
      <c r="B1513" s="1" t="n">
        <v>45705.43699074074</v>
      </c>
      <c r="C1513" s="1" t="n">
        <v>46089</v>
      </c>
      <c r="D1513" t="inlineStr">
        <is>
          <t>STOCKHOLMS LÄN</t>
        </is>
      </c>
      <c r="E1513" t="inlineStr">
        <is>
          <t>NYNÄSHAMN</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4183-2025</t>
        </is>
      </c>
      <c r="B1514" s="1" t="n">
        <v>45685.44592592592</v>
      </c>
      <c r="C1514" s="1" t="n">
        <v>46089</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52553-2025</t>
        </is>
      </c>
      <c r="B1515" s="1" t="n">
        <v>45954.5624537037</v>
      </c>
      <c r="C1515" s="1" t="n">
        <v>46089</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59957-2023</t>
        </is>
      </c>
      <c r="B1516" s="1" t="n">
        <v>45257</v>
      </c>
      <c r="C1516" s="1" t="n">
        <v>46089</v>
      </c>
      <c r="D1516" t="inlineStr">
        <is>
          <t>STOCKHOLMS LÄN</t>
        </is>
      </c>
      <c r="E1516" t="inlineStr">
        <is>
          <t>SIGTUNA</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24350-2025</t>
        </is>
      </c>
      <c r="B1517" s="1" t="n">
        <v>45797.58350694444</v>
      </c>
      <c r="C1517" s="1" t="n">
        <v>46089</v>
      </c>
      <c r="D1517" t="inlineStr">
        <is>
          <t>STOCKHOLMS LÄN</t>
        </is>
      </c>
      <c r="E1517" t="inlineStr">
        <is>
          <t>NORRTÄLJE</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26703-2025</t>
        </is>
      </c>
      <c r="B1518" s="1" t="n">
        <v>45810.45263888889</v>
      </c>
      <c r="C1518" s="1" t="n">
        <v>46089</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18592-2023</t>
        </is>
      </c>
      <c r="B1519" s="1" t="n">
        <v>45043</v>
      </c>
      <c r="C1519" s="1" t="n">
        <v>46089</v>
      </c>
      <c r="D1519" t="inlineStr">
        <is>
          <t>STOCKHOLMS LÄN</t>
        </is>
      </c>
      <c r="E1519" t="inlineStr">
        <is>
          <t>SÖDERTÄLJE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9480-2025</t>
        </is>
      </c>
      <c r="B1520" s="1" t="n">
        <v>45715</v>
      </c>
      <c r="C1520" s="1" t="n">
        <v>46089</v>
      </c>
      <c r="D1520" t="inlineStr">
        <is>
          <t>STOCKHOLMS LÄN</t>
        </is>
      </c>
      <c r="E1520" t="inlineStr">
        <is>
          <t>NORRTÄLJE</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38194-2025</t>
        </is>
      </c>
      <c r="B1521" s="1" t="n">
        <v>45882.65921296296</v>
      </c>
      <c r="C1521" s="1" t="n">
        <v>46089</v>
      </c>
      <c r="D1521" t="inlineStr">
        <is>
          <t>STOCKHOLMS LÄN</t>
        </is>
      </c>
      <c r="E1521" t="inlineStr">
        <is>
          <t>SÖDERTÄLJE</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717-2026</t>
        </is>
      </c>
      <c r="B1522" s="1" t="n">
        <v>46029.63028935185</v>
      </c>
      <c r="C1522" s="1" t="n">
        <v>46089</v>
      </c>
      <c r="D1522" t="inlineStr">
        <is>
          <t>STOCKHOLMS LÄN</t>
        </is>
      </c>
      <c r="E1522" t="inlineStr">
        <is>
          <t>NORRTÄLJE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38153-2025</t>
        </is>
      </c>
      <c r="B1523" s="1" t="n">
        <v>45882.59722222222</v>
      </c>
      <c r="C1523" s="1" t="n">
        <v>46089</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1381-2023</t>
        </is>
      </c>
      <c r="B1524" s="1" t="n">
        <v>44936.68457175926</v>
      </c>
      <c r="C1524" s="1" t="n">
        <v>46089</v>
      </c>
      <c r="D1524" t="inlineStr">
        <is>
          <t>STOCKHOLMS LÄN</t>
        </is>
      </c>
      <c r="E1524" t="inlineStr">
        <is>
          <t>SÖDERTÄLJE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53299-2025</t>
        </is>
      </c>
      <c r="B1525" s="1" t="n">
        <v>45959.31901620371</v>
      </c>
      <c r="C1525" s="1" t="n">
        <v>46089</v>
      </c>
      <c r="D1525" t="inlineStr">
        <is>
          <t>STOCKHOLMS LÄN</t>
        </is>
      </c>
      <c r="E1525" t="inlineStr">
        <is>
          <t>NORRTÄLJE</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53087-2025</t>
        </is>
      </c>
      <c r="B1526" s="1" t="n">
        <v>45958.41065972222</v>
      </c>
      <c r="C1526" s="1" t="n">
        <v>46089</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53115-2025</t>
        </is>
      </c>
      <c r="B1527" s="1" t="n">
        <v>45958.44614583333</v>
      </c>
      <c r="C1527" s="1" t="n">
        <v>46089</v>
      </c>
      <c r="D1527" t="inlineStr">
        <is>
          <t>STOCKHOLMS LÄN</t>
        </is>
      </c>
      <c r="E1527" t="inlineStr">
        <is>
          <t>NORRTÄLJE</t>
        </is>
      </c>
      <c r="F1527" t="inlineStr">
        <is>
          <t>Kyrkan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22816-2021</t>
        </is>
      </c>
      <c r="B1528" s="1" t="n">
        <v>44325</v>
      </c>
      <c r="C1528" s="1" t="n">
        <v>46089</v>
      </c>
      <c r="D1528" t="inlineStr">
        <is>
          <t>STOCKHOLMS LÄN</t>
        </is>
      </c>
      <c r="E1528" t="inlineStr">
        <is>
          <t>NORRTÄLJE</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53629-2025</t>
        </is>
      </c>
      <c r="B1529" s="1" t="n">
        <v>45960.49570601852</v>
      </c>
      <c r="C1529" s="1" t="n">
        <v>46089</v>
      </c>
      <c r="D1529" t="inlineStr">
        <is>
          <t>STOCKHOLMS LÄN</t>
        </is>
      </c>
      <c r="E1529" t="inlineStr">
        <is>
          <t>NORRTÄLJE</t>
        </is>
      </c>
      <c r="F1529" t="inlineStr">
        <is>
          <t>Naturvårdsverket</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24522-2023</t>
        </is>
      </c>
      <c r="B1530" s="1" t="n">
        <v>45082.69179398148</v>
      </c>
      <c r="C1530" s="1" t="n">
        <v>46089</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25625-2023</t>
        </is>
      </c>
      <c r="B1531" s="1" t="n">
        <v>45089</v>
      </c>
      <c r="C1531" s="1" t="n">
        <v>46089</v>
      </c>
      <c r="D1531" t="inlineStr">
        <is>
          <t>STOCKHOLMS LÄN</t>
        </is>
      </c>
      <c r="E1531" t="inlineStr">
        <is>
          <t>NORRTÄLJE</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812-2026</t>
        </is>
      </c>
      <c r="B1532" s="1" t="n">
        <v>46030.33358796296</v>
      </c>
      <c r="C1532" s="1" t="n">
        <v>46089</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27868-2025</t>
        </is>
      </c>
      <c r="B1533" s="1" t="n">
        <v>45817</v>
      </c>
      <c r="C1533" s="1" t="n">
        <v>46089</v>
      </c>
      <c r="D1533" t="inlineStr">
        <is>
          <t>STOCKHOLMS LÄN</t>
        </is>
      </c>
      <c r="E1533" t="inlineStr">
        <is>
          <t>VALLENTUNA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53747-2025</t>
        </is>
      </c>
      <c r="B1534" s="1" t="n">
        <v>45960.65415509259</v>
      </c>
      <c r="C1534" s="1" t="n">
        <v>46089</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39610-2025</t>
        </is>
      </c>
      <c r="B1535" s="1" t="n">
        <v>45890</v>
      </c>
      <c r="C1535" s="1" t="n">
        <v>46089</v>
      </c>
      <c r="D1535" t="inlineStr">
        <is>
          <t>STOCKHOLMS LÄN</t>
        </is>
      </c>
      <c r="E1535" t="inlineStr">
        <is>
          <t>NORRTÄLJE</t>
        </is>
      </c>
      <c r="G1535" t="n">
        <v>28.6</v>
      </c>
      <c r="H1535" t="n">
        <v>0</v>
      </c>
      <c r="I1535" t="n">
        <v>0</v>
      </c>
      <c r="J1535" t="n">
        <v>0</v>
      </c>
      <c r="K1535" t="n">
        <v>0</v>
      </c>
      <c r="L1535" t="n">
        <v>0</v>
      </c>
      <c r="M1535" t="n">
        <v>0</v>
      </c>
      <c r="N1535" t="n">
        <v>0</v>
      </c>
      <c r="O1535" t="n">
        <v>0</v>
      </c>
      <c r="P1535" t="n">
        <v>0</v>
      </c>
      <c r="Q1535" t="n">
        <v>0</v>
      </c>
      <c r="R1535" s="2" t="inlineStr"/>
    </row>
    <row r="1536" ht="15" customHeight="1">
      <c r="A1536" t="inlineStr">
        <is>
          <t>A 37147-2023</t>
        </is>
      </c>
      <c r="B1536" s="1" t="n">
        <v>45155</v>
      </c>
      <c r="C1536" s="1" t="n">
        <v>46089</v>
      </c>
      <c r="D1536" t="inlineStr">
        <is>
          <t>STOCKHOLMS LÄN</t>
        </is>
      </c>
      <c r="E1536" t="inlineStr">
        <is>
          <t>NORRTÄLJE</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7186-2024</t>
        </is>
      </c>
      <c r="B1537" s="1" t="n">
        <v>45344</v>
      </c>
      <c r="C1537" s="1" t="n">
        <v>46089</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45869-2022</t>
        </is>
      </c>
      <c r="B1538" s="1" t="n">
        <v>44844</v>
      </c>
      <c r="C1538" s="1" t="n">
        <v>46089</v>
      </c>
      <c r="D1538" t="inlineStr">
        <is>
          <t>STOCKHOLMS LÄN</t>
        </is>
      </c>
      <c r="E1538" t="inlineStr">
        <is>
          <t>BOTKYRKA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1150-2026</t>
        </is>
      </c>
      <c r="B1539" s="1" t="n">
        <v>46030.98674768519</v>
      </c>
      <c r="C1539" s="1" t="n">
        <v>46089</v>
      </c>
      <c r="D1539" t="inlineStr">
        <is>
          <t>STOCKHOLMS LÄN</t>
        </is>
      </c>
      <c r="E1539" t="inlineStr">
        <is>
          <t>SÖDERTÄLJE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56354-2023</t>
        </is>
      </c>
      <c r="B1540" s="1" t="n">
        <v>45243</v>
      </c>
      <c r="C1540" s="1" t="n">
        <v>46089</v>
      </c>
      <c r="D1540" t="inlineStr">
        <is>
          <t>STOCKHOLMS LÄN</t>
        </is>
      </c>
      <c r="E1540" t="inlineStr">
        <is>
          <t>SÖDERTÄLJE</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57602-2024</t>
        </is>
      </c>
      <c r="B1541" s="1" t="n">
        <v>45630.52866898148</v>
      </c>
      <c r="C1541" s="1" t="n">
        <v>46089</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3686-2022</t>
        </is>
      </c>
      <c r="B1542" s="1" t="n">
        <v>44586.57239583333</v>
      </c>
      <c r="C1542" s="1" t="n">
        <v>46089</v>
      </c>
      <c r="D1542" t="inlineStr">
        <is>
          <t>STOCKHOLMS LÄN</t>
        </is>
      </c>
      <c r="E1542" t="inlineStr">
        <is>
          <t>BOTKYRKA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64600-2021</t>
        </is>
      </c>
      <c r="B1543" s="1" t="n">
        <v>44511.70518518519</v>
      </c>
      <c r="C1543" s="1" t="n">
        <v>46089</v>
      </c>
      <c r="D1543" t="inlineStr">
        <is>
          <t>STOCKHOLMS LÄN</t>
        </is>
      </c>
      <c r="E1543" t="inlineStr">
        <is>
          <t>NORRTÄLJE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50602-2021</t>
        </is>
      </c>
      <c r="B1544" s="1" t="n">
        <v>44459</v>
      </c>
      <c r="C1544" s="1" t="n">
        <v>46089</v>
      </c>
      <c r="D1544" t="inlineStr">
        <is>
          <t>STOCKHOLMS LÄN</t>
        </is>
      </c>
      <c r="E1544" t="inlineStr">
        <is>
          <t>NORRTÄLJE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26365-2024</t>
        </is>
      </c>
      <c r="B1545" s="1" t="n">
        <v>45469</v>
      </c>
      <c r="C1545" s="1" t="n">
        <v>46089</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67921-2021</t>
        </is>
      </c>
      <c r="B1546" s="1" t="n">
        <v>44525</v>
      </c>
      <c r="C1546" s="1" t="n">
        <v>46089</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21560-2021</t>
        </is>
      </c>
      <c r="B1547" s="1" t="n">
        <v>44321</v>
      </c>
      <c r="C1547" s="1" t="n">
        <v>46089</v>
      </c>
      <c r="D1547" t="inlineStr">
        <is>
          <t>STOCKHOLMS LÄN</t>
        </is>
      </c>
      <c r="E1547" t="inlineStr">
        <is>
          <t>UPPLANDS-BRO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38880-2025</t>
        </is>
      </c>
      <c r="B1548" s="1" t="n">
        <v>45887.57966435186</v>
      </c>
      <c r="C1548" s="1" t="n">
        <v>46089</v>
      </c>
      <c r="D1548" t="inlineStr">
        <is>
          <t>STOCKHOLMS LÄN</t>
        </is>
      </c>
      <c r="E1548" t="inlineStr">
        <is>
          <t>HANINGE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31375-2024</t>
        </is>
      </c>
      <c r="B1549" s="1" t="n">
        <v>45505</v>
      </c>
      <c r="C1549" s="1" t="n">
        <v>46089</v>
      </c>
      <c r="D1549" t="inlineStr">
        <is>
          <t>STOCKHOLMS LÄN</t>
        </is>
      </c>
      <c r="E1549" t="inlineStr">
        <is>
          <t>SÖDERTÄLJE</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54460-2025</t>
        </is>
      </c>
      <c r="B1550" s="1" t="n">
        <v>45965.56219907408</v>
      </c>
      <c r="C1550" s="1" t="n">
        <v>46089</v>
      </c>
      <c r="D1550" t="inlineStr">
        <is>
          <t>STOCKHOLMS LÄN</t>
        </is>
      </c>
      <c r="E1550" t="inlineStr">
        <is>
          <t>VALLENTUNA</t>
        </is>
      </c>
      <c r="G1550" t="n">
        <v>22.9</v>
      </c>
      <c r="H1550" t="n">
        <v>0</v>
      </c>
      <c r="I1550" t="n">
        <v>0</v>
      </c>
      <c r="J1550" t="n">
        <v>0</v>
      </c>
      <c r="K1550" t="n">
        <v>0</v>
      </c>
      <c r="L1550" t="n">
        <v>0</v>
      </c>
      <c r="M1550" t="n">
        <v>0</v>
      </c>
      <c r="N1550" t="n">
        <v>0</v>
      </c>
      <c r="O1550" t="n">
        <v>0</v>
      </c>
      <c r="P1550" t="n">
        <v>0</v>
      </c>
      <c r="Q1550" t="n">
        <v>0</v>
      </c>
      <c r="R1550" s="2" t="inlineStr"/>
    </row>
    <row r="1551" ht="15" customHeight="1">
      <c r="A1551" t="inlineStr">
        <is>
          <t>A 5910-2022</t>
        </is>
      </c>
      <c r="B1551" s="1" t="n">
        <v>44597</v>
      </c>
      <c r="C1551" s="1" t="n">
        <v>46089</v>
      </c>
      <c r="D1551" t="inlineStr">
        <is>
          <t>STOCKHOLMS LÄN</t>
        </is>
      </c>
      <c r="E1551" t="inlineStr">
        <is>
          <t>VALLENTUNA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11718-2021</t>
        </is>
      </c>
      <c r="B1552" s="1" t="n">
        <v>44265</v>
      </c>
      <c r="C1552" s="1" t="n">
        <v>46089</v>
      </c>
      <c r="D1552" t="inlineStr">
        <is>
          <t>STOCKHOLMS LÄN</t>
        </is>
      </c>
      <c r="E1552" t="inlineStr">
        <is>
          <t>SIGTUNA</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26640-2023</t>
        </is>
      </c>
      <c r="B1553" s="1" t="n">
        <v>45092</v>
      </c>
      <c r="C1553" s="1" t="n">
        <v>46089</v>
      </c>
      <c r="D1553" t="inlineStr">
        <is>
          <t>STOCKHOLMS LÄN</t>
        </is>
      </c>
      <c r="E1553" t="inlineStr">
        <is>
          <t>NORRTÄLJE</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31827-2023</t>
        </is>
      </c>
      <c r="B1554" s="1" t="n">
        <v>45118</v>
      </c>
      <c r="C1554" s="1" t="n">
        <v>46089</v>
      </c>
      <c r="D1554" t="inlineStr">
        <is>
          <t>STOCKHOLMS LÄN</t>
        </is>
      </c>
      <c r="E1554" t="inlineStr">
        <is>
          <t>NORRTÄLJE</t>
        </is>
      </c>
      <c r="F1554" t="inlineStr">
        <is>
          <t>Kyrkan</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58993-2022</t>
        </is>
      </c>
      <c r="B1555" s="1" t="n">
        <v>44903</v>
      </c>
      <c r="C1555" s="1" t="n">
        <v>46089</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28900-2022</t>
        </is>
      </c>
      <c r="B1556" s="1" t="n">
        <v>44749.55258101852</v>
      </c>
      <c r="C1556" s="1" t="n">
        <v>46089</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17574-2025</t>
        </is>
      </c>
      <c r="B1557" s="1" t="n">
        <v>45757.65178240741</v>
      </c>
      <c r="C1557" s="1" t="n">
        <v>46089</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54466-2025</t>
        </is>
      </c>
      <c r="B1558" s="1" t="n">
        <v>45965.56984953704</v>
      </c>
      <c r="C1558" s="1" t="n">
        <v>46089</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46089</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17086-2025</t>
        </is>
      </c>
      <c r="B1560" s="1" t="n">
        <v>45754</v>
      </c>
      <c r="C1560" s="1" t="n">
        <v>46089</v>
      </c>
      <c r="D1560" t="inlineStr">
        <is>
          <t>STOCKHOLMS LÄN</t>
        </is>
      </c>
      <c r="E1560" t="inlineStr">
        <is>
          <t>VÄRMDÖ</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20711-2021</t>
        </is>
      </c>
      <c r="B1561" s="1" t="n">
        <v>44316</v>
      </c>
      <c r="C1561" s="1" t="n">
        <v>46089</v>
      </c>
      <c r="D1561" t="inlineStr">
        <is>
          <t>STOCKHOLMS LÄN</t>
        </is>
      </c>
      <c r="E1561" t="inlineStr">
        <is>
          <t>NYKVARN</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54448-2025</t>
        </is>
      </c>
      <c r="B1562" s="1" t="n">
        <v>45965</v>
      </c>
      <c r="C1562" s="1" t="n">
        <v>46089</v>
      </c>
      <c r="D1562" t="inlineStr">
        <is>
          <t>STOCKHOLMS LÄN</t>
        </is>
      </c>
      <c r="E1562" t="inlineStr">
        <is>
          <t>SÖDERTÄLJE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50059-2021</t>
        </is>
      </c>
      <c r="B1563" s="1" t="n">
        <v>44455</v>
      </c>
      <c r="C1563" s="1" t="n">
        <v>46089</v>
      </c>
      <c r="D1563" t="inlineStr">
        <is>
          <t>STOCKHOLMS LÄN</t>
        </is>
      </c>
      <c r="E1563" t="inlineStr">
        <is>
          <t>SÖDERTÄLJE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46089</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58297-2023</t>
        </is>
      </c>
      <c r="B1565" s="1" t="n">
        <v>45245</v>
      </c>
      <c r="C1565" s="1" t="n">
        <v>46089</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20304-2023</t>
        </is>
      </c>
      <c r="B1566" s="1" t="n">
        <v>45056</v>
      </c>
      <c r="C1566" s="1" t="n">
        <v>46089</v>
      </c>
      <c r="D1566" t="inlineStr">
        <is>
          <t>STOCKHOLMS LÄN</t>
        </is>
      </c>
      <c r="E1566" t="inlineStr">
        <is>
          <t>NORRTÄLJE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12299-2025</t>
        </is>
      </c>
      <c r="B1567" s="1" t="n">
        <v>45729.71065972222</v>
      </c>
      <c r="C1567" s="1" t="n">
        <v>46089</v>
      </c>
      <c r="D1567" t="inlineStr">
        <is>
          <t>STOCKHOLMS LÄN</t>
        </is>
      </c>
      <c r="E1567" t="inlineStr">
        <is>
          <t>NORRTÄLJE</t>
        </is>
      </c>
      <c r="F1567" t="inlineStr">
        <is>
          <t>Holmen skog AB</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22157-2023</t>
        </is>
      </c>
      <c r="B1568" s="1" t="n">
        <v>45069</v>
      </c>
      <c r="C1568" s="1" t="n">
        <v>46089</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c r="U1568">
        <f>HYPERLINK("https://klasma.github.io/Logging_0188/knärot/A 22157-2023 karta knärot.png", "A 22157-2023")</f>
        <v/>
      </c>
      <c r="V1568">
        <f>HYPERLINK("https://klasma.github.io/Logging_0188/klagomål/A 22157-2023 FSC-klagomål.docx", "A 22157-2023")</f>
        <v/>
      </c>
      <c r="W1568">
        <f>HYPERLINK("https://klasma.github.io/Logging_0188/klagomålsmail/A 22157-2023 FSC-klagomål mail.docx", "A 22157-2023")</f>
        <v/>
      </c>
      <c r="X1568">
        <f>HYPERLINK("https://klasma.github.io/Logging_0188/tillsyn/A 22157-2023 tillsynsbegäran.docx", "A 22157-2023")</f>
        <v/>
      </c>
      <c r="Y1568">
        <f>HYPERLINK("https://klasma.github.io/Logging_0188/tillsynsmail/A 22157-2023 tillsynsbegäran mail.docx", "A 22157-2023")</f>
        <v/>
      </c>
    </row>
    <row r="1569" ht="15" customHeight="1">
      <c r="A1569" t="inlineStr">
        <is>
          <t>A 24994-2021</t>
        </is>
      </c>
      <c r="B1569" s="1" t="n">
        <v>44341</v>
      </c>
      <c r="C1569" s="1" t="n">
        <v>46089</v>
      </c>
      <c r="D1569" t="inlineStr">
        <is>
          <t>STOCKHOLMS LÄN</t>
        </is>
      </c>
      <c r="E1569" t="inlineStr">
        <is>
          <t>VALLENTUNA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11929-2024</t>
        </is>
      </c>
      <c r="B1570" s="1" t="n">
        <v>45376.64532407407</v>
      </c>
      <c r="C1570" s="1" t="n">
        <v>46089</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33958-2023</t>
        </is>
      </c>
      <c r="B1571" s="1" t="n">
        <v>45124</v>
      </c>
      <c r="C1571" s="1" t="n">
        <v>46089</v>
      </c>
      <c r="D1571" t="inlineStr">
        <is>
          <t>STOCKHOLMS LÄN</t>
        </is>
      </c>
      <c r="E1571" t="inlineStr">
        <is>
          <t>VÄRMDÖ</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31120-2023</t>
        </is>
      </c>
      <c r="B1572" s="1" t="n">
        <v>45113</v>
      </c>
      <c r="C1572" s="1" t="n">
        <v>46089</v>
      </c>
      <c r="D1572" t="inlineStr">
        <is>
          <t>STOCKHOLMS LÄN</t>
        </is>
      </c>
      <c r="E1572" t="inlineStr">
        <is>
          <t>UPPLANDS VÄSBY</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54907-2025</t>
        </is>
      </c>
      <c r="B1573" s="1" t="n">
        <v>45967.37137731481</v>
      </c>
      <c r="C1573" s="1" t="n">
        <v>46089</v>
      </c>
      <c r="D1573" t="inlineStr">
        <is>
          <t>STOCKHOLMS LÄN</t>
        </is>
      </c>
      <c r="E1573" t="inlineStr">
        <is>
          <t>NORRTÄLJE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9720-2026</t>
        </is>
      </c>
      <c r="B1574" s="1" t="n">
        <v>46072.45061342593</v>
      </c>
      <c r="C1574" s="1" t="n">
        <v>46089</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2046-2026</t>
        </is>
      </c>
      <c r="B1575" s="1" t="n">
        <v>46031</v>
      </c>
      <c r="C1575" s="1" t="n">
        <v>46089</v>
      </c>
      <c r="D1575" t="inlineStr">
        <is>
          <t>STOCKHOLMS LÄN</t>
        </is>
      </c>
      <c r="E1575" t="inlineStr">
        <is>
          <t>UPPLANDS-BRO</t>
        </is>
      </c>
      <c r="F1575" t="inlineStr">
        <is>
          <t>Övriga statliga verk och myndigheter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6775-2022</t>
        </is>
      </c>
      <c r="B1576" s="1" t="n">
        <v>44602.52413194445</v>
      </c>
      <c r="C1576" s="1" t="n">
        <v>46089</v>
      </c>
      <c r="D1576" t="inlineStr">
        <is>
          <t>STOCKHOLMS LÄN</t>
        </is>
      </c>
      <c r="E1576" t="inlineStr">
        <is>
          <t>NYNÄSHAMN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55503-2025</t>
        </is>
      </c>
      <c r="B1577" s="1" t="n">
        <v>45971</v>
      </c>
      <c r="C1577" s="1" t="n">
        <v>46089</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1696-2026</t>
        </is>
      </c>
      <c r="B1578" s="1" t="n">
        <v>46034.59373842592</v>
      </c>
      <c r="C1578" s="1" t="n">
        <v>46089</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10399-2026</t>
        </is>
      </c>
      <c r="B1579" s="1" t="n">
        <v>46077</v>
      </c>
      <c r="C1579" s="1" t="n">
        <v>46089</v>
      </c>
      <c r="D1579" t="inlineStr">
        <is>
          <t>STOCKHOLMS LÄN</t>
        </is>
      </c>
      <c r="E1579" t="inlineStr">
        <is>
          <t>NORRTÄLJE</t>
        </is>
      </c>
      <c r="F1579" t="inlineStr">
        <is>
          <t>Övriga Aktiebolag</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8296-2023</t>
        </is>
      </c>
      <c r="B1580" s="1" t="n">
        <v>44974</v>
      </c>
      <c r="C1580" s="1" t="n">
        <v>46089</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55532-2025</t>
        </is>
      </c>
      <c r="B1581" s="1" t="n">
        <v>45971.62462962963</v>
      </c>
      <c r="C1581" s="1" t="n">
        <v>46089</v>
      </c>
      <c r="D1581" t="inlineStr">
        <is>
          <t>STOCKHOLMS LÄN</t>
        </is>
      </c>
      <c r="E1581" t="inlineStr">
        <is>
          <t>SÖDERTÄLJE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24575-2024</t>
        </is>
      </c>
      <c r="B1582" s="1" t="n">
        <v>45460.45523148148</v>
      </c>
      <c r="C1582" s="1" t="n">
        <v>46089</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64899-2023</t>
        </is>
      </c>
      <c r="B1583" s="1" t="n">
        <v>45282</v>
      </c>
      <c r="C1583" s="1" t="n">
        <v>46089</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1715-2026</t>
        </is>
      </c>
      <c r="B1584" s="1" t="n">
        <v>46034.60863425926</v>
      </c>
      <c r="C1584" s="1" t="n">
        <v>46089</v>
      </c>
      <c r="D1584" t="inlineStr">
        <is>
          <t>STOCKHOLMS LÄN</t>
        </is>
      </c>
      <c r="E1584" t="inlineStr">
        <is>
          <t>SÖDERTÄLJE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52593-2024</t>
        </is>
      </c>
      <c r="B1585" s="1" t="n">
        <v>45609.70778935185</v>
      </c>
      <c r="C1585" s="1" t="n">
        <v>46089</v>
      </c>
      <c r="D1585" t="inlineStr">
        <is>
          <t>STOCKHOLMS LÄN</t>
        </is>
      </c>
      <c r="E1585" t="inlineStr">
        <is>
          <t>NORRTÄLJE</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52617-2024</t>
        </is>
      </c>
      <c r="B1586" s="1" t="n">
        <v>45609.85146990741</v>
      </c>
      <c r="C1586" s="1" t="n">
        <v>46089</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55599-2025</t>
        </is>
      </c>
      <c r="B1587" s="1" t="n">
        <v>45971.76810185185</v>
      </c>
      <c r="C1587" s="1" t="n">
        <v>46089</v>
      </c>
      <c r="D1587" t="inlineStr">
        <is>
          <t>STOCKHOLMS LÄN</t>
        </is>
      </c>
      <c r="E1587" t="inlineStr">
        <is>
          <t>NORRTÄLJE</t>
        </is>
      </c>
      <c r="F1587" t="inlineStr">
        <is>
          <t>Holmen skog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56114-2025</t>
        </is>
      </c>
      <c r="B1588" s="1" t="n">
        <v>45973.74474537037</v>
      </c>
      <c r="C1588" s="1" t="n">
        <v>46089</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1755-2026</t>
        </is>
      </c>
      <c r="B1589" s="1" t="n">
        <v>46034.66230324074</v>
      </c>
      <c r="C1589" s="1" t="n">
        <v>46089</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22816-2021</t>
        </is>
      </c>
      <c r="B1590" s="1" t="n">
        <v>44325</v>
      </c>
      <c r="C1590" s="1" t="n">
        <v>46089</v>
      </c>
      <c r="D1590" t="inlineStr">
        <is>
          <t>STOCKHOLMS LÄN</t>
        </is>
      </c>
      <c r="E1590" t="inlineStr">
        <is>
          <t>NORRTÄLJE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59904-2023</t>
        </is>
      </c>
      <c r="B1591" s="1" t="n">
        <v>45257</v>
      </c>
      <c r="C1591" s="1" t="n">
        <v>46089</v>
      </c>
      <c r="D1591" t="inlineStr">
        <is>
          <t>STOCKHOLMS LÄN</t>
        </is>
      </c>
      <c r="E1591" t="inlineStr">
        <is>
          <t>NORRTÄLJE</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9914-2023</t>
        </is>
      </c>
      <c r="B1592" s="1" t="n">
        <v>44985</v>
      </c>
      <c r="C1592" s="1" t="n">
        <v>46089</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15260-2023</t>
        </is>
      </c>
      <c r="B1593" s="1" t="n">
        <v>45019</v>
      </c>
      <c r="C1593" s="1" t="n">
        <v>46089</v>
      </c>
      <c r="D1593" t="inlineStr">
        <is>
          <t>STOCKHOLMS LÄN</t>
        </is>
      </c>
      <c r="E1593" t="inlineStr">
        <is>
          <t>NACKA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17990-2024</t>
        </is>
      </c>
      <c r="B1594" s="1" t="n">
        <v>45419</v>
      </c>
      <c r="C1594" s="1" t="n">
        <v>46089</v>
      </c>
      <c r="D1594" t="inlineStr">
        <is>
          <t>STOCKHOLMS LÄN</t>
        </is>
      </c>
      <c r="E1594" t="inlineStr">
        <is>
          <t>NYNÄSHAMN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11062-2024</t>
        </is>
      </c>
      <c r="B1595" s="1" t="n">
        <v>45370</v>
      </c>
      <c r="C1595" s="1" t="n">
        <v>46089</v>
      </c>
      <c r="D1595" t="inlineStr">
        <is>
          <t>STOCKHOLMS LÄN</t>
        </is>
      </c>
      <c r="E1595" t="inlineStr">
        <is>
          <t>NORRTÄLJE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1789-2026</t>
        </is>
      </c>
      <c r="B1596" s="1" t="n">
        <v>46034</v>
      </c>
      <c r="C1596" s="1" t="n">
        <v>46089</v>
      </c>
      <c r="D1596" t="inlineStr">
        <is>
          <t>STOCKHOLMS LÄN</t>
        </is>
      </c>
      <c r="E1596" t="inlineStr">
        <is>
          <t>NORRTÄLJE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33569-2023</t>
        </is>
      </c>
      <c r="B1597" s="1" t="n">
        <v>45131.666875</v>
      </c>
      <c r="C1597" s="1" t="n">
        <v>46089</v>
      </c>
      <c r="D1597" t="inlineStr">
        <is>
          <t>STOCKHOLMS LÄN</t>
        </is>
      </c>
      <c r="E1597" t="inlineStr">
        <is>
          <t>NORRTÄLJE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56210-2025</t>
        </is>
      </c>
      <c r="B1598" s="1" t="n">
        <v>45974.47630787037</v>
      </c>
      <c r="C1598" s="1" t="n">
        <v>46089</v>
      </c>
      <c r="D1598" t="inlineStr">
        <is>
          <t>STOCKHOLMS LÄN</t>
        </is>
      </c>
      <c r="E1598" t="inlineStr">
        <is>
          <t>NYNÄSHAMN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15692-2023</t>
        </is>
      </c>
      <c r="B1599" s="1" t="n">
        <v>45020</v>
      </c>
      <c r="C1599" s="1" t="n">
        <v>46089</v>
      </c>
      <c r="D1599" t="inlineStr">
        <is>
          <t>STOCKHOLMS LÄN</t>
        </is>
      </c>
      <c r="E1599" t="inlineStr">
        <is>
          <t>BOTKYRKA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15905-2023</t>
        </is>
      </c>
      <c r="B1600" s="1" t="n">
        <v>45022</v>
      </c>
      <c r="C1600" s="1" t="n">
        <v>46089</v>
      </c>
      <c r="D1600" t="inlineStr">
        <is>
          <t>STOCKHOLMS LÄN</t>
        </is>
      </c>
      <c r="E1600" t="inlineStr">
        <is>
          <t>NORRTÄLJE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60795-2023</t>
        </is>
      </c>
      <c r="B1601" s="1" t="n">
        <v>45260</v>
      </c>
      <c r="C1601" s="1" t="n">
        <v>46089</v>
      </c>
      <c r="D1601" t="inlineStr">
        <is>
          <t>STOCKHOLMS LÄN</t>
        </is>
      </c>
      <c r="E1601" t="inlineStr">
        <is>
          <t>VALLENTUNA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39394-2023</t>
        </is>
      </c>
      <c r="B1602" s="1" t="n">
        <v>45166</v>
      </c>
      <c r="C1602" s="1" t="n">
        <v>46089</v>
      </c>
      <c r="D1602" t="inlineStr">
        <is>
          <t>STOCKHOLMS LÄN</t>
        </is>
      </c>
      <c r="E1602" t="inlineStr">
        <is>
          <t>ÖSTERÅKER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60997-2022</t>
        </is>
      </c>
      <c r="B1603" s="1" t="n">
        <v>44914.70746527778</v>
      </c>
      <c r="C1603" s="1" t="n">
        <v>46089</v>
      </c>
      <c r="D1603" t="inlineStr">
        <is>
          <t>STOCKHOLMS LÄN</t>
        </is>
      </c>
      <c r="E1603" t="inlineStr">
        <is>
          <t>VALLENTUNA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46089</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17624-2024</t>
        </is>
      </c>
      <c r="B1605" s="1" t="n">
        <v>45417.84</v>
      </c>
      <c r="C1605" s="1" t="n">
        <v>46089</v>
      </c>
      <c r="D1605" t="inlineStr">
        <is>
          <t>STOCKHOLMS LÄN</t>
        </is>
      </c>
      <c r="E1605" t="inlineStr">
        <is>
          <t>VÄRMDÖ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15956-2023</t>
        </is>
      </c>
      <c r="B1606" s="1" t="n">
        <v>45022.61003472222</v>
      </c>
      <c r="C1606" s="1" t="n">
        <v>46089</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10429-2026</t>
        </is>
      </c>
      <c r="B1607" s="1" t="n">
        <v>46077.3822337963</v>
      </c>
      <c r="C1607" s="1" t="n">
        <v>46089</v>
      </c>
      <c r="D1607" t="inlineStr">
        <is>
          <t>STOCKHOLMS LÄN</t>
        </is>
      </c>
      <c r="E1607" t="inlineStr">
        <is>
          <t>NORRTÄLJE</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64411-2023</t>
        </is>
      </c>
      <c r="B1608" s="1" t="n">
        <v>45280.63304398148</v>
      </c>
      <c r="C1608" s="1" t="n">
        <v>46089</v>
      </c>
      <c r="D1608" t="inlineStr">
        <is>
          <t>STOCKHOLMS LÄN</t>
        </is>
      </c>
      <c r="E1608" t="inlineStr">
        <is>
          <t>NYNÄSHAMN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56207-2025</t>
        </is>
      </c>
      <c r="B1609" s="1" t="n">
        <v>45974.47329861111</v>
      </c>
      <c r="C1609" s="1" t="n">
        <v>46089</v>
      </c>
      <c r="D1609" t="inlineStr">
        <is>
          <t>STOCKHOLMS LÄN</t>
        </is>
      </c>
      <c r="E1609" t="inlineStr">
        <is>
          <t>NORRTÄLJE</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10444-2026</t>
        </is>
      </c>
      <c r="B1610" s="1" t="n">
        <v>46077.42230324074</v>
      </c>
      <c r="C1610" s="1" t="n">
        <v>46089</v>
      </c>
      <c r="D1610" t="inlineStr">
        <is>
          <t>STOCKHOLMS LÄN</t>
        </is>
      </c>
      <c r="E1610" t="inlineStr">
        <is>
          <t>NORRTÄLJE</t>
        </is>
      </c>
      <c r="F1610" t="inlineStr">
        <is>
          <t>Holmen skog AB</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47626-2022</t>
        </is>
      </c>
      <c r="B1611" s="1" t="n">
        <v>44854</v>
      </c>
      <c r="C1611" s="1" t="n">
        <v>46089</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62206-2022</t>
        </is>
      </c>
      <c r="B1612" s="1" t="n">
        <v>44922</v>
      </c>
      <c r="C1612" s="1" t="n">
        <v>46089</v>
      </c>
      <c r="D1612" t="inlineStr">
        <is>
          <t>STOCKHOLMS LÄN</t>
        </is>
      </c>
      <c r="E1612" t="inlineStr">
        <is>
          <t>NORRTÄLJE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56948-2025</t>
        </is>
      </c>
      <c r="B1613" s="1" t="n">
        <v>45978.64356481482</v>
      </c>
      <c r="C1613" s="1" t="n">
        <v>46089</v>
      </c>
      <c r="D1613" t="inlineStr">
        <is>
          <t>STOCKHOLMS LÄN</t>
        </is>
      </c>
      <c r="E1613" t="inlineStr">
        <is>
          <t>UPPLANDS VÄSBY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10327-2026</t>
        </is>
      </c>
      <c r="B1614" s="1" t="n">
        <v>46076.66210648148</v>
      </c>
      <c r="C1614" s="1" t="n">
        <v>46089</v>
      </c>
      <c r="D1614" t="inlineStr">
        <is>
          <t>STOCKHOLMS LÄN</t>
        </is>
      </c>
      <c r="E1614" t="inlineStr">
        <is>
          <t>SÖDERTÄLJE</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10586-2026</t>
        </is>
      </c>
      <c r="B1615" s="1" t="n">
        <v>46077.68192129629</v>
      </c>
      <c r="C1615" s="1" t="n">
        <v>46089</v>
      </c>
      <c r="D1615" t="inlineStr">
        <is>
          <t>STOCKHOLMS LÄN</t>
        </is>
      </c>
      <c r="E1615" t="inlineStr">
        <is>
          <t>NORRTÄLJE</t>
        </is>
      </c>
      <c r="F1615" t="inlineStr">
        <is>
          <t>Holmen skog AB</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10553-2026</t>
        </is>
      </c>
      <c r="B1616" s="1" t="n">
        <v>46077.62944444444</v>
      </c>
      <c r="C1616" s="1" t="n">
        <v>46089</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31695-2022</t>
        </is>
      </c>
      <c r="B1617" s="1" t="n">
        <v>44776</v>
      </c>
      <c r="C1617" s="1" t="n">
        <v>46089</v>
      </c>
      <c r="D1617" t="inlineStr">
        <is>
          <t>STOCKHOLMS LÄN</t>
        </is>
      </c>
      <c r="E1617" t="inlineStr">
        <is>
          <t>SIGTUNA</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20618-2022</t>
        </is>
      </c>
      <c r="B1618" s="1" t="n">
        <v>44700.50659722222</v>
      </c>
      <c r="C1618" s="1" t="n">
        <v>46089</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40168-2023</t>
        </is>
      </c>
      <c r="B1619" s="1" t="n">
        <v>45169.38591435185</v>
      </c>
      <c r="C1619" s="1" t="n">
        <v>46089</v>
      </c>
      <c r="D1619" t="inlineStr">
        <is>
          <t>STOCKHOLMS LÄN</t>
        </is>
      </c>
      <c r="E1619" t="inlineStr">
        <is>
          <t>NYKVARN</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40192-2023</t>
        </is>
      </c>
      <c r="B1620" s="1" t="n">
        <v>45169</v>
      </c>
      <c r="C1620" s="1" t="n">
        <v>46089</v>
      </c>
      <c r="D1620" t="inlineStr">
        <is>
          <t>STOCKHOLMS LÄN</t>
        </is>
      </c>
      <c r="E1620" t="inlineStr">
        <is>
          <t>NORRTÄLJE</t>
        </is>
      </c>
      <c r="F1620" t="inlineStr">
        <is>
          <t>Kyrkan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56917-2025</t>
        </is>
      </c>
      <c r="B1621" s="1" t="n">
        <v>45978.58453703704</v>
      </c>
      <c r="C1621" s="1" t="n">
        <v>46089</v>
      </c>
      <c r="D1621" t="inlineStr">
        <is>
          <t>STOCKHOLMS LÄN</t>
        </is>
      </c>
      <c r="E1621" t="inlineStr">
        <is>
          <t>UPPLANDS VÄSBY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17320-2023</t>
        </is>
      </c>
      <c r="B1622" s="1" t="n">
        <v>45035.54853009259</v>
      </c>
      <c r="C1622" s="1" t="n">
        <v>46089</v>
      </c>
      <c r="D1622" t="inlineStr">
        <is>
          <t>STOCKHOLMS LÄN</t>
        </is>
      </c>
      <c r="E1622" t="inlineStr">
        <is>
          <t>SIGTUNA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11900-2022</t>
        </is>
      </c>
      <c r="B1623" s="1" t="n">
        <v>44635</v>
      </c>
      <c r="C1623" s="1" t="n">
        <v>46089</v>
      </c>
      <c r="D1623" t="inlineStr">
        <is>
          <t>STOCKHOLMS LÄN</t>
        </is>
      </c>
      <c r="E1623" t="inlineStr">
        <is>
          <t>NORRTÄLJE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10973-2025</t>
        </is>
      </c>
      <c r="B1624" s="1" t="n">
        <v>45723</v>
      </c>
      <c r="C1624" s="1" t="n">
        <v>46089</v>
      </c>
      <c r="D1624" t="inlineStr">
        <is>
          <t>STOCKHOLMS LÄN</t>
        </is>
      </c>
      <c r="E1624" t="inlineStr">
        <is>
          <t>NORRTÄLJE</t>
        </is>
      </c>
      <c r="F1624" t="inlineStr">
        <is>
          <t>Övriga Aktiebolag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27885-2022</t>
        </is>
      </c>
      <c r="B1625" s="1" t="n">
        <v>44743.67418981482</v>
      </c>
      <c r="C1625" s="1" t="n">
        <v>46089</v>
      </c>
      <c r="D1625" t="inlineStr">
        <is>
          <t>STOCKHOLMS LÄN</t>
        </is>
      </c>
      <c r="E1625" t="inlineStr">
        <is>
          <t>NORRTÄLJE</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41681-2023</t>
        </is>
      </c>
      <c r="B1626" s="1" t="n">
        <v>45173</v>
      </c>
      <c r="C1626" s="1" t="n">
        <v>46089</v>
      </c>
      <c r="D1626" t="inlineStr">
        <is>
          <t>STOCKHOLMS LÄN</t>
        </is>
      </c>
      <c r="E1626" t="inlineStr">
        <is>
          <t>NYKVARN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11045-2026</t>
        </is>
      </c>
      <c r="B1627" s="1" t="n">
        <v>46079.58353009259</v>
      </c>
      <c r="C1627" s="1" t="n">
        <v>46089</v>
      </c>
      <c r="D1627" t="inlineStr">
        <is>
          <t>STOCKHOLMS LÄN</t>
        </is>
      </c>
      <c r="E1627" t="inlineStr">
        <is>
          <t>NYKVARN</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16803-2022</t>
        </is>
      </c>
      <c r="B1628" s="1" t="n">
        <v>44673</v>
      </c>
      <c r="C1628" s="1" t="n">
        <v>46089</v>
      </c>
      <c r="D1628" t="inlineStr">
        <is>
          <t>STOCKHOLMS LÄN</t>
        </is>
      </c>
      <c r="E1628" t="inlineStr">
        <is>
          <t>ÖSTERÅKER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954-2023</t>
        </is>
      </c>
      <c r="B1629" s="1" t="n">
        <v>44934.7921875</v>
      </c>
      <c r="C1629" s="1" t="n">
        <v>46089</v>
      </c>
      <c r="D1629" t="inlineStr">
        <is>
          <t>STOCKHOLMS LÄN</t>
        </is>
      </c>
      <c r="E1629" t="inlineStr">
        <is>
          <t>SÖDERTÄLJE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2542-2026</t>
        </is>
      </c>
      <c r="B1630" s="1" t="n">
        <v>46037.46063657408</v>
      </c>
      <c r="C1630" s="1" t="n">
        <v>46089</v>
      </c>
      <c r="D1630" t="inlineStr">
        <is>
          <t>STOCKHOLMS LÄN</t>
        </is>
      </c>
      <c r="E1630" t="inlineStr">
        <is>
          <t>SÖDERTÄLJE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35200-2023</t>
        </is>
      </c>
      <c r="B1631" s="1" t="n">
        <v>45145</v>
      </c>
      <c r="C1631" s="1" t="n">
        <v>46089</v>
      </c>
      <c r="D1631" t="inlineStr">
        <is>
          <t>STOCKHOLMS LÄN</t>
        </is>
      </c>
      <c r="E1631" t="inlineStr">
        <is>
          <t>SÖDERTÄLJE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57871-2025</t>
        </is>
      </c>
      <c r="B1632" s="1" t="n">
        <v>45981.6530787037</v>
      </c>
      <c r="C1632" s="1" t="n">
        <v>46089</v>
      </c>
      <c r="D1632" t="inlineStr">
        <is>
          <t>STOCKHOLMS LÄN</t>
        </is>
      </c>
      <c r="E1632" t="inlineStr">
        <is>
          <t>SIGTUNA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57879-2025</t>
        </is>
      </c>
      <c r="B1633" s="1" t="n">
        <v>45981.66293981481</v>
      </c>
      <c r="C1633" s="1" t="n">
        <v>46089</v>
      </c>
      <c r="D1633" t="inlineStr">
        <is>
          <t>STOCKHOLMS LÄN</t>
        </is>
      </c>
      <c r="E1633" t="inlineStr">
        <is>
          <t>SIGTUNA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57881-2025</t>
        </is>
      </c>
      <c r="B1634" s="1" t="n">
        <v>45981.66450231482</v>
      </c>
      <c r="C1634" s="1" t="n">
        <v>46089</v>
      </c>
      <c r="D1634" t="inlineStr">
        <is>
          <t>STOCKHOLMS LÄN</t>
        </is>
      </c>
      <c r="E1634" t="inlineStr">
        <is>
          <t>SIGTUNA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470-2022</t>
        </is>
      </c>
      <c r="B1635" s="1" t="n">
        <v>44565</v>
      </c>
      <c r="C1635" s="1" t="n">
        <v>46089</v>
      </c>
      <c r="D1635" t="inlineStr">
        <is>
          <t>STOCKHOLMS LÄN</t>
        </is>
      </c>
      <c r="E1635" t="inlineStr">
        <is>
          <t>ÖSTERÅKER</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73151-2021</t>
        </is>
      </c>
      <c r="B1636" s="1" t="n">
        <v>44550.5162037037</v>
      </c>
      <c r="C1636" s="1" t="n">
        <v>46089</v>
      </c>
      <c r="D1636" t="inlineStr">
        <is>
          <t>STOCKHOLMS LÄN</t>
        </is>
      </c>
      <c r="E1636" t="inlineStr">
        <is>
          <t>BOTKYRKA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2088-2026</t>
        </is>
      </c>
      <c r="B1637" s="1" t="n">
        <v>46036.35909722222</v>
      </c>
      <c r="C1637" s="1" t="n">
        <v>46089</v>
      </c>
      <c r="D1637" t="inlineStr">
        <is>
          <t>STOCKHOLMS LÄN</t>
        </is>
      </c>
      <c r="E1637" t="inlineStr">
        <is>
          <t>NORRTÄLJE</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3341-2025</t>
        </is>
      </c>
      <c r="B1638" s="1" t="n">
        <v>45679</v>
      </c>
      <c r="C1638" s="1" t="n">
        <v>46089</v>
      </c>
      <c r="D1638" t="inlineStr">
        <is>
          <t>STOCKHOLMS LÄN</t>
        </is>
      </c>
      <c r="E1638" t="inlineStr">
        <is>
          <t>NYNÄSHAMN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24363-2023</t>
        </is>
      </c>
      <c r="B1639" s="1" t="n">
        <v>45076</v>
      </c>
      <c r="C1639" s="1" t="n">
        <v>46089</v>
      </c>
      <c r="D1639" t="inlineStr">
        <is>
          <t>STOCKHOLMS LÄN</t>
        </is>
      </c>
      <c r="E1639" t="inlineStr">
        <is>
          <t>HUDDINGE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7582-2026</t>
        </is>
      </c>
      <c r="B1640" s="1" t="n">
        <v>46061</v>
      </c>
      <c r="C1640" s="1" t="n">
        <v>46089</v>
      </c>
      <c r="D1640" t="inlineStr">
        <is>
          <t>STOCKHOLMS LÄN</t>
        </is>
      </c>
      <c r="E1640" t="inlineStr">
        <is>
          <t>NORRTÄLJE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58403-2025</t>
        </is>
      </c>
      <c r="B1641" s="1" t="n">
        <v>45985.56777777777</v>
      </c>
      <c r="C1641" s="1" t="n">
        <v>46089</v>
      </c>
      <c r="D1641" t="inlineStr">
        <is>
          <t>STOCKHOLMS LÄN</t>
        </is>
      </c>
      <c r="E1641" t="inlineStr">
        <is>
          <t>NORRTÄLJE</t>
        </is>
      </c>
      <c r="F1641" t="inlineStr">
        <is>
          <t>Naturvårdsverket</t>
        </is>
      </c>
      <c r="G1641" t="n">
        <v>13.5</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46089</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46089</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5142-2024</t>
        </is>
      </c>
      <c r="B1644" s="1" t="n">
        <v>45330</v>
      </c>
      <c r="C1644" s="1" t="n">
        <v>46089</v>
      </c>
      <c r="D1644" t="inlineStr">
        <is>
          <t>STOCKHOLMS LÄN</t>
        </is>
      </c>
      <c r="E1644" t="inlineStr">
        <is>
          <t>SIGTUNA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58142-2025</t>
        </is>
      </c>
      <c r="B1645" s="1" t="n">
        <v>45982.63791666667</v>
      </c>
      <c r="C1645" s="1" t="n">
        <v>46089</v>
      </c>
      <c r="D1645" t="inlineStr">
        <is>
          <t>STOCKHOLMS LÄN</t>
        </is>
      </c>
      <c r="E1645" t="inlineStr">
        <is>
          <t>NORRTÄLJE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5158-2024</t>
        </is>
      </c>
      <c r="B1646" s="1" t="n">
        <v>45330.50098379629</v>
      </c>
      <c r="C1646" s="1" t="n">
        <v>46089</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57953-2025</t>
        </is>
      </c>
      <c r="B1647" s="1" t="n">
        <v>45982.35016203704</v>
      </c>
      <c r="C1647" s="1" t="n">
        <v>46089</v>
      </c>
      <c r="D1647" t="inlineStr">
        <is>
          <t>STOCKHOLMS LÄN</t>
        </is>
      </c>
      <c r="E1647" t="inlineStr">
        <is>
          <t>NORRTÄLJE</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20957-2023</t>
        </is>
      </c>
      <c r="B1648" s="1" t="n">
        <v>45061</v>
      </c>
      <c r="C1648" s="1" t="n">
        <v>46089</v>
      </c>
      <c r="D1648" t="inlineStr">
        <is>
          <t>STOCKHOLMS LÄN</t>
        </is>
      </c>
      <c r="E1648" t="inlineStr">
        <is>
          <t>SIGTUNA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14775-2024</t>
        </is>
      </c>
      <c r="B1649" s="1" t="n">
        <v>45397.73675925926</v>
      </c>
      <c r="C1649" s="1" t="n">
        <v>46089</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9130-2025</t>
        </is>
      </c>
      <c r="B1650" s="1" t="n">
        <v>45713.92623842593</v>
      </c>
      <c r="C1650" s="1" t="n">
        <v>46089</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2628-2026</t>
        </is>
      </c>
      <c r="B1651" s="1" t="n">
        <v>46037.60576388889</v>
      </c>
      <c r="C1651" s="1" t="n">
        <v>46089</v>
      </c>
      <c r="D1651" t="inlineStr">
        <is>
          <t>STOCKHOLMS LÄN</t>
        </is>
      </c>
      <c r="E1651" t="inlineStr">
        <is>
          <t>SIGTUNA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58939-2025</t>
        </is>
      </c>
      <c r="B1652" s="1" t="n">
        <v>45987.5681712963</v>
      </c>
      <c r="C1652" s="1" t="n">
        <v>46089</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17551-2025</t>
        </is>
      </c>
      <c r="B1653" s="1" t="n">
        <v>45757.61421296297</v>
      </c>
      <c r="C1653" s="1" t="n">
        <v>46089</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39082-2021</t>
        </is>
      </c>
      <c r="B1654" s="1" t="n">
        <v>44412</v>
      </c>
      <c r="C1654" s="1" t="n">
        <v>46089</v>
      </c>
      <c r="D1654" t="inlineStr">
        <is>
          <t>STOCKHOLMS LÄN</t>
        </is>
      </c>
      <c r="E1654" t="inlineStr">
        <is>
          <t>VÄRMDÖ</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1703-2023</t>
        </is>
      </c>
      <c r="B1655" s="1" t="n">
        <v>44938.44412037037</v>
      </c>
      <c r="C1655" s="1" t="n">
        <v>46089</v>
      </c>
      <c r="D1655" t="inlineStr">
        <is>
          <t>STOCKHOLMS LÄN</t>
        </is>
      </c>
      <c r="E1655" t="inlineStr">
        <is>
          <t>HANINGE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55010-2024</t>
        </is>
      </c>
      <c r="B1656" s="1" t="n">
        <v>45621.34425925926</v>
      </c>
      <c r="C1656" s="1" t="n">
        <v>46089</v>
      </c>
      <c r="D1656" t="inlineStr">
        <is>
          <t>STOCKHOLMS LÄN</t>
        </is>
      </c>
      <c r="E1656" t="inlineStr">
        <is>
          <t>NORRTÄLJE</t>
        </is>
      </c>
      <c r="F1656" t="inlineStr">
        <is>
          <t>Sveaskog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8673-2025</t>
        </is>
      </c>
      <c r="B1657" s="1" t="n">
        <v>45712.4272337963</v>
      </c>
      <c r="C1657" s="1" t="n">
        <v>46089</v>
      </c>
      <c r="D1657" t="inlineStr">
        <is>
          <t>STOCKHOLMS LÄN</t>
        </is>
      </c>
      <c r="E1657" t="inlineStr">
        <is>
          <t>SIGTUNA</t>
        </is>
      </c>
      <c r="F1657" t="inlineStr">
        <is>
          <t>Allmännings- och besparingsskogar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31105-2022</t>
        </is>
      </c>
      <c r="B1658" s="1" t="n">
        <v>44769.66039351852</v>
      </c>
      <c r="C1658" s="1" t="n">
        <v>46089</v>
      </c>
      <c r="D1658" t="inlineStr">
        <is>
          <t>STOCKHOLMS LÄN</t>
        </is>
      </c>
      <c r="E1658" t="inlineStr">
        <is>
          <t>NORRTÄLJE</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8565-2025</t>
        </is>
      </c>
      <c r="B1659" s="1" t="n">
        <v>45709</v>
      </c>
      <c r="C1659" s="1" t="n">
        <v>46089</v>
      </c>
      <c r="D1659" t="inlineStr">
        <is>
          <t>STOCKHOLMS LÄN</t>
        </is>
      </c>
      <c r="E1659" t="inlineStr">
        <is>
          <t>VALLENTUNA</t>
        </is>
      </c>
      <c r="F1659" t="inlineStr">
        <is>
          <t>Kommuner</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64110-2023</t>
        </is>
      </c>
      <c r="B1660" s="1" t="n">
        <v>45279</v>
      </c>
      <c r="C1660" s="1" t="n">
        <v>46089</v>
      </c>
      <c r="D1660" t="inlineStr">
        <is>
          <t>STOCKHOLMS LÄN</t>
        </is>
      </c>
      <c r="E1660" t="inlineStr">
        <is>
          <t>UPPLANDS-BRO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41677-2023</t>
        </is>
      </c>
      <c r="B1661" s="1" t="n">
        <v>45173</v>
      </c>
      <c r="C1661" s="1" t="n">
        <v>46089</v>
      </c>
      <c r="D1661" t="inlineStr">
        <is>
          <t>STOCKHOLMS LÄN</t>
        </is>
      </c>
      <c r="E1661" t="inlineStr">
        <is>
          <t>NYNÄSHAMN</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41680-2023</t>
        </is>
      </c>
      <c r="B1662" s="1" t="n">
        <v>45173</v>
      </c>
      <c r="C1662" s="1" t="n">
        <v>46089</v>
      </c>
      <c r="D1662" t="inlineStr">
        <is>
          <t>STOCKHOLMS LÄN</t>
        </is>
      </c>
      <c r="E1662" t="inlineStr">
        <is>
          <t>NYNÄSHAMN</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58598-2025</t>
        </is>
      </c>
      <c r="B1663" s="1" t="n">
        <v>45986</v>
      </c>
      <c r="C1663" s="1" t="n">
        <v>46089</v>
      </c>
      <c r="D1663" t="inlineStr">
        <is>
          <t>STOCKHOLMS LÄN</t>
        </is>
      </c>
      <c r="E1663" t="inlineStr">
        <is>
          <t>UPPLANDS-BRO</t>
        </is>
      </c>
      <c r="F1663" t="inlineStr">
        <is>
          <t>Övriga statliga verk och myndigheter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19288-2025</t>
        </is>
      </c>
      <c r="B1664" s="1" t="n">
        <v>45769</v>
      </c>
      <c r="C1664" s="1" t="n">
        <v>46089</v>
      </c>
      <c r="D1664" t="inlineStr">
        <is>
          <t>STOCKHOLMS LÄN</t>
        </is>
      </c>
      <c r="E1664" t="inlineStr">
        <is>
          <t>SIGTUNA</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23098-2024</t>
        </is>
      </c>
      <c r="B1665" s="1" t="n">
        <v>45450</v>
      </c>
      <c r="C1665" s="1" t="n">
        <v>46089</v>
      </c>
      <c r="D1665" t="inlineStr">
        <is>
          <t>STOCKHOLMS LÄN</t>
        </is>
      </c>
      <c r="E1665" t="inlineStr">
        <is>
          <t>UPPLANDS-BRO</t>
        </is>
      </c>
      <c r="F1665" t="inlineStr">
        <is>
          <t>Övriga statliga verk och myndigheter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6701-2026</t>
        </is>
      </c>
      <c r="B1666" s="1" t="n">
        <v>46056</v>
      </c>
      <c r="C1666" s="1" t="n">
        <v>46089</v>
      </c>
      <c r="D1666" t="inlineStr">
        <is>
          <t>STOCKHOLMS LÄN</t>
        </is>
      </c>
      <c r="E1666" t="inlineStr">
        <is>
          <t>NORRTÄLJE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59342-2025</t>
        </is>
      </c>
      <c r="B1667" s="1" t="n">
        <v>45989.38784722222</v>
      </c>
      <c r="C1667" s="1" t="n">
        <v>46089</v>
      </c>
      <c r="D1667" t="inlineStr">
        <is>
          <t>STOCKHOLMS LÄN</t>
        </is>
      </c>
      <c r="E1667" t="inlineStr">
        <is>
          <t>NYKVARN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8787-2024</t>
        </is>
      </c>
      <c r="B1668" s="1" t="n">
        <v>45356</v>
      </c>
      <c r="C1668" s="1" t="n">
        <v>46089</v>
      </c>
      <c r="D1668" t="inlineStr">
        <is>
          <t>STOCKHOLMS LÄN</t>
        </is>
      </c>
      <c r="E1668" t="inlineStr">
        <is>
          <t>VALLENTUNA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59348-2025</t>
        </is>
      </c>
      <c r="B1669" s="1" t="n">
        <v>45989.40099537037</v>
      </c>
      <c r="C1669" s="1" t="n">
        <v>46089</v>
      </c>
      <c r="D1669" t="inlineStr">
        <is>
          <t>STOCKHOLMS LÄN</t>
        </is>
      </c>
      <c r="E1669" t="inlineStr">
        <is>
          <t>NYKVARN</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24283-2022</t>
        </is>
      </c>
      <c r="B1670" s="1" t="n">
        <v>44725.79453703704</v>
      </c>
      <c r="C1670" s="1" t="n">
        <v>46089</v>
      </c>
      <c r="D1670" t="inlineStr">
        <is>
          <t>STOCKHOLMS LÄN</t>
        </is>
      </c>
      <c r="E1670" t="inlineStr">
        <is>
          <t>NYKVARN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59165-2022</t>
        </is>
      </c>
      <c r="B1671" s="1" t="n">
        <v>44904.4783912037</v>
      </c>
      <c r="C1671" s="1" t="n">
        <v>46089</v>
      </c>
      <c r="D1671" t="inlineStr">
        <is>
          <t>STOCKHOLMS LÄN</t>
        </is>
      </c>
      <c r="E1671" t="inlineStr">
        <is>
          <t>SIGTUNA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30620-2022</t>
        </is>
      </c>
      <c r="B1672" s="1" t="n">
        <v>44763.40914351852</v>
      </c>
      <c r="C1672" s="1" t="n">
        <v>46089</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50113-2024</t>
        </is>
      </c>
      <c r="B1673" s="1" t="n">
        <v>45600.411875</v>
      </c>
      <c r="C1673" s="1" t="n">
        <v>46089</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2116-2026</t>
        </is>
      </c>
      <c r="B1674" s="1" t="n">
        <v>46036.38108796296</v>
      </c>
      <c r="C1674" s="1" t="n">
        <v>46089</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55724-2024</t>
        </is>
      </c>
      <c r="B1675" s="1" t="n">
        <v>45622.81020833334</v>
      </c>
      <c r="C1675" s="1" t="n">
        <v>46089</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28365-2022</t>
        </is>
      </c>
      <c r="B1676" s="1" t="n">
        <v>44747</v>
      </c>
      <c r="C1676" s="1" t="n">
        <v>46089</v>
      </c>
      <c r="D1676" t="inlineStr">
        <is>
          <t>STOCKHOLMS LÄN</t>
        </is>
      </c>
      <c r="E1676" t="inlineStr">
        <is>
          <t>NORRTÄLJE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2663-2026</t>
        </is>
      </c>
      <c r="B1677" s="1" t="n">
        <v>46037.64071759259</v>
      </c>
      <c r="C1677" s="1" t="n">
        <v>46089</v>
      </c>
      <c r="D1677" t="inlineStr">
        <is>
          <t>STOCKHOLMS LÄN</t>
        </is>
      </c>
      <c r="E1677" t="inlineStr">
        <is>
          <t>SIGTUNA</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42955-2022</t>
        </is>
      </c>
      <c r="B1678" s="1" t="n">
        <v>44833.40876157407</v>
      </c>
      <c r="C1678" s="1" t="n">
        <v>46089</v>
      </c>
      <c r="D1678" t="inlineStr">
        <is>
          <t>STOCKHOLMS LÄN</t>
        </is>
      </c>
      <c r="E1678" t="inlineStr">
        <is>
          <t>NORRTÄLJE</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64431-2023</t>
        </is>
      </c>
      <c r="B1679" s="1" t="n">
        <v>45280</v>
      </c>
      <c r="C1679" s="1" t="n">
        <v>46089</v>
      </c>
      <c r="D1679" t="inlineStr">
        <is>
          <t>STOCKHOLMS LÄN</t>
        </is>
      </c>
      <c r="E1679" t="inlineStr">
        <is>
          <t>UPPLANDS VÄSBY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28851-2022</t>
        </is>
      </c>
      <c r="B1680" s="1" t="n">
        <v>44749.47957175926</v>
      </c>
      <c r="C1680" s="1" t="n">
        <v>46089</v>
      </c>
      <c r="D1680" t="inlineStr">
        <is>
          <t>STOCKHOLMS LÄN</t>
        </is>
      </c>
      <c r="E1680" t="inlineStr">
        <is>
          <t>SIGTUNA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1283-2025</t>
        </is>
      </c>
      <c r="B1681" s="1" t="n">
        <v>45667.49878472222</v>
      </c>
      <c r="C1681" s="1" t="n">
        <v>46089</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2533-2026</t>
        </is>
      </c>
      <c r="B1682" s="1" t="n">
        <v>46037</v>
      </c>
      <c r="C1682" s="1" t="n">
        <v>46089</v>
      </c>
      <c r="D1682" t="inlineStr">
        <is>
          <t>STOCKHOLMS LÄN</t>
        </is>
      </c>
      <c r="E1682" t="inlineStr">
        <is>
          <t>EKERÖ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6828-2026</t>
        </is>
      </c>
      <c r="B1683" s="1" t="n">
        <v>46057</v>
      </c>
      <c r="C1683" s="1" t="n">
        <v>46089</v>
      </c>
      <c r="D1683" t="inlineStr">
        <is>
          <t>STOCKHOLMS LÄN</t>
        </is>
      </c>
      <c r="E1683" t="inlineStr">
        <is>
          <t>NORRTÄLJE</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7532-2026</t>
        </is>
      </c>
      <c r="B1684" s="1" t="n">
        <v>46059</v>
      </c>
      <c r="C1684" s="1" t="n">
        <v>46089</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49568-2024</t>
        </is>
      </c>
      <c r="B1685" s="1" t="n">
        <v>45596.49587962963</v>
      </c>
      <c r="C1685" s="1" t="n">
        <v>46089</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10646-2026</t>
        </is>
      </c>
      <c r="B1686" s="1" t="n">
        <v>46078.34157407407</v>
      </c>
      <c r="C1686" s="1" t="n">
        <v>46089</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2675-2026</t>
        </is>
      </c>
      <c r="B1687" s="1" t="n">
        <v>46037.64938657408</v>
      </c>
      <c r="C1687" s="1" t="n">
        <v>46089</v>
      </c>
      <c r="D1687" t="inlineStr">
        <is>
          <t>STOCKHOLMS LÄN</t>
        </is>
      </c>
      <c r="E1687" t="inlineStr">
        <is>
          <t>SIGTUNA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59041-2025</t>
        </is>
      </c>
      <c r="B1688" s="1" t="n">
        <v>45988</v>
      </c>
      <c r="C1688" s="1" t="n">
        <v>46089</v>
      </c>
      <c r="D1688" t="inlineStr">
        <is>
          <t>STOCKHOLMS LÄN</t>
        </is>
      </c>
      <c r="E1688" t="inlineStr">
        <is>
          <t>NORRTÄLJE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9120-2025</t>
        </is>
      </c>
      <c r="B1689" s="1" t="n">
        <v>45713.82875</v>
      </c>
      <c r="C1689" s="1" t="n">
        <v>46089</v>
      </c>
      <c r="D1689" t="inlineStr">
        <is>
          <t>STOCKHOLMS LÄN</t>
        </is>
      </c>
      <c r="E1689" t="inlineStr">
        <is>
          <t>SIGTUNA</t>
        </is>
      </c>
      <c r="F1689" t="inlineStr">
        <is>
          <t>Allmännings- och besparingsskogar</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59914-2025</t>
        </is>
      </c>
      <c r="B1690" s="1" t="n">
        <v>45993.37056712963</v>
      </c>
      <c r="C1690" s="1" t="n">
        <v>46089</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59672-2025</t>
        </is>
      </c>
      <c r="B1691" s="1" t="n">
        <v>45992.45884259259</v>
      </c>
      <c r="C1691" s="1" t="n">
        <v>46089</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18490-2025</t>
        </is>
      </c>
      <c r="B1692" s="1" t="n">
        <v>45763</v>
      </c>
      <c r="C1692" s="1" t="n">
        <v>46089</v>
      </c>
      <c r="D1692" t="inlineStr">
        <is>
          <t>STOCKHOLMS LÄN</t>
        </is>
      </c>
      <c r="E1692" t="inlineStr">
        <is>
          <t>HANINGE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57788-2025</t>
        </is>
      </c>
      <c r="B1693" s="1" t="n">
        <v>45981.5778125</v>
      </c>
      <c r="C1693" s="1" t="n">
        <v>46089</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59907-2025</t>
        </is>
      </c>
      <c r="B1694" s="1" t="n">
        <v>45993.35350694445</v>
      </c>
      <c r="C1694" s="1" t="n">
        <v>46089</v>
      </c>
      <c r="D1694" t="inlineStr">
        <is>
          <t>STOCKHOLMS LÄN</t>
        </is>
      </c>
      <c r="E1694" t="inlineStr">
        <is>
          <t>NORRTÄLJE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59565-2025</t>
        </is>
      </c>
      <c r="B1695" s="1" t="n">
        <v>45991.88413194445</v>
      </c>
      <c r="C1695" s="1" t="n">
        <v>46089</v>
      </c>
      <c r="D1695" t="inlineStr">
        <is>
          <t>STOCKHOLMS LÄN</t>
        </is>
      </c>
      <c r="E1695" t="inlineStr">
        <is>
          <t>HANINGE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61937-2021</t>
        </is>
      </c>
      <c r="B1696" s="1" t="n">
        <v>44502</v>
      </c>
      <c r="C1696" s="1" t="n">
        <v>46089</v>
      </c>
      <c r="D1696" t="inlineStr">
        <is>
          <t>STOCKHOLMS LÄN</t>
        </is>
      </c>
      <c r="E1696" t="inlineStr">
        <is>
          <t>SIGTUNA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59569-2025</t>
        </is>
      </c>
      <c r="B1697" s="1" t="n">
        <v>45991.92870370371</v>
      </c>
      <c r="C1697" s="1" t="n">
        <v>46089</v>
      </c>
      <c r="D1697" t="inlineStr">
        <is>
          <t>STOCKHOLMS LÄN</t>
        </is>
      </c>
      <c r="E1697" t="inlineStr">
        <is>
          <t>HANINGE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27870-2025</t>
        </is>
      </c>
      <c r="B1698" s="1" t="n">
        <v>45817</v>
      </c>
      <c r="C1698" s="1" t="n">
        <v>46089</v>
      </c>
      <c r="D1698" t="inlineStr">
        <is>
          <t>STOCKHOLMS LÄN</t>
        </is>
      </c>
      <c r="E1698" t="inlineStr">
        <is>
          <t>VALLENTUNA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13767-2025</t>
        </is>
      </c>
      <c r="B1699" s="1" t="n">
        <v>45737.43347222222</v>
      </c>
      <c r="C1699" s="1" t="n">
        <v>46089</v>
      </c>
      <c r="D1699" t="inlineStr">
        <is>
          <t>STOCKHOLMS LÄN</t>
        </is>
      </c>
      <c r="E1699" t="inlineStr">
        <is>
          <t>NORRTÄLJE</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31212-2024</t>
        </is>
      </c>
      <c r="B1700" s="1" t="n">
        <v>45503</v>
      </c>
      <c r="C1700" s="1" t="n">
        <v>46089</v>
      </c>
      <c r="D1700" t="inlineStr">
        <is>
          <t>STOCKHOLMS LÄN</t>
        </is>
      </c>
      <c r="E1700" t="inlineStr">
        <is>
          <t>SÖDERTÄLJE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20013-2025</t>
        </is>
      </c>
      <c r="B1701" s="1" t="n">
        <v>45772.30436342592</v>
      </c>
      <c r="C1701" s="1" t="n">
        <v>46089</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14782-2024</t>
        </is>
      </c>
      <c r="B1702" s="1" t="n">
        <v>45397.74266203704</v>
      </c>
      <c r="C1702" s="1" t="n">
        <v>46089</v>
      </c>
      <c r="D1702" t="inlineStr">
        <is>
          <t>STOCKHOLMS LÄN</t>
        </is>
      </c>
      <c r="E1702" t="inlineStr">
        <is>
          <t>VALLENTUNA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53362-2023</t>
        </is>
      </c>
      <c r="B1703" s="1" t="n">
        <v>45223</v>
      </c>
      <c r="C1703" s="1" t="n">
        <v>46089</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15422-2024</t>
        </is>
      </c>
      <c r="B1704" s="1" t="n">
        <v>45401.3653125</v>
      </c>
      <c r="C1704" s="1" t="n">
        <v>46089</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45993.38928240741</v>
      </c>
      <c r="C1705" s="1" t="n">
        <v>46089</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52562-2023</t>
        </is>
      </c>
      <c r="B1706" s="1" t="n">
        <v>45225</v>
      </c>
      <c r="C1706" s="1" t="n">
        <v>46089</v>
      </c>
      <c r="D1706" t="inlineStr">
        <is>
          <t>STOCKHOLMS LÄN</t>
        </is>
      </c>
      <c r="E1706" t="inlineStr">
        <is>
          <t>VALLENTUNA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58140-2023</t>
        </is>
      </c>
      <c r="B1707" s="1" t="n">
        <v>45250</v>
      </c>
      <c r="C1707" s="1" t="n">
        <v>46089</v>
      </c>
      <c r="D1707" t="inlineStr">
        <is>
          <t>STOCKHOLMS LÄN</t>
        </is>
      </c>
      <c r="E1707" t="inlineStr">
        <is>
          <t>SÖDERTÄLJE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59568-2025</t>
        </is>
      </c>
      <c r="B1708" s="1" t="n">
        <v>45991.90737268519</v>
      </c>
      <c r="C1708" s="1" t="n">
        <v>46089</v>
      </c>
      <c r="D1708" t="inlineStr">
        <is>
          <t>STOCKHOLMS LÄN</t>
        </is>
      </c>
      <c r="E1708" t="inlineStr">
        <is>
          <t>HANINGE</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2685-2026</t>
        </is>
      </c>
      <c r="B1709" s="1" t="n">
        <v>46037.65710648148</v>
      </c>
      <c r="C1709" s="1" t="n">
        <v>46089</v>
      </c>
      <c r="D1709" t="inlineStr">
        <is>
          <t>STOCKHOLMS LÄN</t>
        </is>
      </c>
      <c r="E1709" t="inlineStr">
        <is>
          <t>SÖDERTÄLJE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59377-2024</t>
        </is>
      </c>
      <c r="B1710" s="1" t="n">
        <v>45638.35164351852</v>
      </c>
      <c r="C1710" s="1" t="n">
        <v>46089</v>
      </c>
      <c r="D1710" t="inlineStr">
        <is>
          <t>STOCKHOLMS LÄN</t>
        </is>
      </c>
      <c r="E1710" t="inlineStr">
        <is>
          <t>UPPLANDS-BRO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30508-2023</t>
        </is>
      </c>
      <c r="B1711" s="1" t="n">
        <v>45111</v>
      </c>
      <c r="C1711" s="1" t="n">
        <v>46089</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46438-2023</t>
        </is>
      </c>
      <c r="B1712" s="1" t="n">
        <v>45197</v>
      </c>
      <c r="C1712" s="1" t="n">
        <v>46089</v>
      </c>
      <c r="D1712" t="inlineStr">
        <is>
          <t>STOCKHOLMS LÄN</t>
        </is>
      </c>
      <c r="E1712" t="inlineStr">
        <is>
          <t>UPPLANDS-BRO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60253-2025</t>
        </is>
      </c>
      <c r="B1713" s="1" t="n">
        <v>45994.59827546297</v>
      </c>
      <c r="C1713" s="1" t="n">
        <v>46089</v>
      </c>
      <c r="D1713" t="inlineStr">
        <is>
          <t>STOCKHOLMS LÄN</t>
        </is>
      </c>
      <c r="E1713" t="inlineStr">
        <is>
          <t>NORRTÄLJE</t>
        </is>
      </c>
      <c r="F1713" t="inlineStr">
        <is>
          <t>Holmen skog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8096-2023</t>
        </is>
      </c>
      <c r="B1714" s="1" t="n">
        <v>44974.389375</v>
      </c>
      <c r="C1714" s="1" t="n">
        <v>46089</v>
      </c>
      <c r="D1714" t="inlineStr">
        <is>
          <t>STOCKHOLMS LÄN</t>
        </is>
      </c>
      <c r="E1714" t="inlineStr">
        <is>
          <t>NYKVARN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49530-2023</t>
        </is>
      </c>
      <c r="B1715" s="1" t="n">
        <v>45205</v>
      </c>
      <c r="C1715" s="1" t="n">
        <v>46089</v>
      </c>
      <c r="D1715" t="inlineStr">
        <is>
          <t>STOCKHOLMS LÄN</t>
        </is>
      </c>
      <c r="E1715" t="inlineStr">
        <is>
          <t>VALLENTUNA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51087-2023</t>
        </is>
      </c>
      <c r="B1716" s="1" t="n">
        <v>45218.73296296296</v>
      </c>
      <c r="C1716" s="1" t="n">
        <v>46089</v>
      </c>
      <c r="D1716" t="inlineStr">
        <is>
          <t>STOCKHOLMS LÄN</t>
        </is>
      </c>
      <c r="E1716" t="inlineStr">
        <is>
          <t>SÖDERTÄLJE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9032-2023</t>
        </is>
      </c>
      <c r="B1717" s="1" t="n">
        <v>44979</v>
      </c>
      <c r="C1717" s="1" t="n">
        <v>46089</v>
      </c>
      <c r="D1717" t="inlineStr">
        <is>
          <t>STOCKHOLMS LÄN</t>
        </is>
      </c>
      <c r="E1717" t="inlineStr">
        <is>
          <t>BOTKYRKA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18548-2024</t>
        </is>
      </c>
      <c r="B1718" s="1" t="n">
        <v>45425.64708333334</v>
      </c>
      <c r="C1718" s="1" t="n">
        <v>46089</v>
      </c>
      <c r="D1718" t="inlineStr">
        <is>
          <t>STOCKHOLMS LÄN</t>
        </is>
      </c>
      <c r="E1718" t="inlineStr">
        <is>
          <t>HANINGE</t>
        </is>
      </c>
      <c r="F1718" t="inlineStr">
        <is>
          <t>Kommuner</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16008-2025</t>
        </is>
      </c>
      <c r="B1719" s="1" t="n">
        <v>45749</v>
      </c>
      <c r="C1719" s="1" t="n">
        <v>46089</v>
      </c>
      <c r="D1719" t="inlineStr">
        <is>
          <t>STOCKHOLMS LÄN</t>
        </is>
      </c>
      <c r="E1719" t="inlineStr">
        <is>
          <t>NORRTÄLJE</t>
        </is>
      </c>
      <c r="F1719" t="inlineStr">
        <is>
          <t>Holmen skog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28590-2024</t>
        </is>
      </c>
      <c r="B1720" s="1" t="n">
        <v>45478.41633101852</v>
      </c>
      <c r="C1720" s="1" t="n">
        <v>46089</v>
      </c>
      <c r="D1720" t="inlineStr">
        <is>
          <t>STOCKHOLMS LÄN</t>
        </is>
      </c>
      <c r="E1720" t="inlineStr">
        <is>
          <t>VÄRMDÖ</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21158-2022</t>
        </is>
      </c>
      <c r="B1721" s="1" t="n">
        <v>44704</v>
      </c>
      <c r="C1721" s="1" t="n">
        <v>46089</v>
      </c>
      <c r="D1721" t="inlineStr">
        <is>
          <t>STOCKHOLMS LÄN</t>
        </is>
      </c>
      <c r="E1721" t="inlineStr">
        <is>
          <t>NORRTÄLJE</t>
        </is>
      </c>
      <c r="G1721" t="n">
        <v>17.8</v>
      </c>
      <c r="H1721" t="n">
        <v>0</v>
      </c>
      <c r="I1721" t="n">
        <v>0</v>
      </c>
      <c r="J1721" t="n">
        <v>0</v>
      </c>
      <c r="K1721" t="n">
        <v>0</v>
      </c>
      <c r="L1721" t="n">
        <v>0</v>
      </c>
      <c r="M1721" t="n">
        <v>0</v>
      </c>
      <c r="N1721" t="n">
        <v>0</v>
      </c>
      <c r="O1721" t="n">
        <v>0</v>
      </c>
      <c r="P1721" t="n">
        <v>0</v>
      </c>
      <c r="Q1721" t="n">
        <v>0</v>
      </c>
      <c r="R1721" s="2" t="inlineStr"/>
    </row>
    <row r="1722" ht="15" customHeight="1">
      <c r="A1722" t="inlineStr">
        <is>
          <t>A 60482-2025</t>
        </is>
      </c>
      <c r="B1722" s="1" t="n">
        <v>45995.59832175926</v>
      </c>
      <c r="C1722" s="1" t="n">
        <v>46089</v>
      </c>
      <c r="D1722" t="inlineStr">
        <is>
          <t>STOCKHOLMS LÄN</t>
        </is>
      </c>
      <c r="E1722" t="inlineStr">
        <is>
          <t>ÖSTERÅKER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60214-2025</t>
        </is>
      </c>
      <c r="B1723" s="1" t="n">
        <v>45994.53761574074</v>
      </c>
      <c r="C1723" s="1" t="n">
        <v>46089</v>
      </c>
      <c r="D1723" t="inlineStr">
        <is>
          <t>STOCKHOLMS LÄN</t>
        </is>
      </c>
      <c r="E1723" t="inlineStr">
        <is>
          <t>NORRTÄLJE</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52542-2023</t>
        </is>
      </c>
      <c r="B1724" s="1" t="n">
        <v>45225</v>
      </c>
      <c r="C1724" s="1" t="n">
        <v>46089</v>
      </c>
      <c r="D1724" t="inlineStr">
        <is>
          <t>STOCKHOLMS LÄN</t>
        </is>
      </c>
      <c r="E1724" t="inlineStr">
        <is>
          <t>VALLENTUNA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60223-2025</t>
        </is>
      </c>
      <c r="B1725" s="1" t="n">
        <v>45994.54497685185</v>
      </c>
      <c r="C1725" s="1" t="n">
        <v>46089</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32101-2022</t>
        </is>
      </c>
      <c r="B1726" s="1" t="n">
        <v>44778.69210648148</v>
      </c>
      <c r="C1726" s="1" t="n">
        <v>46089</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23144-2024</t>
        </is>
      </c>
      <c r="B1727" s="1" t="n">
        <v>45450.63202546296</v>
      </c>
      <c r="C1727" s="1" t="n">
        <v>46089</v>
      </c>
      <c r="D1727" t="inlineStr">
        <is>
          <t>STOCKHOLMS LÄN</t>
        </is>
      </c>
      <c r="E1727" t="inlineStr">
        <is>
          <t>ÖSTERÅKER</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23150-2024</t>
        </is>
      </c>
      <c r="B1728" s="1" t="n">
        <v>45450.64643518518</v>
      </c>
      <c r="C1728" s="1" t="n">
        <v>46089</v>
      </c>
      <c r="D1728" t="inlineStr">
        <is>
          <t>STOCKHOLMS LÄN</t>
        </is>
      </c>
      <c r="E1728" t="inlineStr">
        <is>
          <t>NORRTÄLJE</t>
        </is>
      </c>
      <c r="F1728" t="inlineStr">
        <is>
          <t>Kommuner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2318-2024</t>
        </is>
      </c>
      <c r="B1729" s="1" t="n">
        <v>45310</v>
      </c>
      <c r="C1729" s="1" t="n">
        <v>46089</v>
      </c>
      <c r="D1729" t="inlineStr">
        <is>
          <t>STOCKHOLMS LÄN</t>
        </is>
      </c>
      <c r="E1729" t="inlineStr">
        <is>
          <t>VALLENTUNA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24933-2023</t>
        </is>
      </c>
      <c r="B1730" s="1" t="n">
        <v>45085.5309375</v>
      </c>
      <c r="C1730" s="1" t="n">
        <v>46089</v>
      </c>
      <c r="D1730" t="inlineStr">
        <is>
          <t>STOCKHOLMS LÄN</t>
        </is>
      </c>
      <c r="E1730" t="inlineStr">
        <is>
          <t>NORRTÄLJE</t>
        </is>
      </c>
      <c r="F1730" t="inlineStr">
        <is>
          <t>Holmen skog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314-2022</t>
        </is>
      </c>
      <c r="B1731" s="1" t="n">
        <v>44564</v>
      </c>
      <c r="C1731" s="1" t="n">
        <v>46089</v>
      </c>
      <c r="D1731" t="inlineStr">
        <is>
          <t>STOCKHOLMS LÄN</t>
        </is>
      </c>
      <c r="E1731" t="inlineStr">
        <is>
          <t>SÖDERTÄLJE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60745-2025</t>
        </is>
      </c>
      <c r="B1732" s="1" t="n">
        <v>45999.37753472223</v>
      </c>
      <c r="C1732" s="1" t="n">
        <v>46089</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20839-2024</t>
        </is>
      </c>
      <c r="B1733" s="1" t="n">
        <v>45439.39953703704</v>
      </c>
      <c r="C1733" s="1" t="n">
        <v>46089</v>
      </c>
      <c r="D1733" t="inlineStr">
        <is>
          <t>STOCKHOLMS LÄN</t>
        </is>
      </c>
      <c r="E1733" t="inlineStr">
        <is>
          <t>HANINGE</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60649-2025</t>
        </is>
      </c>
      <c r="B1734" s="1" t="n">
        <v>45996.4560300926</v>
      </c>
      <c r="C1734" s="1" t="n">
        <v>46089</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60948-2025</t>
        </is>
      </c>
      <c r="B1735" s="1" t="n">
        <v>45999.650625</v>
      </c>
      <c r="C1735" s="1" t="n">
        <v>46089</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56631-2024</t>
        </is>
      </c>
      <c r="B1736" s="1" t="n">
        <v>45625</v>
      </c>
      <c r="C1736" s="1" t="n">
        <v>46089</v>
      </c>
      <c r="D1736" t="inlineStr">
        <is>
          <t>STOCKHOLMS LÄN</t>
        </is>
      </c>
      <c r="E1736" t="inlineStr">
        <is>
          <t>NORRTÄLJE</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3152-2026</t>
        </is>
      </c>
      <c r="B1737" s="1" t="n">
        <v>46041</v>
      </c>
      <c r="C1737" s="1" t="n">
        <v>46089</v>
      </c>
      <c r="D1737" t="inlineStr">
        <is>
          <t>STOCKHOLMS LÄN</t>
        </is>
      </c>
      <c r="E1737" t="inlineStr">
        <is>
          <t>SÖDERTÄLJE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652-2025</t>
        </is>
      </c>
      <c r="B1738" s="1" t="n">
        <v>45664</v>
      </c>
      <c r="C1738" s="1" t="n">
        <v>46089</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60897-2025</t>
        </is>
      </c>
      <c r="B1739" s="1" t="n">
        <v>45999.58038194444</v>
      </c>
      <c r="C1739" s="1" t="n">
        <v>46089</v>
      </c>
      <c r="D1739" t="inlineStr">
        <is>
          <t>STOCKHOLMS LÄN</t>
        </is>
      </c>
      <c r="E1739" t="inlineStr">
        <is>
          <t>SÖDERTÄLJE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60928-2025</t>
        </is>
      </c>
      <c r="B1740" s="1" t="n">
        <v>45999.633125</v>
      </c>
      <c r="C1740" s="1" t="n">
        <v>46089</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487-2024</t>
        </is>
      </c>
      <c r="B1741" s="1" t="n">
        <v>45298.85216435185</v>
      </c>
      <c r="C1741" s="1" t="n">
        <v>46089</v>
      </c>
      <c r="D1741" t="inlineStr">
        <is>
          <t>STOCKHOLMS LÄN</t>
        </is>
      </c>
      <c r="E1741" t="inlineStr">
        <is>
          <t>SÖDERTÄLJE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60731-2025</t>
        </is>
      </c>
      <c r="B1742" s="1" t="n">
        <v>45995</v>
      </c>
      <c r="C1742" s="1" t="n">
        <v>46089</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61160-2025</t>
        </is>
      </c>
      <c r="B1743" s="1" t="n">
        <v>46000.55262731481</v>
      </c>
      <c r="C1743" s="1" t="n">
        <v>46089</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60733-2025</t>
        </is>
      </c>
      <c r="B1744" s="1" t="n">
        <v>45995</v>
      </c>
      <c r="C1744" s="1" t="n">
        <v>46089</v>
      </c>
      <c r="D1744" t="inlineStr">
        <is>
          <t>STOCKHOLMS LÄN</t>
        </is>
      </c>
      <c r="E1744" t="inlineStr">
        <is>
          <t>SALEM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9063-2024</t>
        </is>
      </c>
      <c r="B1745" s="1" t="n">
        <v>45357.72652777778</v>
      </c>
      <c r="C1745" s="1" t="n">
        <v>46089</v>
      </c>
      <c r="D1745" t="inlineStr">
        <is>
          <t>STOCKHOLMS LÄN</t>
        </is>
      </c>
      <c r="E1745" t="inlineStr">
        <is>
          <t>VALLENTUNA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61419-2025</t>
        </is>
      </c>
      <c r="B1746" s="1" t="n">
        <v>46001.54137731482</v>
      </c>
      <c r="C1746" s="1" t="n">
        <v>46089</v>
      </c>
      <c r="D1746" t="inlineStr">
        <is>
          <t>STOCKHOLMS LÄN</t>
        </is>
      </c>
      <c r="E1746" t="inlineStr">
        <is>
          <t>NORRTÄLJE</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61430-2025</t>
        </is>
      </c>
      <c r="B1747" s="1" t="n">
        <v>46001.55583333333</v>
      </c>
      <c r="C1747" s="1" t="n">
        <v>46089</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5389-2025</t>
        </is>
      </c>
      <c r="B1748" s="1" t="n">
        <v>45692</v>
      </c>
      <c r="C1748" s="1" t="n">
        <v>46089</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13051-2021</t>
        </is>
      </c>
      <c r="B1749" s="1" t="n">
        <v>44272</v>
      </c>
      <c r="C1749" s="1" t="n">
        <v>46089</v>
      </c>
      <c r="D1749" t="inlineStr">
        <is>
          <t>STOCKHOLMS LÄN</t>
        </is>
      </c>
      <c r="E1749" t="inlineStr">
        <is>
          <t>NORRTÄLJE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13118-2021</t>
        </is>
      </c>
      <c r="B1750" s="1" t="n">
        <v>44272</v>
      </c>
      <c r="C1750" s="1" t="n">
        <v>46089</v>
      </c>
      <c r="D1750" t="inlineStr">
        <is>
          <t>STOCKHOLMS LÄN</t>
        </is>
      </c>
      <c r="E1750" t="inlineStr">
        <is>
          <t>ÖSTERÅKER</t>
        </is>
      </c>
      <c r="F1750" t="inlineStr">
        <is>
          <t>Kyrkan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3596-2026</t>
        </is>
      </c>
      <c r="B1751" s="1" t="n">
        <v>46042</v>
      </c>
      <c r="C1751" s="1" t="n">
        <v>46089</v>
      </c>
      <c r="D1751" t="inlineStr">
        <is>
          <t>STOCKHOLMS LÄN</t>
        </is>
      </c>
      <c r="E1751" t="inlineStr">
        <is>
          <t>UPPLANDS-BRO</t>
        </is>
      </c>
      <c r="F1751" t="inlineStr">
        <is>
          <t>Övriga statliga verk och myndigheter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10912-2025</t>
        </is>
      </c>
      <c r="B1752" s="1" t="n">
        <v>45722</v>
      </c>
      <c r="C1752" s="1" t="n">
        <v>46089</v>
      </c>
      <c r="D1752" t="inlineStr">
        <is>
          <t>STOCKHOLMS LÄN</t>
        </is>
      </c>
      <c r="E1752" t="inlineStr">
        <is>
          <t>UPPLANDS-BRO</t>
        </is>
      </c>
      <c r="F1752" t="inlineStr">
        <is>
          <t>Allmännings- och besparingsskogar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21445-2023</t>
        </is>
      </c>
      <c r="B1753" s="1" t="n">
        <v>45063</v>
      </c>
      <c r="C1753" s="1" t="n">
        <v>46089</v>
      </c>
      <c r="D1753" t="inlineStr">
        <is>
          <t>STOCKHOLMS LÄN</t>
        </is>
      </c>
      <c r="E1753" t="inlineStr">
        <is>
          <t>VALLENTUNA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61452-2025</t>
        </is>
      </c>
      <c r="B1754" s="1" t="n">
        <v>46001.58043981482</v>
      </c>
      <c r="C1754" s="1" t="n">
        <v>46089</v>
      </c>
      <c r="D1754" t="inlineStr">
        <is>
          <t>STOCKHOLMS LÄN</t>
        </is>
      </c>
      <c r="E1754" t="inlineStr">
        <is>
          <t>NORRTÄLJE</t>
        </is>
      </c>
      <c r="F1754" t="inlineStr">
        <is>
          <t>Holmen skog AB</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61289-2025</t>
        </is>
      </c>
      <c r="B1755" s="1" t="n">
        <v>46000.73659722223</v>
      </c>
      <c r="C1755" s="1" t="n">
        <v>46089</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61769-2025</t>
        </is>
      </c>
      <c r="B1756" s="1" t="n">
        <v>46002.64556712963</v>
      </c>
      <c r="C1756" s="1" t="n">
        <v>46089</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11499-2023</t>
        </is>
      </c>
      <c r="B1757" s="1" t="n">
        <v>44993.66707175926</v>
      </c>
      <c r="C1757" s="1" t="n">
        <v>46089</v>
      </c>
      <c r="D1757" t="inlineStr">
        <is>
          <t>STOCKHOLMS LÄN</t>
        </is>
      </c>
      <c r="E1757" t="inlineStr">
        <is>
          <t>NORRTÄLJE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61735-2025</t>
        </is>
      </c>
      <c r="B1758" s="1" t="n">
        <v>46002.594375</v>
      </c>
      <c r="C1758" s="1" t="n">
        <v>46089</v>
      </c>
      <c r="D1758" t="inlineStr">
        <is>
          <t>STOCKHOLMS LÄN</t>
        </is>
      </c>
      <c r="E1758" t="inlineStr">
        <is>
          <t>SÖDERTÄLJE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37097-2021</t>
        </is>
      </c>
      <c r="B1759" s="1" t="n">
        <v>44395</v>
      </c>
      <c r="C1759" s="1" t="n">
        <v>46089</v>
      </c>
      <c r="D1759" t="inlineStr">
        <is>
          <t>STOCKHOLMS LÄN</t>
        </is>
      </c>
      <c r="E1759" t="inlineStr">
        <is>
          <t>NYNÄSHAMN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45319-2023</t>
        </is>
      </c>
      <c r="B1760" s="1" t="n">
        <v>45191</v>
      </c>
      <c r="C1760" s="1" t="n">
        <v>46089</v>
      </c>
      <c r="D1760" t="inlineStr">
        <is>
          <t>STOCKHOLMS LÄN</t>
        </is>
      </c>
      <c r="E1760" t="inlineStr">
        <is>
          <t>SIGTUNA</t>
        </is>
      </c>
      <c r="F1760" t="inlineStr">
        <is>
          <t>Allmännings- och besparingsskogar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576-2023</t>
        </is>
      </c>
      <c r="B1761" s="1" t="n">
        <v>44925</v>
      </c>
      <c r="C1761" s="1" t="n">
        <v>46089</v>
      </c>
      <c r="D1761" t="inlineStr">
        <is>
          <t>STOCKHOLMS LÄN</t>
        </is>
      </c>
      <c r="E1761" t="inlineStr">
        <is>
          <t>NORRTÄLJE</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59402-2022</t>
        </is>
      </c>
      <c r="B1762" s="1" t="n">
        <v>44906</v>
      </c>
      <c r="C1762" s="1" t="n">
        <v>46089</v>
      </c>
      <c r="D1762" t="inlineStr">
        <is>
          <t>STOCKHOLMS LÄN</t>
        </is>
      </c>
      <c r="E1762" t="inlineStr">
        <is>
          <t>UPPLANDS-BRO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10678-2025</t>
        </is>
      </c>
      <c r="B1763" s="1" t="n">
        <v>45721.89123842592</v>
      </c>
      <c r="C1763" s="1" t="n">
        <v>46089</v>
      </c>
      <c r="D1763" t="inlineStr">
        <is>
          <t>STOCKHOLMS LÄN</t>
        </is>
      </c>
      <c r="E1763" t="inlineStr">
        <is>
          <t>NORRTÄLJE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31936-2022</t>
        </is>
      </c>
      <c r="B1764" s="1" t="n">
        <v>44777</v>
      </c>
      <c r="C1764" s="1" t="n">
        <v>46089</v>
      </c>
      <c r="D1764" t="inlineStr">
        <is>
          <t>STOCKHOLMS LÄN</t>
        </is>
      </c>
      <c r="E1764" t="inlineStr">
        <is>
          <t>NORRTÄLJE</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10446-2026</t>
        </is>
      </c>
      <c r="B1765" s="1" t="n">
        <v>46077.43023148148</v>
      </c>
      <c r="C1765" s="1" t="n">
        <v>46089</v>
      </c>
      <c r="D1765" t="inlineStr">
        <is>
          <t>STOCKHOLMS LÄN</t>
        </is>
      </c>
      <c r="E1765" t="inlineStr">
        <is>
          <t>SÖDERTÄLJE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10450-2026</t>
        </is>
      </c>
      <c r="B1766" s="1" t="n">
        <v>46077.43619212963</v>
      </c>
      <c r="C1766" s="1" t="n">
        <v>46089</v>
      </c>
      <c r="D1766" t="inlineStr">
        <is>
          <t>STOCKHOLMS LÄN</t>
        </is>
      </c>
      <c r="E1766" t="inlineStr">
        <is>
          <t>SÖDERTÄLJE</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5474-2024</t>
        </is>
      </c>
      <c r="B1767" s="1" t="n">
        <v>45333.51131944444</v>
      </c>
      <c r="C1767" s="1" t="n">
        <v>46089</v>
      </c>
      <c r="D1767" t="inlineStr">
        <is>
          <t>STOCKHOLMS LÄN</t>
        </is>
      </c>
      <c r="E1767" t="inlineStr">
        <is>
          <t>HANINGE</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3549-2026</t>
        </is>
      </c>
      <c r="B1768" s="1" t="n">
        <v>46042</v>
      </c>
      <c r="C1768" s="1" t="n">
        <v>46089</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46089</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59873-2024</t>
        </is>
      </c>
      <c r="B1770" s="1" t="n">
        <v>45640.57305555556</v>
      </c>
      <c r="C1770" s="1" t="n">
        <v>46089</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2240-2023</t>
        </is>
      </c>
      <c r="B1771" s="1" t="n">
        <v>44938</v>
      </c>
      <c r="C1771" s="1" t="n">
        <v>46089</v>
      </c>
      <c r="D1771" t="inlineStr">
        <is>
          <t>STOCKHOLMS LÄN</t>
        </is>
      </c>
      <c r="E1771" t="inlineStr">
        <is>
          <t>VÄRMDÖ</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46089</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61646-2025</t>
        </is>
      </c>
      <c r="B1773" s="1" t="n">
        <v>46002</v>
      </c>
      <c r="C1773" s="1" t="n">
        <v>46089</v>
      </c>
      <c r="D1773" t="inlineStr">
        <is>
          <t>STOCKHOLMS LÄN</t>
        </is>
      </c>
      <c r="E1773" t="inlineStr">
        <is>
          <t>VALLENTUNA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10098-2022</t>
        </is>
      </c>
      <c r="B1774" s="1" t="n">
        <v>44621</v>
      </c>
      <c r="C1774" s="1" t="n">
        <v>46089</v>
      </c>
      <c r="D1774" t="inlineStr">
        <is>
          <t>STOCKHOLMS LÄN</t>
        </is>
      </c>
      <c r="E1774" t="inlineStr">
        <is>
          <t>NORRTÄLJE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61781-2025</t>
        </is>
      </c>
      <c r="B1775" s="1" t="n">
        <v>46002</v>
      </c>
      <c r="C1775" s="1" t="n">
        <v>46089</v>
      </c>
      <c r="D1775" t="inlineStr">
        <is>
          <t>STOCKHOLMS LÄN</t>
        </is>
      </c>
      <c r="E1775" t="inlineStr">
        <is>
          <t>ÖSTERÅKER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10452-2026</t>
        </is>
      </c>
      <c r="B1776" s="1" t="n">
        <v>46077.43957175926</v>
      </c>
      <c r="C1776" s="1" t="n">
        <v>46089</v>
      </c>
      <c r="D1776" t="inlineStr">
        <is>
          <t>STOCKHOLMS LÄN</t>
        </is>
      </c>
      <c r="E1776" t="inlineStr">
        <is>
          <t>SÖDERTÄLJE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5227-2026</t>
        </is>
      </c>
      <c r="B1777" s="1" t="n">
        <v>46049.80460648148</v>
      </c>
      <c r="C1777" s="1" t="n">
        <v>46089</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5241-2026</t>
        </is>
      </c>
      <c r="B1778" s="1" t="n">
        <v>46049.86471064815</v>
      </c>
      <c r="C1778" s="1" t="n">
        <v>46089</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63161-2023</t>
        </is>
      </c>
      <c r="B1779" s="1" t="n">
        <v>45273</v>
      </c>
      <c r="C1779" s="1" t="n">
        <v>46089</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5224-2026</t>
        </is>
      </c>
      <c r="B1780" s="1" t="n">
        <v>46049.79521990741</v>
      </c>
      <c r="C1780" s="1" t="n">
        <v>46089</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4886-2026</t>
        </is>
      </c>
      <c r="B1781" s="1" t="n">
        <v>46048.66328703704</v>
      </c>
      <c r="C1781" s="1" t="n">
        <v>46089</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3673-2026</t>
        </is>
      </c>
      <c r="B1782" s="1" t="n">
        <v>46043</v>
      </c>
      <c r="C1782" s="1" t="n">
        <v>46089</v>
      </c>
      <c r="D1782" t="inlineStr">
        <is>
          <t>STOCKHOLMS LÄN</t>
        </is>
      </c>
      <c r="E1782" t="inlineStr">
        <is>
          <t>SIGTUNA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35955-2023</t>
        </is>
      </c>
      <c r="B1783" s="1" t="n">
        <v>45148</v>
      </c>
      <c r="C1783" s="1" t="n">
        <v>46089</v>
      </c>
      <c r="D1783" t="inlineStr">
        <is>
          <t>STOCKHOLMS LÄN</t>
        </is>
      </c>
      <c r="E1783" t="inlineStr">
        <is>
          <t>EKERÖ</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5226-2026</t>
        </is>
      </c>
      <c r="B1784" s="1" t="n">
        <v>46049.79961805556</v>
      </c>
      <c r="C1784" s="1" t="n">
        <v>46089</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46089</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10426-2026</t>
        </is>
      </c>
      <c r="B1786" s="1" t="n">
        <v>46077.37449074074</v>
      </c>
      <c r="C1786" s="1" t="n">
        <v>46089</v>
      </c>
      <c r="D1786" t="inlineStr">
        <is>
          <t>STOCKHOLMS LÄN</t>
        </is>
      </c>
      <c r="E1786" t="inlineStr">
        <is>
          <t>SÖDERTÄLJE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9655-2026</t>
        </is>
      </c>
      <c r="B1787" s="1" t="n">
        <v>46070</v>
      </c>
      <c r="C1787" s="1" t="n">
        <v>46089</v>
      </c>
      <c r="D1787" t="inlineStr">
        <is>
          <t>STOCKHOLMS LÄN</t>
        </is>
      </c>
      <c r="E1787" t="inlineStr">
        <is>
          <t>UPPLANDS-BRO</t>
        </is>
      </c>
      <c r="F1787" t="inlineStr">
        <is>
          <t>Övriga statliga verk och myndigheter</t>
        </is>
      </c>
      <c r="G1787" t="n">
        <v>17.2</v>
      </c>
      <c r="H1787" t="n">
        <v>0</v>
      </c>
      <c r="I1787" t="n">
        <v>0</v>
      </c>
      <c r="J1787" t="n">
        <v>0</v>
      </c>
      <c r="K1787" t="n">
        <v>0</v>
      </c>
      <c r="L1787" t="n">
        <v>0</v>
      </c>
      <c r="M1787" t="n">
        <v>0</v>
      </c>
      <c r="N1787" t="n">
        <v>0</v>
      </c>
      <c r="O1787" t="n">
        <v>0</v>
      </c>
      <c r="P1787" t="n">
        <v>0</v>
      </c>
      <c r="Q1787" t="n">
        <v>0</v>
      </c>
      <c r="R1787" s="2" t="inlineStr"/>
    </row>
    <row r="1788" ht="15" customHeight="1">
      <c r="A1788" t="inlineStr">
        <is>
          <t>A 7796-2025</t>
        </is>
      </c>
      <c r="B1788" s="1" t="n">
        <v>45706.60130787037</v>
      </c>
      <c r="C1788" s="1" t="n">
        <v>46089</v>
      </c>
      <c r="D1788" t="inlineStr">
        <is>
          <t>STOCKHOLMS LÄN</t>
        </is>
      </c>
      <c r="E1788" t="inlineStr">
        <is>
          <t>NORRTÄLJE</t>
        </is>
      </c>
      <c r="F1788" t="inlineStr">
        <is>
          <t>Holmen skog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15552-2021</t>
        </is>
      </c>
      <c r="B1789" s="1" t="n">
        <v>44285</v>
      </c>
      <c r="C1789" s="1" t="n">
        <v>46089</v>
      </c>
      <c r="D1789" t="inlineStr">
        <is>
          <t>STOCKHOLMS LÄN</t>
        </is>
      </c>
      <c r="E1789" t="inlineStr">
        <is>
          <t>NORRTÄLJE</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46089</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58040-2024</t>
        </is>
      </c>
      <c r="B1791" s="1" t="n">
        <v>45631.73952546297</v>
      </c>
      <c r="C1791" s="1" t="n">
        <v>46089</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58041-2024</t>
        </is>
      </c>
      <c r="B1792" s="1" t="n">
        <v>45631.74673611111</v>
      </c>
      <c r="C1792" s="1" t="n">
        <v>46089</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3754-2026</t>
        </is>
      </c>
      <c r="B1793" s="1" t="n">
        <v>46043</v>
      </c>
      <c r="C1793" s="1" t="n">
        <v>46089</v>
      </c>
      <c r="D1793" t="inlineStr">
        <is>
          <t>STOCKHOLMS LÄN</t>
        </is>
      </c>
      <c r="E1793" t="inlineStr">
        <is>
          <t>UPPLANDS-BRO</t>
        </is>
      </c>
      <c r="F1793" t="inlineStr">
        <is>
          <t>Övriga statliga verk och myndigheter</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53499-2025</t>
        </is>
      </c>
      <c r="B1794" s="1" t="n">
        <v>45960</v>
      </c>
      <c r="C1794" s="1" t="n">
        <v>46089</v>
      </c>
      <c r="D1794" t="inlineStr">
        <is>
          <t>STOCKHOLMS LÄN</t>
        </is>
      </c>
      <c r="E1794" t="inlineStr">
        <is>
          <t>NORRTÄLJE</t>
        </is>
      </c>
      <c r="G1794" t="n">
        <v>23.8</v>
      </c>
      <c r="H1794" t="n">
        <v>0</v>
      </c>
      <c r="I1794" t="n">
        <v>0</v>
      </c>
      <c r="J1794" t="n">
        <v>0</v>
      </c>
      <c r="K1794" t="n">
        <v>0</v>
      </c>
      <c r="L1794" t="n">
        <v>0</v>
      </c>
      <c r="M1794" t="n">
        <v>0</v>
      </c>
      <c r="N1794" t="n">
        <v>0</v>
      </c>
      <c r="O1794" t="n">
        <v>0</v>
      </c>
      <c r="P1794" t="n">
        <v>0</v>
      </c>
      <c r="Q1794" t="n">
        <v>0</v>
      </c>
      <c r="R1794" s="2" t="inlineStr"/>
    </row>
    <row r="1795" ht="15" customHeight="1">
      <c r="A1795" t="inlineStr">
        <is>
          <t>A 62047-2025</t>
        </is>
      </c>
      <c r="B1795" s="1" t="n">
        <v>46006.30792824074</v>
      </c>
      <c r="C1795" s="1" t="n">
        <v>46089</v>
      </c>
      <c r="D1795" t="inlineStr">
        <is>
          <t>STOCKHOLMS LÄN</t>
        </is>
      </c>
      <c r="E1795" t="inlineStr">
        <is>
          <t>SÖDERTÄLJE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62049-2025</t>
        </is>
      </c>
      <c r="B1796" s="1" t="n">
        <v>46006.3159837963</v>
      </c>
      <c r="C1796" s="1" t="n">
        <v>46089</v>
      </c>
      <c r="D1796" t="inlineStr">
        <is>
          <t>STOCKHOLMS LÄN</t>
        </is>
      </c>
      <c r="E1796" t="inlineStr">
        <is>
          <t>SÖDERTÄLJE</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30268-2024</t>
        </is>
      </c>
      <c r="B1797" s="1" t="n">
        <v>45490.60572916667</v>
      </c>
      <c r="C1797" s="1" t="n">
        <v>46089</v>
      </c>
      <c r="D1797" t="inlineStr">
        <is>
          <t>STOCKHOLMS LÄN</t>
        </is>
      </c>
      <c r="E1797" t="inlineStr">
        <is>
          <t>NORRTÄLJE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12407-2025</t>
        </is>
      </c>
      <c r="B1798" s="1" t="n">
        <v>45730.42851851852</v>
      </c>
      <c r="C1798" s="1" t="n">
        <v>46089</v>
      </c>
      <c r="D1798" t="inlineStr">
        <is>
          <t>STOCKHOLMS LÄN</t>
        </is>
      </c>
      <c r="E1798" t="inlineStr">
        <is>
          <t>NORRTÄLJE</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73155-2021</t>
        </is>
      </c>
      <c r="B1799" s="1" t="n">
        <v>44550</v>
      </c>
      <c r="C1799" s="1" t="n">
        <v>46089</v>
      </c>
      <c r="D1799" t="inlineStr">
        <is>
          <t>STOCKHOLMS LÄN</t>
        </is>
      </c>
      <c r="E1799" t="inlineStr">
        <is>
          <t>BOTKYRKA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19025-2025</t>
        </is>
      </c>
      <c r="B1800" s="1" t="n">
        <v>45764.6359837963</v>
      </c>
      <c r="C1800" s="1" t="n">
        <v>46089</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54276-2021</t>
        </is>
      </c>
      <c r="B1801" s="1" t="n">
        <v>44470</v>
      </c>
      <c r="C1801" s="1" t="n">
        <v>46089</v>
      </c>
      <c r="D1801" t="inlineStr">
        <is>
          <t>STOCKHOLMS LÄN</t>
        </is>
      </c>
      <c r="E1801" t="inlineStr">
        <is>
          <t>NORRTÄLJE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4316-2023</t>
        </is>
      </c>
      <c r="B1802" s="1" t="n">
        <v>44953.67443287037</v>
      </c>
      <c r="C1802" s="1" t="n">
        <v>46089</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23666-2024</t>
        </is>
      </c>
      <c r="B1803" s="1" t="n">
        <v>45454.57909722222</v>
      </c>
      <c r="C1803" s="1" t="n">
        <v>46089</v>
      </c>
      <c r="D1803" t="inlineStr">
        <is>
          <t>STOCKHOLMS LÄN</t>
        </is>
      </c>
      <c r="E1803" t="inlineStr">
        <is>
          <t>HANINGE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4788-2026</t>
        </is>
      </c>
      <c r="B1804" s="1" t="n">
        <v>46048.56197916667</v>
      </c>
      <c r="C1804" s="1" t="n">
        <v>46089</v>
      </c>
      <c r="D1804" t="inlineStr">
        <is>
          <t>STOCKHOLMS LÄN</t>
        </is>
      </c>
      <c r="E1804" t="inlineStr">
        <is>
          <t>SIGTUNA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41587-2023</t>
        </is>
      </c>
      <c r="B1805" s="1" t="n">
        <v>45175</v>
      </c>
      <c r="C1805" s="1" t="n">
        <v>46089</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11648-2026</t>
        </is>
      </c>
      <c r="B1806" s="1" t="n">
        <v>46084.51575231482</v>
      </c>
      <c r="C1806" s="1" t="n">
        <v>46089</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10404-2026</t>
        </is>
      </c>
      <c r="B1807" s="1" t="n">
        <v>46077.34288194445</v>
      </c>
      <c r="C1807" s="1" t="n">
        <v>46089</v>
      </c>
      <c r="D1807" t="inlineStr">
        <is>
          <t>STOCKHOLMS LÄN</t>
        </is>
      </c>
      <c r="E1807" t="inlineStr">
        <is>
          <t>SÖDERTÄLJE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10417-2026</t>
        </is>
      </c>
      <c r="B1808" s="1" t="n">
        <v>46077.35170138889</v>
      </c>
      <c r="C1808" s="1" t="n">
        <v>46089</v>
      </c>
      <c r="D1808" t="inlineStr">
        <is>
          <t>STOCKHOLMS LÄN</t>
        </is>
      </c>
      <c r="E1808" t="inlineStr">
        <is>
          <t>SÖDERTÄLJE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10428-2026</t>
        </is>
      </c>
      <c r="B1809" s="1" t="n">
        <v>46077.37820601852</v>
      </c>
      <c r="C1809" s="1" t="n">
        <v>46089</v>
      </c>
      <c r="D1809" t="inlineStr">
        <is>
          <t>STOCKHOLMS LÄN</t>
        </is>
      </c>
      <c r="E1809" t="inlineStr">
        <is>
          <t>SÖDERTÄLJE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19404-2024</t>
        </is>
      </c>
      <c r="B1810" s="1" t="n">
        <v>45428</v>
      </c>
      <c r="C1810" s="1" t="n">
        <v>46089</v>
      </c>
      <c r="D1810" t="inlineStr">
        <is>
          <t>STOCKHOLMS LÄN</t>
        </is>
      </c>
      <c r="E1810" t="inlineStr">
        <is>
          <t>ÖSTERÅKER</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47576-2023</t>
        </is>
      </c>
      <c r="B1811" s="1" t="n">
        <v>45197</v>
      </c>
      <c r="C1811" s="1" t="n">
        <v>46089</v>
      </c>
      <c r="D1811" t="inlineStr">
        <is>
          <t>STOCKHOLMS LÄN</t>
        </is>
      </c>
      <c r="E1811" t="inlineStr">
        <is>
          <t>SÖDERTÄLJE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5175-2026</t>
        </is>
      </c>
      <c r="B1812" s="1" t="n">
        <v>46049.64638888889</v>
      </c>
      <c r="C1812" s="1" t="n">
        <v>46089</v>
      </c>
      <c r="D1812" t="inlineStr">
        <is>
          <t>STOCKHOLMS LÄN</t>
        </is>
      </c>
      <c r="E1812" t="inlineStr">
        <is>
          <t>SIGTUNA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34441-2023</t>
        </is>
      </c>
      <c r="B1813" s="1" t="n">
        <v>45139</v>
      </c>
      <c r="C1813" s="1" t="n">
        <v>46089</v>
      </c>
      <c r="D1813" t="inlineStr">
        <is>
          <t>STOCKHOLMS LÄN</t>
        </is>
      </c>
      <c r="E1813" t="inlineStr">
        <is>
          <t>VALLENTUNA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34445-2023</t>
        </is>
      </c>
      <c r="B1814" s="1" t="n">
        <v>45139</v>
      </c>
      <c r="C1814" s="1" t="n">
        <v>46089</v>
      </c>
      <c r="D1814" t="inlineStr">
        <is>
          <t>STOCKHOLMS LÄN</t>
        </is>
      </c>
      <c r="E1814" t="inlineStr">
        <is>
          <t>VALLENTUNA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34449-2021</t>
        </is>
      </c>
      <c r="B1815" s="1" t="n">
        <v>44381.63587962963</v>
      </c>
      <c r="C1815" s="1" t="n">
        <v>46089</v>
      </c>
      <c r="D1815" t="inlineStr">
        <is>
          <t>STOCKHOLMS LÄN</t>
        </is>
      </c>
      <c r="E1815" t="inlineStr">
        <is>
          <t>SÖDERTÄLJE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17304-2024</t>
        </is>
      </c>
      <c r="B1816" s="1" t="n">
        <v>45414</v>
      </c>
      <c r="C1816" s="1" t="n">
        <v>46089</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11280-2023</t>
        </is>
      </c>
      <c r="B1817" s="1" t="n">
        <v>44992</v>
      </c>
      <c r="C1817" s="1" t="n">
        <v>46089</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62708-2025</t>
        </is>
      </c>
      <c r="B1818" s="1" t="n">
        <v>46008.50986111111</v>
      </c>
      <c r="C1818" s="1" t="n">
        <v>46089</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57375-2024</t>
        </is>
      </c>
      <c r="B1819" s="1" t="n">
        <v>45629.67396990741</v>
      </c>
      <c r="C1819" s="1" t="n">
        <v>46089</v>
      </c>
      <c r="D1819" t="inlineStr">
        <is>
          <t>STOCKHOLMS LÄN</t>
        </is>
      </c>
      <c r="E1819" t="inlineStr">
        <is>
          <t>NYNÄSHAMN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34478-2025</t>
        </is>
      </c>
      <c r="B1820" s="1" t="n">
        <v>45847</v>
      </c>
      <c r="C1820" s="1" t="n">
        <v>46089</v>
      </c>
      <c r="D1820" t="inlineStr">
        <is>
          <t>STOCKHOLMS LÄN</t>
        </is>
      </c>
      <c r="E1820" t="inlineStr">
        <is>
          <t>NORRTÄLJE</t>
        </is>
      </c>
      <c r="F1820" t="inlineStr">
        <is>
          <t>Övriga Aktiebolag</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50956-2025</t>
        </is>
      </c>
      <c r="B1821" s="1" t="n">
        <v>45946</v>
      </c>
      <c r="C1821" s="1" t="n">
        <v>46089</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68896-2021</t>
        </is>
      </c>
      <c r="B1822" s="1" t="n">
        <v>44526</v>
      </c>
      <c r="C1822" s="1" t="n">
        <v>46089</v>
      </c>
      <c r="D1822" t="inlineStr">
        <is>
          <t>STOCKHOLMS LÄN</t>
        </is>
      </c>
      <c r="E1822" t="inlineStr">
        <is>
          <t>HANINGE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26668-2024</t>
        </is>
      </c>
      <c r="B1823" s="1" t="n">
        <v>45469</v>
      </c>
      <c r="C1823" s="1" t="n">
        <v>46089</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62681-2025</t>
        </is>
      </c>
      <c r="B1824" s="1" t="n">
        <v>46008.45534722223</v>
      </c>
      <c r="C1824" s="1" t="n">
        <v>46089</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10425-2026</t>
        </is>
      </c>
      <c r="B1825" s="1" t="n">
        <v>46077.36981481482</v>
      </c>
      <c r="C1825" s="1" t="n">
        <v>46089</v>
      </c>
      <c r="D1825" t="inlineStr">
        <is>
          <t>STOCKHOLMS LÄN</t>
        </is>
      </c>
      <c r="E1825" t="inlineStr">
        <is>
          <t>SÖDERTÄLJE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62922-2025</t>
        </is>
      </c>
      <c r="B1826" s="1" t="n">
        <v>46009.38064814815</v>
      </c>
      <c r="C1826" s="1" t="n">
        <v>46089</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54583-2023</t>
        </is>
      </c>
      <c r="B1827" s="1" t="n">
        <v>45233</v>
      </c>
      <c r="C1827" s="1" t="n">
        <v>46089</v>
      </c>
      <c r="D1827" t="inlineStr">
        <is>
          <t>STOCKHOLMS LÄN</t>
        </is>
      </c>
      <c r="E1827" t="inlineStr">
        <is>
          <t>NYKVARN</t>
        </is>
      </c>
      <c r="F1827" t="inlineStr">
        <is>
          <t>Kommuner</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10414-2026</t>
        </is>
      </c>
      <c r="B1828" s="1" t="n">
        <v>46077.34652777778</v>
      </c>
      <c r="C1828" s="1" t="n">
        <v>46089</v>
      </c>
      <c r="D1828" t="inlineStr">
        <is>
          <t>STOCKHOLMS LÄN</t>
        </is>
      </c>
      <c r="E1828" t="inlineStr">
        <is>
          <t>SÖDERTÄLJE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54670-2023</t>
        </is>
      </c>
      <c r="B1829" s="1" t="n">
        <v>45235</v>
      </c>
      <c r="C1829" s="1" t="n">
        <v>46089</v>
      </c>
      <c r="D1829" t="inlineStr">
        <is>
          <t>STOCKHOLMS LÄN</t>
        </is>
      </c>
      <c r="E1829" t="inlineStr">
        <is>
          <t>NYKVARN</t>
        </is>
      </c>
      <c r="F1829" t="inlineStr">
        <is>
          <t>Kommuner</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35906-2022</t>
        </is>
      </c>
      <c r="B1830" s="1" t="n">
        <v>44802</v>
      </c>
      <c r="C1830" s="1" t="n">
        <v>46089</v>
      </c>
      <c r="D1830" t="inlineStr">
        <is>
          <t>STOCKHOLMS LÄN</t>
        </is>
      </c>
      <c r="E1830" t="inlineStr">
        <is>
          <t>SÖDERTÄLJE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31926-2022</t>
        </is>
      </c>
      <c r="B1831" s="1" t="n">
        <v>44777</v>
      </c>
      <c r="C1831" s="1" t="n">
        <v>46089</v>
      </c>
      <c r="D1831" t="inlineStr">
        <is>
          <t>STOCKHOLMS LÄN</t>
        </is>
      </c>
      <c r="E1831" t="inlineStr">
        <is>
          <t>NORRTÄLJE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12116-2026</t>
        </is>
      </c>
      <c r="B1832" s="1" t="n">
        <v>46086.54368055556</v>
      </c>
      <c r="C1832" s="1" t="n">
        <v>46089</v>
      </c>
      <c r="D1832" t="inlineStr">
        <is>
          <t>STOCKHOLMS LÄN</t>
        </is>
      </c>
      <c r="E1832" t="inlineStr">
        <is>
          <t>SÖDERTÄLJE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4227-2026</t>
        </is>
      </c>
      <c r="B1833" s="1" t="n">
        <v>46044</v>
      </c>
      <c r="C1833" s="1" t="n">
        <v>46089</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62689-2025</t>
        </is>
      </c>
      <c r="B1834" s="1" t="n">
        <v>46008.47171296296</v>
      </c>
      <c r="C1834" s="1" t="n">
        <v>46089</v>
      </c>
      <c r="D1834" t="inlineStr">
        <is>
          <t>STOCKHOLMS LÄN</t>
        </is>
      </c>
      <c r="E1834" t="inlineStr">
        <is>
          <t>NORRTÄLJE</t>
        </is>
      </c>
      <c r="F1834" t="inlineStr">
        <is>
          <t>Kyrkan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34450-2021</t>
        </is>
      </c>
      <c r="B1835" s="1" t="n">
        <v>44381</v>
      </c>
      <c r="C1835" s="1" t="n">
        <v>46089</v>
      </c>
      <c r="D1835" t="inlineStr">
        <is>
          <t>STOCKHOLMS LÄN</t>
        </is>
      </c>
      <c r="E1835" t="inlineStr">
        <is>
          <t>SÖDERTÄLJE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47173-2022</t>
        </is>
      </c>
      <c r="B1836" s="1" t="n">
        <v>44852</v>
      </c>
      <c r="C1836" s="1" t="n">
        <v>46089</v>
      </c>
      <c r="D1836" t="inlineStr">
        <is>
          <t>STOCKHOLMS LÄN</t>
        </is>
      </c>
      <c r="E1836" t="inlineStr">
        <is>
          <t>HUDDINGE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6655-2023</t>
        </is>
      </c>
      <c r="B1837" s="1" t="n">
        <v>44966.60668981481</v>
      </c>
      <c r="C1837" s="1" t="n">
        <v>46089</v>
      </c>
      <c r="D1837" t="inlineStr">
        <is>
          <t>STOCKHOLMS LÄN</t>
        </is>
      </c>
      <c r="E1837" t="inlineStr">
        <is>
          <t>ÖSTERÅKER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52815-2023</t>
        </is>
      </c>
      <c r="B1838" s="1" t="n">
        <v>45226</v>
      </c>
      <c r="C1838" s="1" t="n">
        <v>46089</v>
      </c>
      <c r="D1838" t="inlineStr">
        <is>
          <t>STOCKHOLMS LÄN</t>
        </is>
      </c>
      <c r="E1838" t="inlineStr">
        <is>
          <t>SÖDERTÄLJE</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21480-2022</t>
        </is>
      </c>
      <c r="B1839" s="1" t="n">
        <v>44704</v>
      </c>
      <c r="C1839" s="1" t="n">
        <v>46089</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12294-2026</t>
        </is>
      </c>
      <c r="B1840" s="1" t="n">
        <v>46087.55737268519</v>
      </c>
      <c r="C1840" s="1" t="n">
        <v>46089</v>
      </c>
      <c r="D1840" t="inlineStr">
        <is>
          <t>STOCKHOLMS LÄN</t>
        </is>
      </c>
      <c r="E1840" t="inlineStr">
        <is>
          <t>BOTKYRKA</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11041-2025</t>
        </is>
      </c>
      <c r="B1841" s="1" t="n">
        <v>45723</v>
      </c>
      <c r="C1841" s="1" t="n">
        <v>46089</v>
      </c>
      <c r="D1841" t="inlineStr">
        <is>
          <t>STOCKHOLMS LÄN</t>
        </is>
      </c>
      <c r="E1841" t="inlineStr">
        <is>
          <t>NORRTÄLJE</t>
        </is>
      </c>
      <c r="F1841" t="inlineStr">
        <is>
          <t>Övriga Aktiebolag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63378-2025</t>
        </is>
      </c>
      <c r="B1842" s="1" t="n">
        <v>46010.72528935185</v>
      </c>
      <c r="C1842" s="1" t="n">
        <v>46089</v>
      </c>
      <c r="D1842" t="inlineStr">
        <is>
          <t>STOCKHOLMS LÄN</t>
        </is>
      </c>
      <c r="E1842" t="inlineStr">
        <is>
          <t>EKERÖ</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6004-2026</t>
        </is>
      </c>
      <c r="B1843" s="1" t="n">
        <v>46050</v>
      </c>
      <c r="C1843" s="1" t="n">
        <v>46089</v>
      </c>
      <c r="D1843" t="inlineStr">
        <is>
          <t>STOCKHOLMS LÄN</t>
        </is>
      </c>
      <c r="E1843" t="inlineStr">
        <is>
          <t>VAXHOLM</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24024-2024</t>
        </is>
      </c>
      <c r="B1844" s="1" t="n">
        <v>45456</v>
      </c>
      <c r="C1844" s="1" t="n">
        <v>46089</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5884-2026</t>
        </is>
      </c>
      <c r="B1845" s="1" t="n">
        <v>46052.40635416667</v>
      </c>
      <c r="C1845" s="1" t="n">
        <v>46089</v>
      </c>
      <c r="D1845" t="inlineStr">
        <is>
          <t>STOCKHOLMS LÄN</t>
        </is>
      </c>
      <c r="E1845" t="inlineStr">
        <is>
          <t>NYNÄSHAMN</t>
        </is>
      </c>
      <c r="F1845" t="inlineStr">
        <is>
          <t>Kyrkan</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60949-2025</t>
        </is>
      </c>
      <c r="B1846" s="1" t="n">
        <v>45996</v>
      </c>
      <c r="C1846" s="1" t="n">
        <v>46089</v>
      </c>
      <c r="D1846" t="inlineStr">
        <is>
          <t>STOCKHOLMS LÄN</t>
        </is>
      </c>
      <c r="E1846" t="inlineStr">
        <is>
          <t>SIGTUNA</t>
        </is>
      </c>
      <c r="G1846" t="n">
        <v>21.9</v>
      </c>
      <c r="H1846" t="n">
        <v>0</v>
      </c>
      <c r="I1846" t="n">
        <v>0</v>
      </c>
      <c r="J1846" t="n">
        <v>0</v>
      </c>
      <c r="K1846" t="n">
        <v>0</v>
      </c>
      <c r="L1846" t="n">
        <v>0</v>
      </c>
      <c r="M1846" t="n">
        <v>0</v>
      </c>
      <c r="N1846" t="n">
        <v>0</v>
      </c>
      <c r="O1846" t="n">
        <v>0</v>
      </c>
      <c r="P1846" t="n">
        <v>0</v>
      </c>
      <c r="Q1846" t="n">
        <v>0</v>
      </c>
      <c r="R1846" s="2" t="inlineStr"/>
    </row>
    <row r="1847" ht="15" customHeight="1">
      <c r="A1847" t="inlineStr">
        <is>
          <t>A 28809-2023</t>
        </is>
      </c>
      <c r="B1847" s="1" t="n">
        <v>45104</v>
      </c>
      <c r="C1847" s="1" t="n">
        <v>46089</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28813-2023</t>
        </is>
      </c>
      <c r="B1848" s="1" t="n">
        <v>45104</v>
      </c>
      <c r="C1848" s="1" t="n">
        <v>46089</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40656-2022</t>
        </is>
      </c>
      <c r="B1849" s="1" t="n">
        <v>44824.36069444445</v>
      </c>
      <c r="C1849" s="1" t="n">
        <v>46089</v>
      </c>
      <c r="D1849" t="inlineStr">
        <is>
          <t>STOCKHOLMS LÄN</t>
        </is>
      </c>
      <c r="E1849" t="inlineStr">
        <is>
          <t>NORRTÄLJE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12306-2026</t>
        </is>
      </c>
      <c r="B1850" s="1" t="n">
        <v>46087.57949074074</v>
      </c>
      <c r="C1850" s="1" t="n">
        <v>46089</v>
      </c>
      <c r="D1850" t="inlineStr">
        <is>
          <t>STOCKHOLMS LÄN</t>
        </is>
      </c>
      <c r="E1850" t="inlineStr">
        <is>
          <t>BOTKYRKA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735-2024</t>
        </is>
      </c>
      <c r="B1851" s="1" t="n">
        <v>45300</v>
      </c>
      <c r="C1851" s="1" t="n">
        <v>46089</v>
      </c>
      <c r="D1851" t="inlineStr">
        <is>
          <t>STOCKHOLMS LÄN</t>
        </is>
      </c>
      <c r="E1851" t="inlineStr">
        <is>
          <t>VALLENTUNA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12345-2026</t>
        </is>
      </c>
      <c r="B1852" s="1" t="n">
        <v>46087.67776620371</v>
      </c>
      <c r="C1852" s="1" t="n">
        <v>46089</v>
      </c>
      <c r="D1852" t="inlineStr">
        <is>
          <t>STOCKHOLMS LÄN</t>
        </is>
      </c>
      <c r="E1852" t="inlineStr">
        <is>
          <t>ÖSTERÅKER</t>
        </is>
      </c>
      <c r="F1852" t="inlineStr">
        <is>
          <t>Övriga Aktiebolag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12234-2026</t>
        </is>
      </c>
      <c r="B1853" s="1" t="n">
        <v>46087.4091087963</v>
      </c>
      <c r="C1853" s="1" t="n">
        <v>46089</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19294-2025</t>
        </is>
      </c>
      <c r="B1854" s="1" t="n">
        <v>45769.56142361111</v>
      </c>
      <c r="C1854" s="1" t="n">
        <v>46089</v>
      </c>
      <c r="D1854" t="inlineStr">
        <is>
          <t>STOCKHOLMS LÄN</t>
        </is>
      </c>
      <c r="E1854" t="inlineStr">
        <is>
          <t>SIGTUNA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6298-2026</t>
        </is>
      </c>
      <c r="B1855" s="1" t="n">
        <v>46055.5656712963</v>
      </c>
      <c r="C1855" s="1" t="n">
        <v>46089</v>
      </c>
      <c r="D1855" t="inlineStr">
        <is>
          <t>STOCKHOLMS LÄN</t>
        </is>
      </c>
      <c r="E1855" t="inlineStr">
        <is>
          <t>VALLENTUNA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60694-2024</t>
        </is>
      </c>
      <c r="B1856" s="1" t="n">
        <v>45644.47878472223</v>
      </c>
      <c r="C1856" s="1" t="n">
        <v>46089</v>
      </c>
      <c r="D1856" t="inlineStr">
        <is>
          <t>STOCKHOLMS LÄN</t>
        </is>
      </c>
      <c r="E1856" t="inlineStr">
        <is>
          <t>NORRTÄLJE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12585-2023</t>
        </is>
      </c>
      <c r="B1857" s="1" t="n">
        <v>45000.41373842592</v>
      </c>
      <c r="C1857" s="1" t="n">
        <v>46089</v>
      </c>
      <c r="D1857" t="inlineStr">
        <is>
          <t>STOCKHOLMS LÄN</t>
        </is>
      </c>
      <c r="E1857" t="inlineStr">
        <is>
          <t>VALLENTUNA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34818-2021</t>
        </is>
      </c>
      <c r="B1858" s="1" t="n">
        <v>44383.35518518519</v>
      </c>
      <c r="C1858" s="1" t="n">
        <v>46089</v>
      </c>
      <c r="D1858" t="inlineStr">
        <is>
          <t>STOCKHOLMS LÄN</t>
        </is>
      </c>
      <c r="E1858" t="inlineStr">
        <is>
          <t>NYNÄSHAMN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60969-2025</t>
        </is>
      </c>
      <c r="B1859" s="1" t="n">
        <v>45996</v>
      </c>
      <c r="C1859" s="1" t="n">
        <v>46089</v>
      </c>
      <c r="D1859" t="inlineStr">
        <is>
          <t>STOCKHOLMS LÄN</t>
        </is>
      </c>
      <c r="E1859" t="inlineStr">
        <is>
          <t>SIGTUNA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12121-2026</t>
        </is>
      </c>
      <c r="B1860" s="1" t="n">
        <v>46086.54655092592</v>
      </c>
      <c r="C1860" s="1" t="n">
        <v>46089</v>
      </c>
      <c r="D1860" t="inlineStr">
        <is>
          <t>STOCKHOLMS LÄN</t>
        </is>
      </c>
      <c r="E1860" t="inlineStr">
        <is>
          <t>SÖDERTÄLJE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5934-2026</t>
        </is>
      </c>
      <c r="B1861" s="1" t="n">
        <v>46052.47082175926</v>
      </c>
      <c r="C1861" s="1" t="n">
        <v>46089</v>
      </c>
      <c r="D1861" t="inlineStr">
        <is>
          <t>STOCKHOLMS LÄN</t>
        </is>
      </c>
      <c r="E1861" t="inlineStr">
        <is>
          <t>NORRTÄLJE</t>
        </is>
      </c>
      <c r="F1861" t="inlineStr">
        <is>
          <t>Holmen skog AB</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19311-2025</t>
        </is>
      </c>
      <c r="B1862" s="1" t="n">
        <v>45769.57142361111</v>
      </c>
      <c r="C1862" s="1" t="n">
        <v>46089</v>
      </c>
      <c r="D1862" t="inlineStr">
        <is>
          <t>STOCKHOLMS LÄN</t>
        </is>
      </c>
      <c r="E1862" t="inlineStr">
        <is>
          <t>SIGTUNA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19450-2025</t>
        </is>
      </c>
      <c r="B1863" s="1" t="n">
        <v>45770</v>
      </c>
      <c r="C1863" s="1" t="n">
        <v>46089</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12052-2026</t>
        </is>
      </c>
      <c r="B1864" s="1" t="n">
        <v>46086.35180555555</v>
      </c>
      <c r="C1864" s="1" t="n">
        <v>46089</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40895-2024</t>
        </is>
      </c>
      <c r="B1865" s="1" t="n">
        <v>45558.61607638889</v>
      </c>
      <c r="C1865" s="1" t="n">
        <v>46089</v>
      </c>
      <c r="D1865" t="inlineStr">
        <is>
          <t>STOCKHOLMS LÄN</t>
        </is>
      </c>
      <c r="E1865" t="inlineStr">
        <is>
          <t>NYNÄSHAMN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4549-2026</t>
        </is>
      </c>
      <c r="B1866" s="1" t="n">
        <v>46047</v>
      </c>
      <c r="C1866" s="1" t="n">
        <v>46089</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61217-2024</t>
        </is>
      </c>
      <c r="B1867" s="1" t="n">
        <v>45645.65825231482</v>
      </c>
      <c r="C1867" s="1" t="n">
        <v>46089</v>
      </c>
      <c r="D1867" t="inlineStr">
        <is>
          <t>STOCKHOLMS LÄN</t>
        </is>
      </c>
      <c r="E1867" t="inlineStr">
        <is>
          <t>EKERÖ</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7023-2026</t>
        </is>
      </c>
      <c r="B1868" s="1" t="n">
        <v>46057.66645833333</v>
      </c>
      <c r="C1868" s="1" t="n">
        <v>46089</v>
      </c>
      <c r="D1868" t="inlineStr">
        <is>
          <t>STOCKHOLMS LÄN</t>
        </is>
      </c>
      <c r="E1868" t="inlineStr">
        <is>
          <t>SÖDERTÄLJE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4230-2026</t>
        </is>
      </c>
      <c r="B1869" s="1" t="n">
        <v>46044.89366898148</v>
      </c>
      <c r="C1869" s="1" t="n">
        <v>46089</v>
      </c>
      <c r="D1869" t="inlineStr">
        <is>
          <t>STOCKHOLMS LÄN</t>
        </is>
      </c>
      <c r="E1869" t="inlineStr">
        <is>
          <t>NORRTÄLJE</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4231-2026</t>
        </is>
      </c>
      <c r="B1870" s="1" t="n">
        <v>46044</v>
      </c>
      <c r="C1870" s="1" t="n">
        <v>46089</v>
      </c>
      <c r="D1870" t="inlineStr">
        <is>
          <t>STOCKHOLMS LÄN</t>
        </is>
      </c>
      <c r="E1870" t="inlineStr">
        <is>
          <t>NORRTÄLJE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4232-2026</t>
        </is>
      </c>
      <c r="B1871" s="1" t="n">
        <v>46044.89594907407</v>
      </c>
      <c r="C1871" s="1" t="n">
        <v>46089</v>
      </c>
      <c r="D1871" t="inlineStr">
        <is>
          <t>STOCKHOLMS LÄN</t>
        </is>
      </c>
      <c r="E1871" t="inlineStr">
        <is>
          <t>NORRTÄLJE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6724-2026</t>
        </is>
      </c>
      <c r="B1872" s="1" t="n">
        <v>46056.67717592593</v>
      </c>
      <c r="C1872" s="1" t="n">
        <v>46089</v>
      </c>
      <c r="D1872" t="inlineStr">
        <is>
          <t>STOCKHOLMS LÄN</t>
        </is>
      </c>
      <c r="E1872" t="inlineStr">
        <is>
          <t>NORRTÄLJE</t>
        </is>
      </c>
      <c r="F1872" t="inlineStr">
        <is>
          <t>Holmen skog AB</t>
        </is>
      </c>
      <c r="G1872" t="n">
        <v>16.2</v>
      </c>
      <c r="H1872" t="n">
        <v>0</v>
      </c>
      <c r="I1872" t="n">
        <v>0</v>
      </c>
      <c r="J1872" t="n">
        <v>0</v>
      </c>
      <c r="K1872" t="n">
        <v>0</v>
      </c>
      <c r="L1872" t="n">
        <v>0</v>
      </c>
      <c r="M1872" t="n">
        <v>0</v>
      </c>
      <c r="N1872" t="n">
        <v>0</v>
      </c>
      <c r="O1872" t="n">
        <v>0</v>
      </c>
      <c r="P1872" t="n">
        <v>0</v>
      </c>
      <c r="Q1872" t="n">
        <v>0</v>
      </c>
      <c r="R1872" s="2" t="inlineStr"/>
    </row>
    <row r="1873" ht="15" customHeight="1">
      <c r="A1873" t="inlineStr">
        <is>
          <t>A 17328-2025</t>
        </is>
      </c>
      <c r="B1873" s="1" t="n">
        <v>45756.64081018518</v>
      </c>
      <c r="C1873" s="1" t="n">
        <v>46089</v>
      </c>
      <c r="D1873" t="inlineStr">
        <is>
          <t>STOCKHOLMS LÄN</t>
        </is>
      </c>
      <c r="E1873" t="inlineStr">
        <is>
          <t>NYKVARN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6838-2026</t>
        </is>
      </c>
      <c r="B1874" s="1" t="n">
        <v>46057.41151620371</v>
      </c>
      <c r="C1874" s="1" t="n">
        <v>46089</v>
      </c>
      <c r="D1874" t="inlineStr">
        <is>
          <t>STOCKHOLMS LÄN</t>
        </is>
      </c>
      <c r="E1874" t="inlineStr">
        <is>
          <t>NORRTÄLJE</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56002-2024</t>
        </is>
      </c>
      <c r="B1875" s="1" t="n">
        <v>45623.7328587963</v>
      </c>
      <c r="C1875" s="1" t="n">
        <v>46089</v>
      </c>
      <c r="D1875" t="inlineStr">
        <is>
          <t>STOCKHOLMS LÄN</t>
        </is>
      </c>
      <c r="E1875" t="inlineStr">
        <is>
          <t>EKERÖ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12305-2026</t>
        </is>
      </c>
      <c r="B1876" s="1" t="n">
        <v>46087.57827546296</v>
      </c>
      <c r="C1876" s="1" t="n">
        <v>46089</v>
      </c>
      <c r="D1876" t="inlineStr">
        <is>
          <t>STOCKHOLMS LÄN</t>
        </is>
      </c>
      <c r="E1876" t="inlineStr">
        <is>
          <t>BOTKYRKA</t>
        </is>
      </c>
      <c r="F1876" t="inlineStr">
        <is>
          <t>Övriga Aktiebolag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6532-2026</t>
        </is>
      </c>
      <c r="B1877" s="1" t="n">
        <v>46056.41300925926</v>
      </c>
      <c r="C1877" s="1" t="n">
        <v>46089</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3933-2026</t>
        </is>
      </c>
      <c r="B1878" s="1" t="n">
        <v>46043.79916666666</v>
      </c>
      <c r="C1878" s="1" t="n">
        <v>46089</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9842-2025</t>
        </is>
      </c>
      <c r="B1879" s="1" t="n">
        <v>45716</v>
      </c>
      <c r="C1879" s="1" t="n">
        <v>46089</v>
      </c>
      <c r="D1879" t="inlineStr">
        <is>
          <t>STOCKHOLMS LÄN</t>
        </is>
      </c>
      <c r="E1879" t="inlineStr">
        <is>
          <t>ÖSTERÅKER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6893-2026</t>
        </is>
      </c>
      <c r="B1880" s="1" t="n">
        <v>46057.47671296296</v>
      </c>
      <c r="C1880" s="1" t="n">
        <v>46089</v>
      </c>
      <c r="D1880" t="inlineStr">
        <is>
          <t>STOCKHOLMS LÄN</t>
        </is>
      </c>
      <c r="E1880" t="inlineStr">
        <is>
          <t>SIGTUNA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33353-2023</t>
        </is>
      </c>
      <c r="B1881" s="1" t="n">
        <v>45128</v>
      </c>
      <c r="C1881" s="1" t="n">
        <v>46089</v>
      </c>
      <c r="D1881" t="inlineStr">
        <is>
          <t>STOCKHOLMS LÄN</t>
        </is>
      </c>
      <c r="E1881" t="inlineStr">
        <is>
          <t>NORRTÄLJE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6874-2026</t>
        </is>
      </c>
      <c r="B1882" s="1" t="n">
        <v>46057.45295138889</v>
      </c>
      <c r="C1882" s="1" t="n">
        <v>46089</v>
      </c>
      <c r="D1882" t="inlineStr">
        <is>
          <t>STOCKHOLMS LÄN</t>
        </is>
      </c>
      <c r="E1882" t="inlineStr">
        <is>
          <t>NORRTÄLJE</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60728-2022</t>
        </is>
      </c>
      <c r="B1883" s="1" t="n">
        <v>44913</v>
      </c>
      <c r="C1883" s="1" t="n">
        <v>46089</v>
      </c>
      <c r="D1883" t="inlineStr">
        <is>
          <t>STOCKHOLMS LÄN</t>
        </is>
      </c>
      <c r="E1883" t="inlineStr">
        <is>
          <t>EKERÖ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4235-2026</t>
        </is>
      </c>
      <c r="B1884" s="1" t="n">
        <v>46044</v>
      </c>
      <c r="C1884" s="1" t="n">
        <v>46089</v>
      </c>
      <c r="D1884" t="inlineStr">
        <is>
          <t>STOCKHOLMS LÄN</t>
        </is>
      </c>
      <c r="E1884" t="inlineStr">
        <is>
          <t>NORRTÄLJE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2170-2023</t>
        </is>
      </c>
      <c r="B1885" s="1" t="n">
        <v>44941</v>
      </c>
      <c r="C1885" s="1" t="n">
        <v>46089</v>
      </c>
      <c r="D1885" t="inlineStr">
        <is>
          <t>STOCKHOLMS LÄN</t>
        </is>
      </c>
      <c r="E1885" t="inlineStr">
        <is>
          <t>NYNÄSHAMN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21192-2023</t>
        </is>
      </c>
      <c r="B1886" s="1" t="n">
        <v>45062</v>
      </c>
      <c r="C1886" s="1" t="n">
        <v>46089</v>
      </c>
      <c r="D1886" t="inlineStr">
        <is>
          <t>STOCKHOLMS LÄN</t>
        </is>
      </c>
      <c r="E1886" t="inlineStr">
        <is>
          <t>NYNÄSHAMN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2535-2026</t>
        </is>
      </c>
      <c r="B1887" s="1" t="n">
        <v>46037.4490625</v>
      </c>
      <c r="C1887" s="1" t="n">
        <v>46089</v>
      </c>
      <c r="D1887" t="inlineStr">
        <is>
          <t>STOCKHOLMS LÄN</t>
        </is>
      </c>
      <c r="E1887" t="inlineStr">
        <is>
          <t>EKERÖ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9062-2023</t>
        </is>
      </c>
      <c r="B1888" s="1" t="n">
        <v>44979.72369212963</v>
      </c>
      <c r="C1888" s="1" t="n">
        <v>46089</v>
      </c>
      <c r="D1888" t="inlineStr">
        <is>
          <t>STOCKHOLMS LÄN</t>
        </is>
      </c>
      <c r="E1888" t="inlineStr">
        <is>
          <t>NYNÄSHAMN</t>
        </is>
      </c>
      <c r="F1888" t="inlineStr">
        <is>
          <t>Kommuner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9265-2026</t>
        </is>
      </c>
      <c r="B1889" s="1" t="n">
        <v>46069</v>
      </c>
      <c r="C1889" s="1" t="n">
        <v>46089</v>
      </c>
      <c r="D1889" t="inlineStr">
        <is>
          <t>STOCKHOLMS LÄN</t>
        </is>
      </c>
      <c r="E1889" t="inlineStr">
        <is>
          <t>UPPLANDS-BRO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3966-2024</t>
        </is>
      </c>
      <c r="B1890" s="1" t="n">
        <v>45322</v>
      </c>
      <c r="C1890" s="1" t="n">
        <v>46089</v>
      </c>
      <c r="D1890" t="inlineStr">
        <is>
          <t>STOCKHOLMS LÄN</t>
        </is>
      </c>
      <c r="E1890" t="inlineStr">
        <is>
          <t>NORRTÄLJE</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23262-2023</t>
        </is>
      </c>
      <c r="B1891" s="1" t="n">
        <v>45075.90270833333</v>
      </c>
      <c r="C1891" s="1" t="n">
        <v>46089</v>
      </c>
      <c r="D1891" t="inlineStr">
        <is>
          <t>STOCKHOLMS LÄN</t>
        </is>
      </c>
      <c r="E1891" t="inlineStr">
        <is>
          <t>NORRTÄLJE</t>
        </is>
      </c>
      <c r="F1891" t="inlineStr">
        <is>
          <t>Kommuner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23268-2023</t>
        </is>
      </c>
      <c r="B1892" s="1" t="n">
        <v>45075.91042824074</v>
      </c>
      <c r="C1892" s="1" t="n">
        <v>46089</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23270-2023</t>
        </is>
      </c>
      <c r="B1893" s="1" t="n">
        <v>45075.91265046296</v>
      </c>
      <c r="C1893" s="1" t="n">
        <v>46089</v>
      </c>
      <c r="D1893" t="inlineStr">
        <is>
          <t>STOCKHOLMS LÄN</t>
        </is>
      </c>
      <c r="E1893" t="inlineStr">
        <is>
          <t>NORRTÄLJE</t>
        </is>
      </c>
      <c r="G1893" t="n">
        <v>12.3</v>
      </c>
      <c r="H1893" t="n">
        <v>0</v>
      </c>
      <c r="I1893" t="n">
        <v>0</v>
      </c>
      <c r="J1893" t="n">
        <v>0</v>
      </c>
      <c r="K1893" t="n">
        <v>0</v>
      </c>
      <c r="L1893" t="n">
        <v>0</v>
      </c>
      <c r="M1893" t="n">
        <v>0</v>
      </c>
      <c r="N1893" t="n">
        <v>0</v>
      </c>
      <c r="O1893" t="n">
        <v>0</v>
      </c>
      <c r="P1893" t="n">
        <v>0</v>
      </c>
      <c r="Q1893" t="n">
        <v>0</v>
      </c>
      <c r="R1893" s="2" t="inlineStr"/>
    </row>
    <row r="1894" ht="15" customHeight="1">
      <c r="A1894" t="inlineStr">
        <is>
          <t>A 23274-2023</t>
        </is>
      </c>
      <c r="B1894" s="1" t="n">
        <v>45075.92153935185</v>
      </c>
      <c r="C1894" s="1" t="n">
        <v>46089</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17843-2024</t>
        </is>
      </c>
      <c r="B1895" s="1" t="n">
        <v>45418</v>
      </c>
      <c r="C1895" s="1" t="n">
        <v>46089</v>
      </c>
      <c r="D1895" t="inlineStr">
        <is>
          <t>STOCKHOLMS LÄN</t>
        </is>
      </c>
      <c r="E1895" t="inlineStr">
        <is>
          <t>NORRTÄLJE</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25175-2023</t>
        </is>
      </c>
      <c r="B1896" s="1" t="n">
        <v>45086</v>
      </c>
      <c r="C1896" s="1" t="n">
        <v>46089</v>
      </c>
      <c r="D1896" t="inlineStr">
        <is>
          <t>STOCKHOLMS LÄN</t>
        </is>
      </c>
      <c r="E1896" t="inlineStr">
        <is>
          <t>NYNÄSHAMN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26636-2023</t>
        </is>
      </c>
      <c r="B1897" s="1" t="n">
        <v>45092</v>
      </c>
      <c r="C1897" s="1" t="n">
        <v>46089</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26637-2023</t>
        </is>
      </c>
      <c r="B1898" s="1" t="n">
        <v>45092</v>
      </c>
      <c r="C1898" s="1" t="n">
        <v>46089</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56639-2023</t>
        </is>
      </c>
      <c r="B1899" s="1" t="n">
        <v>45243.72300925926</v>
      </c>
      <c r="C1899" s="1" t="n">
        <v>46089</v>
      </c>
      <c r="D1899" t="inlineStr">
        <is>
          <t>STOCKHOLMS LÄN</t>
        </is>
      </c>
      <c r="E1899" t="inlineStr">
        <is>
          <t>NYKVARN</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60635-2024</t>
        </is>
      </c>
      <c r="B1900" s="1" t="n">
        <v>45644.41744212963</v>
      </c>
      <c r="C1900" s="1" t="n">
        <v>46089</v>
      </c>
      <c r="D1900" t="inlineStr">
        <is>
          <t>STOCKHOLMS LÄN</t>
        </is>
      </c>
      <c r="E1900" t="inlineStr">
        <is>
          <t>SÖDERTÄLJE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8077-2022</t>
        </is>
      </c>
      <c r="B1901" s="1" t="n">
        <v>44609</v>
      </c>
      <c r="C1901" s="1" t="n">
        <v>46089</v>
      </c>
      <c r="D1901" t="inlineStr">
        <is>
          <t>STOCKHOLMS LÄN</t>
        </is>
      </c>
      <c r="E1901" t="inlineStr">
        <is>
          <t>VALLENTUNA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72704-2021</t>
        </is>
      </c>
      <c r="B1902" s="1" t="n">
        <v>44546</v>
      </c>
      <c r="C1902" s="1" t="n">
        <v>46089</v>
      </c>
      <c r="D1902" t="inlineStr">
        <is>
          <t>STOCKHOLMS LÄN</t>
        </is>
      </c>
      <c r="E1902" t="inlineStr">
        <is>
          <t>NORRTÄLJE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52743-2024</t>
        </is>
      </c>
      <c r="B1903" s="1" t="n">
        <v>45610.47414351852</v>
      </c>
      <c r="C1903" s="1" t="n">
        <v>46089</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16852-2024</t>
        </is>
      </c>
      <c r="B1904" s="1" t="n">
        <v>45411.54768518519</v>
      </c>
      <c r="C1904" s="1" t="n">
        <v>46089</v>
      </c>
      <c r="D1904" t="inlineStr">
        <is>
          <t>STOCKHOLMS LÄN</t>
        </is>
      </c>
      <c r="E1904" t="inlineStr">
        <is>
          <t>NORRTÄLJE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44206-2024</t>
        </is>
      </c>
      <c r="B1905" s="1" t="n">
        <v>45573</v>
      </c>
      <c r="C1905" s="1" t="n">
        <v>46089</v>
      </c>
      <c r="D1905" t="inlineStr">
        <is>
          <t>STOCKHOLMS LÄN</t>
        </is>
      </c>
      <c r="E1905" t="inlineStr">
        <is>
          <t>NYNÄSHAMN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56909-2024</t>
        </is>
      </c>
      <c r="B1906" s="1" t="n">
        <v>45628.59060185185</v>
      </c>
      <c r="C1906" s="1" t="n">
        <v>46089</v>
      </c>
      <c r="D1906" t="inlineStr">
        <is>
          <t>STOCKHOLMS LÄN</t>
        </is>
      </c>
      <c r="E1906" t="inlineStr">
        <is>
          <t>ÖSTERÅKER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10935-2025</t>
        </is>
      </c>
      <c r="B1907" s="1" t="n">
        <v>45722</v>
      </c>
      <c r="C1907" s="1" t="n">
        <v>46089</v>
      </c>
      <c r="D1907" t="inlineStr">
        <is>
          <t>STOCKHOLMS LÄN</t>
        </is>
      </c>
      <c r="E1907" t="inlineStr">
        <is>
          <t>UPPLANDS-BRO</t>
        </is>
      </c>
      <c r="F1907" t="inlineStr">
        <is>
          <t>Allmännings- och besparingsskogar</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33246-2021</t>
        </is>
      </c>
      <c r="B1908" s="1" t="n">
        <v>44377</v>
      </c>
      <c r="C1908" s="1" t="n">
        <v>46089</v>
      </c>
      <c r="D1908" t="inlineStr">
        <is>
          <t>STOCKHOLMS LÄN</t>
        </is>
      </c>
      <c r="E1908" t="inlineStr">
        <is>
          <t>SALEM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60935-2023</t>
        </is>
      </c>
      <c r="B1909" s="1" t="n">
        <v>45261</v>
      </c>
      <c r="C1909" s="1" t="n">
        <v>46089</v>
      </c>
      <c r="D1909" t="inlineStr">
        <is>
          <t>STOCKHOLMS LÄN</t>
        </is>
      </c>
      <c r="E1909" t="inlineStr">
        <is>
          <t>SIGTUNA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55755-2023</t>
        </is>
      </c>
      <c r="B1910" s="1" t="n">
        <v>45239</v>
      </c>
      <c r="C1910" s="1" t="n">
        <v>46089</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47140-2024</t>
        </is>
      </c>
      <c r="B1911" s="1" t="n">
        <v>45586.58753472222</v>
      </c>
      <c r="C1911" s="1" t="n">
        <v>46089</v>
      </c>
      <c r="D1911" t="inlineStr">
        <is>
          <t>STOCKHOLMS LÄN</t>
        </is>
      </c>
      <c r="E1911" t="inlineStr">
        <is>
          <t>VALLENTUNA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17348-2024</t>
        </is>
      </c>
      <c r="B1912" s="1" t="n">
        <v>45414.58650462963</v>
      </c>
      <c r="C1912" s="1" t="n">
        <v>46089</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32011-2023</t>
        </is>
      </c>
      <c r="B1913" s="1" t="n">
        <v>45119</v>
      </c>
      <c r="C1913" s="1" t="n">
        <v>46089</v>
      </c>
      <c r="D1913" t="inlineStr">
        <is>
          <t>STOCKHOLMS LÄN</t>
        </is>
      </c>
      <c r="E1913" t="inlineStr">
        <is>
          <t>NYNÄSHAMN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5264-2023</t>
        </is>
      </c>
      <c r="B1914" s="1" t="n">
        <v>44959</v>
      </c>
      <c r="C1914" s="1" t="n">
        <v>46089</v>
      </c>
      <c r="D1914" t="inlineStr">
        <is>
          <t>STOCKHOLMS LÄN</t>
        </is>
      </c>
      <c r="E1914" t="inlineStr">
        <is>
          <t>UPPLANDS-BRO</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63400-2023</t>
        </is>
      </c>
      <c r="B1915" s="1" t="n">
        <v>45274</v>
      </c>
      <c r="C1915" s="1" t="n">
        <v>46089</v>
      </c>
      <c r="D1915" t="inlineStr">
        <is>
          <t>STOCKHOLMS LÄN</t>
        </is>
      </c>
      <c r="E1915" t="inlineStr">
        <is>
          <t>NYKVARN</t>
        </is>
      </c>
      <c r="F1915" t="inlineStr">
        <is>
          <t>Kommuner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63463-2023</t>
        </is>
      </c>
      <c r="B1916" s="1" t="n">
        <v>45274</v>
      </c>
      <c r="C1916" s="1" t="n">
        <v>46089</v>
      </c>
      <c r="D1916" t="inlineStr">
        <is>
          <t>STOCKHOLMS LÄN</t>
        </is>
      </c>
      <c r="E1916" t="inlineStr">
        <is>
          <t>NYNÄSHAMN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13089-2022</t>
        </is>
      </c>
      <c r="B1917" s="1" t="n">
        <v>44643</v>
      </c>
      <c r="C1917" s="1" t="n">
        <v>46089</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48145-2024</t>
        </is>
      </c>
      <c r="B1918" s="1" t="n">
        <v>45589.6756712963</v>
      </c>
      <c r="C1918" s="1" t="n">
        <v>46089</v>
      </c>
      <c r="D1918" t="inlineStr">
        <is>
          <t>STOCKHOLMS LÄN</t>
        </is>
      </c>
      <c r="E1918" t="inlineStr">
        <is>
          <t>NORRTÄLJE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32420-2023</t>
        </is>
      </c>
      <c r="B1919" s="1" t="n">
        <v>45110</v>
      </c>
      <c r="C1919" s="1" t="n">
        <v>46089</v>
      </c>
      <c r="D1919" t="inlineStr">
        <is>
          <t>STOCKHOLMS LÄN</t>
        </is>
      </c>
      <c r="E1919" t="inlineStr">
        <is>
          <t>SIGTUNA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32426-2023</t>
        </is>
      </c>
      <c r="B1920" s="1" t="n">
        <v>45110</v>
      </c>
      <c r="C1920" s="1" t="n">
        <v>46089</v>
      </c>
      <c r="D1920" t="inlineStr">
        <is>
          <t>STOCKHOLMS LÄN</t>
        </is>
      </c>
      <c r="E1920" t="inlineStr">
        <is>
          <t>SIGTUNA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23998-2024</t>
        </is>
      </c>
      <c r="B1921" s="1" t="n">
        <v>45456</v>
      </c>
      <c r="C1921" s="1" t="n">
        <v>46089</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15460-2025</t>
        </is>
      </c>
      <c r="B1922" s="1" t="n">
        <v>45747.51049768519</v>
      </c>
      <c r="C1922" s="1" t="n">
        <v>46089</v>
      </c>
      <c r="D1922" t="inlineStr">
        <is>
          <t>STOCKHOLMS LÄN</t>
        </is>
      </c>
      <c r="E1922" t="inlineStr">
        <is>
          <t>NYNÄSHAMN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6648-2023</t>
        </is>
      </c>
      <c r="B1923" s="1" t="n">
        <v>44966</v>
      </c>
      <c r="C1923" s="1" t="n">
        <v>46089</v>
      </c>
      <c r="D1923" t="inlineStr">
        <is>
          <t>STOCKHOLMS LÄN</t>
        </is>
      </c>
      <c r="E1923" t="inlineStr">
        <is>
          <t>HANINGE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15447-2023</t>
        </is>
      </c>
      <c r="B1924" s="1" t="n">
        <v>45020</v>
      </c>
      <c r="C1924" s="1" t="n">
        <v>46089</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15428-2021</t>
        </is>
      </c>
      <c r="B1925" s="1" t="n">
        <v>44285</v>
      </c>
      <c r="C1925" s="1" t="n">
        <v>46089</v>
      </c>
      <c r="D1925" t="inlineStr">
        <is>
          <t>STOCKHOLMS LÄN</t>
        </is>
      </c>
      <c r="E1925" t="inlineStr">
        <is>
          <t>SIGTUNA</t>
        </is>
      </c>
      <c r="F1925" t="inlineStr">
        <is>
          <t>Sveaskog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48656-2022</t>
        </is>
      </c>
      <c r="B1926" s="1" t="n">
        <v>44859.43993055556</v>
      </c>
      <c r="C1926" s="1" t="n">
        <v>46089</v>
      </c>
      <c r="D1926" t="inlineStr">
        <is>
          <t>STOCKHOLMS LÄN</t>
        </is>
      </c>
      <c r="E1926" t="inlineStr">
        <is>
          <t>BOTKYRKA</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2229-2023</t>
        </is>
      </c>
      <c r="B1927" s="1" t="n">
        <v>44939</v>
      </c>
      <c r="C1927" s="1" t="n">
        <v>46089</v>
      </c>
      <c r="D1927" t="inlineStr">
        <is>
          <t>STOCKHOLMS LÄN</t>
        </is>
      </c>
      <c r="E1927" t="inlineStr">
        <is>
          <t>VAXHOLM</t>
        </is>
      </c>
      <c r="F1927" t="inlineStr">
        <is>
          <t>Övriga statliga verk och myndigheter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20346-2025</t>
        </is>
      </c>
      <c r="B1928" s="1" t="n">
        <v>45775.38138888889</v>
      </c>
      <c r="C1928" s="1" t="n">
        <v>46089</v>
      </c>
      <c r="D1928" t="inlineStr">
        <is>
          <t>STOCKHOLMS LÄN</t>
        </is>
      </c>
      <c r="E1928" t="inlineStr">
        <is>
          <t>VÄRMDÖ</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38194-2022</t>
        </is>
      </c>
      <c r="B1929" s="1" t="n">
        <v>44812</v>
      </c>
      <c r="C1929" s="1" t="n">
        <v>46089</v>
      </c>
      <c r="D1929" t="inlineStr">
        <is>
          <t>STOCKHOLMS LÄN</t>
        </is>
      </c>
      <c r="E1929" t="inlineStr">
        <is>
          <t>BOTKYRKA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54358-2022</t>
        </is>
      </c>
      <c r="B1930" s="1" t="n">
        <v>44882</v>
      </c>
      <c r="C1930" s="1" t="n">
        <v>46089</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33667-2022</t>
        </is>
      </c>
      <c r="B1931" s="1" t="n">
        <v>44789</v>
      </c>
      <c r="C1931" s="1" t="n">
        <v>46089</v>
      </c>
      <c r="D1931" t="inlineStr">
        <is>
          <t>STOCKHOLMS LÄN</t>
        </is>
      </c>
      <c r="E1931" t="inlineStr">
        <is>
          <t>NYNÄSHAMN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23263-2023</t>
        </is>
      </c>
      <c r="B1932" s="1" t="n">
        <v>45075</v>
      </c>
      <c r="C1932" s="1" t="n">
        <v>46089</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23264-2023</t>
        </is>
      </c>
      <c r="B1933" s="1" t="n">
        <v>45075</v>
      </c>
      <c r="C1933" s="1" t="n">
        <v>46089</v>
      </c>
      <c r="D1933" t="inlineStr">
        <is>
          <t>STOCKHOLMS LÄN</t>
        </is>
      </c>
      <c r="E1933" t="inlineStr">
        <is>
          <t>NORRTÄLJE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23267-2023</t>
        </is>
      </c>
      <c r="B1934" s="1" t="n">
        <v>45075.90934027778</v>
      </c>
      <c r="C1934" s="1" t="n">
        <v>46089</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23269-2023</t>
        </is>
      </c>
      <c r="B1935" s="1" t="n">
        <v>45075.91148148148</v>
      </c>
      <c r="C1935" s="1" t="n">
        <v>46089</v>
      </c>
      <c r="D1935" t="inlineStr">
        <is>
          <t>STOCKHOLMS LÄN</t>
        </is>
      </c>
      <c r="E1935" t="inlineStr">
        <is>
          <t>NORRTÄLJE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19911-2025</t>
        </is>
      </c>
      <c r="B1936" s="1" t="n">
        <v>45771</v>
      </c>
      <c r="C1936" s="1" t="n">
        <v>46089</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5831-2022</t>
        </is>
      </c>
      <c r="B1937" s="1" t="n">
        <v>44596</v>
      </c>
      <c r="C1937" s="1" t="n">
        <v>46089</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5867-2022</t>
        </is>
      </c>
      <c r="B1938" s="1" t="n">
        <v>44596.66335648148</v>
      </c>
      <c r="C1938" s="1" t="n">
        <v>46089</v>
      </c>
      <c r="D1938" t="inlineStr">
        <is>
          <t>STOCKHOLMS LÄN</t>
        </is>
      </c>
      <c r="E1938" t="inlineStr">
        <is>
          <t>NORRTÄLJE</t>
        </is>
      </c>
      <c r="F1938" t="inlineStr">
        <is>
          <t>Naturvårdsverket</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62878-2023</t>
        </is>
      </c>
      <c r="B1939" s="1" t="n">
        <v>45272</v>
      </c>
      <c r="C1939" s="1" t="n">
        <v>46089</v>
      </c>
      <c r="D1939" t="inlineStr">
        <is>
          <t>STOCKHOLMS LÄN</t>
        </is>
      </c>
      <c r="E1939" t="inlineStr">
        <is>
          <t>NYNÄSHAMN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20244-2025</t>
        </is>
      </c>
      <c r="B1940" s="1" t="n">
        <v>45772.71221064815</v>
      </c>
      <c r="C1940" s="1" t="n">
        <v>46089</v>
      </c>
      <c r="D1940" t="inlineStr">
        <is>
          <t>STOCKHOLMS LÄN</t>
        </is>
      </c>
      <c r="E1940" t="inlineStr">
        <is>
          <t>NORRTÄLJE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48633-2023</t>
        </is>
      </c>
      <c r="B1941" s="1" t="n">
        <v>45208.58004629629</v>
      </c>
      <c r="C1941" s="1" t="n">
        <v>46089</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33792-2023</t>
        </is>
      </c>
      <c r="B1942" s="1" t="n">
        <v>45121</v>
      </c>
      <c r="C1942" s="1" t="n">
        <v>46089</v>
      </c>
      <c r="D1942" t="inlineStr">
        <is>
          <t>STOCKHOLMS LÄN</t>
        </is>
      </c>
      <c r="E1942" t="inlineStr">
        <is>
          <t>HANINGE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39669-2024</t>
        </is>
      </c>
      <c r="B1943" s="1" t="n">
        <v>45552.52827546297</v>
      </c>
      <c r="C1943" s="1" t="n">
        <v>46089</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10263-2025</t>
        </is>
      </c>
      <c r="B1944" s="1" t="n">
        <v>45720.38165509259</v>
      </c>
      <c r="C1944" s="1" t="n">
        <v>46089</v>
      </c>
      <c r="D1944" t="inlineStr">
        <is>
          <t>STOCKHOLMS LÄN</t>
        </is>
      </c>
      <c r="E1944" t="inlineStr">
        <is>
          <t>SÖDERTÄLJE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10277-2025</t>
        </is>
      </c>
      <c r="B1945" s="1" t="n">
        <v>45720.39836805555</v>
      </c>
      <c r="C1945" s="1" t="n">
        <v>46089</v>
      </c>
      <c r="D1945" t="inlineStr">
        <is>
          <t>STOCKHOLMS LÄN</t>
        </is>
      </c>
      <c r="E1945" t="inlineStr">
        <is>
          <t>SÖDERTÄLJE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30949-2024</t>
        </is>
      </c>
      <c r="B1946" s="1" t="n">
        <v>45499</v>
      </c>
      <c r="C1946" s="1" t="n">
        <v>46089</v>
      </c>
      <c r="D1946" t="inlineStr">
        <is>
          <t>STOCKHOLMS LÄN</t>
        </is>
      </c>
      <c r="E1946" t="inlineStr">
        <is>
          <t>ÖSTERÅKER</t>
        </is>
      </c>
      <c r="F1946" t="inlineStr">
        <is>
          <t>Övriga Aktiebolag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62311-2023</t>
        </is>
      </c>
      <c r="B1947" s="1" t="n">
        <v>45266</v>
      </c>
      <c r="C1947" s="1" t="n">
        <v>46089</v>
      </c>
      <c r="D1947" t="inlineStr">
        <is>
          <t>STOCKHOLMS LÄN</t>
        </is>
      </c>
      <c r="E1947" t="inlineStr">
        <is>
          <t>SÖDERTÄLJE</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14900-2025</t>
        </is>
      </c>
      <c r="B1948" s="1" t="n">
        <v>45743.48729166666</v>
      </c>
      <c r="C1948" s="1" t="n">
        <v>46089</v>
      </c>
      <c r="D1948" t="inlineStr">
        <is>
          <t>STOCKHOLMS LÄN</t>
        </is>
      </c>
      <c r="E1948" t="inlineStr">
        <is>
          <t>HANINGE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25706-2023</t>
        </is>
      </c>
      <c r="B1949" s="1" t="n">
        <v>45090</v>
      </c>
      <c r="C1949" s="1" t="n">
        <v>46089</v>
      </c>
      <c r="D1949" t="inlineStr">
        <is>
          <t>STOCKHOLMS LÄN</t>
        </is>
      </c>
      <c r="E1949" t="inlineStr">
        <is>
          <t>SÖDERTÄLJE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19935-2025</t>
        </is>
      </c>
      <c r="B1950" s="1" t="n">
        <v>45771</v>
      </c>
      <c r="C1950" s="1" t="n">
        <v>46089</v>
      </c>
      <c r="D1950" t="inlineStr">
        <is>
          <t>STOCKHOLMS LÄN</t>
        </is>
      </c>
      <c r="E1950" t="inlineStr">
        <is>
          <t>EKERÖ</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62634-2022</t>
        </is>
      </c>
      <c r="B1951" s="1" t="n">
        <v>44917</v>
      </c>
      <c r="C1951" s="1" t="n">
        <v>46089</v>
      </c>
      <c r="D1951" t="inlineStr">
        <is>
          <t>STOCKHOLMS LÄN</t>
        </is>
      </c>
      <c r="E1951" t="inlineStr">
        <is>
          <t>NYNÄSHAMN</t>
        </is>
      </c>
      <c r="G1951" t="n">
        <v>15.8</v>
      </c>
      <c r="H1951" t="n">
        <v>0</v>
      </c>
      <c r="I1951" t="n">
        <v>0</v>
      </c>
      <c r="J1951" t="n">
        <v>0</v>
      </c>
      <c r="K1951" t="n">
        <v>0</v>
      </c>
      <c r="L1951" t="n">
        <v>0</v>
      </c>
      <c r="M1951" t="n">
        <v>0</v>
      </c>
      <c r="N1951" t="n">
        <v>0</v>
      </c>
      <c r="O1951" t="n">
        <v>0</v>
      </c>
      <c r="P1951" t="n">
        <v>0</v>
      </c>
      <c r="Q1951" t="n">
        <v>0</v>
      </c>
      <c r="R1951" s="2" t="inlineStr"/>
    </row>
    <row r="1952" ht="15" customHeight="1">
      <c r="A1952" t="inlineStr">
        <is>
          <t>A 43170-2023</t>
        </is>
      </c>
      <c r="B1952" s="1" t="n">
        <v>45183</v>
      </c>
      <c r="C1952" s="1" t="n">
        <v>46089</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9-2024</t>
        </is>
      </c>
      <c r="B1953" s="1" t="n">
        <v>45293</v>
      </c>
      <c r="C1953" s="1" t="n">
        <v>46089</v>
      </c>
      <c r="D1953" t="inlineStr">
        <is>
          <t>STOCKHOLMS LÄN</t>
        </is>
      </c>
      <c r="E1953" t="inlineStr">
        <is>
          <t>NORRTÄLJE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11867-2024</t>
        </is>
      </c>
      <c r="B1954" s="1" t="n">
        <v>45376.45421296296</v>
      </c>
      <c r="C1954" s="1" t="n">
        <v>46089</v>
      </c>
      <c r="D1954" t="inlineStr">
        <is>
          <t>STOCKHOLMS LÄN</t>
        </is>
      </c>
      <c r="E1954" t="inlineStr">
        <is>
          <t>BOTKYRKA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22832-2021</t>
        </is>
      </c>
      <c r="B1955" s="1" t="n">
        <v>44325</v>
      </c>
      <c r="C1955" s="1" t="n">
        <v>46089</v>
      </c>
      <c r="D1955" t="inlineStr">
        <is>
          <t>STOCKHOLMS LÄN</t>
        </is>
      </c>
      <c r="E1955" t="inlineStr">
        <is>
          <t>NORRTÄLJE</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16913-2025</t>
        </is>
      </c>
      <c r="B1956" s="1" t="n">
        <v>45755.36583333334</v>
      </c>
      <c r="C1956" s="1" t="n">
        <v>46089</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4035-2023</t>
        </is>
      </c>
      <c r="B1957" s="1" t="n">
        <v>44952.57989583333</v>
      </c>
      <c r="C1957" s="1" t="n">
        <v>46089</v>
      </c>
      <c r="D1957" t="inlineStr">
        <is>
          <t>STOCKHOLMS LÄN</t>
        </is>
      </c>
      <c r="E1957" t="inlineStr">
        <is>
          <t>NORRTÄLJE</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46089</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53600-2022</t>
        </is>
      </c>
      <c r="B1959" s="1" t="n">
        <v>44879.70518518519</v>
      </c>
      <c r="C1959" s="1" t="n">
        <v>46089</v>
      </c>
      <c r="D1959" t="inlineStr">
        <is>
          <t>STOCKHOLMS LÄN</t>
        </is>
      </c>
      <c r="E1959" t="inlineStr">
        <is>
          <t>NORRTÄLJE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51587-2023</t>
        </is>
      </c>
      <c r="B1960" s="1" t="n">
        <v>45215</v>
      </c>
      <c r="C1960" s="1" t="n">
        <v>46089</v>
      </c>
      <c r="D1960" t="inlineStr">
        <is>
          <t>STOCKHOLMS LÄN</t>
        </is>
      </c>
      <c r="E1960" t="inlineStr">
        <is>
          <t>UPPLANDS-BRO</t>
        </is>
      </c>
      <c r="F1960" t="inlineStr">
        <is>
          <t>Allmännings- och besparingsskogar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7697-2025</t>
        </is>
      </c>
      <c r="B1961" s="1" t="n">
        <v>45706.40086805556</v>
      </c>
      <c r="C1961" s="1" t="n">
        <v>46089</v>
      </c>
      <c r="D1961" t="inlineStr">
        <is>
          <t>STOCKHOLMS LÄN</t>
        </is>
      </c>
      <c r="E1961" t="inlineStr">
        <is>
          <t>NORRTÄLJE</t>
        </is>
      </c>
      <c r="F1961" t="inlineStr">
        <is>
          <t>Holmen skog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37103-2021</t>
        </is>
      </c>
      <c r="B1962" s="1" t="n">
        <v>44396</v>
      </c>
      <c r="C1962" s="1" t="n">
        <v>46089</v>
      </c>
      <c r="D1962" t="inlineStr">
        <is>
          <t>STOCKHOLMS LÄN</t>
        </is>
      </c>
      <c r="E1962" t="inlineStr">
        <is>
          <t>NYNÄSHAMN</t>
        </is>
      </c>
      <c r="G1962" t="n">
        <v>12.4</v>
      </c>
      <c r="H1962" t="n">
        <v>0</v>
      </c>
      <c r="I1962" t="n">
        <v>0</v>
      </c>
      <c r="J1962" t="n">
        <v>0</v>
      </c>
      <c r="K1962" t="n">
        <v>0</v>
      </c>
      <c r="L1962" t="n">
        <v>0</v>
      </c>
      <c r="M1962" t="n">
        <v>0</v>
      </c>
      <c r="N1962" t="n">
        <v>0</v>
      </c>
      <c r="O1962" t="n">
        <v>0</v>
      </c>
      <c r="P1962" t="n">
        <v>0</v>
      </c>
      <c r="Q1962" t="n">
        <v>0</v>
      </c>
      <c r="R1962" s="2" t="inlineStr"/>
    </row>
    <row r="1963" ht="15" customHeight="1">
      <c r="A1963" t="inlineStr">
        <is>
          <t>A 37104-2021</t>
        </is>
      </c>
      <c r="B1963" s="1" t="n">
        <v>44396</v>
      </c>
      <c r="C1963" s="1" t="n">
        <v>46089</v>
      </c>
      <c r="D1963" t="inlineStr">
        <is>
          <t>STOCKHOLMS LÄN</t>
        </is>
      </c>
      <c r="E1963" t="inlineStr">
        <is>
          <t>NYNÄSHAMN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30221-2024</t>
        </is>
      </c>
      <c r="B1964" s="1" t="n">
        <v>45490.45342592592</v>
      </c>
      <c r="C1964" s="1" t="n">
        <v>46089</v>
      </c>
      <c r="D1964" t="inlineStr">
        <is>
          <t>STOCKHOLMS LÄN</t>
        </is>
      </c>
      <c r="E1964" t="inlineStr">
        <is>
          <t>NORRTÄLJE</t>
        </is>
      </c>
      <c r="F1964" t="inlineStr">
        <is>
          <t>Holmen skog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16149-2024</t>
        </is>
      </c>
      <c r="B1965" s="1" t="n">
        <v>45406.56984953704</v>
      </c>
      <c r="C1965" s="1" t="n">
        <v>46089</v>
      </c>
      <c r="D1965" t="inlineStr">
        <is>
          <t>STOCKHOLMS LÄN</t>
        </is>
      </c>
      <c r="E1965" t="inlineStr">
        <is>
          <t>BOTKYRKA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20527-2025</t>
        </is>
      </c>
      <c r="B1966" s="1" t="n">
        <v>45775.60663194444</v>
      </c>
      <c r="C1966" s="1" t="n">
        <v>46089</v>
      </c>
      <c r="D1966" t="inlineStr">
        <is>
          <t>STOCKHOLMS LÄN</t>
        </is>
      </c>
      <c r="E1966" t="inlineStr">
        <is>
          <t>HANINGE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64568-2023</t>
        </is>
      </c>
      <c r="B1967" s="1" t="n">
        <v>45281.43164351852</v>
      </c>
      <c r="C1967" s="1" t="n">
        <v>46089</v>
      </c>
      <c r="D1967" t="inlineStr">
        <is>
          <t>STOCKHOLMS LÄN</t>
        </is>
      </c>
      <c r="E1967" t="inlineStr">
        <is>
          <t>HANINGE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19487-2023</t>
        </is>
      </c>
      <c r="B1968" s="1" t="n">
        <v>45050</v>
      </c>
      <c r="C1968" s="1" t="n">
        <v>46089</v>
      </c>
      <c r="D1968" t="inlineStr">
        <is>
          <t>STOCKHOLMS LÄN</t>
        </is>
      </c>
      <c r="E1968" t="inlineStr">
        <is>
          <t>NYKVARN</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13-2024</t>
        </is>
      </c>
      <c r="B1969" s="1" t="n">
        <v>45293.37263888889</v>
      </c>
      <c r="C1969" s="1" t="n">
        <v>46089</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19-2024</t>
        </is>
      </c>
      <c r="B1970" s="1" t="n">
        <v>45293</v>
      </c>
      <c r="C1970" s="1" t="n">
        <v>46089</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22-2024</t>
        </is>
      </c>
      <c r="B1971" s="1" t="n">
        <v>45293.40865740741</v>
      </c>
      <c r="C1971" s="1" t="n">
        <v>46089</v>
      </c>
      <c r="D1971" t="inlineStr">
        <is>
          <t>STOCKHOLMS LÄN</t>
        </is>
      </c>
      <c r="E1971" t="inlineStr">
        <is>
          <t>SÖDERTÄLJE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46919-2023</t>
        </is>
      </c>
      <c r="B1972" s="1" t="n">
        <v>45201</v>
      </c>
      <c r="C1972" s="1" t="n">
        <v>46089</v>
      </c>
      <c r="D1972" t="inlineStr">
        <is>
          <t>STOCKHOLMS LÄN</t>
        </is>
      </c>
      <c r="E1972" t="inlineStr">
        <is>
          <t>SALEM</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46089</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95-2024</t>
        </is>
      </c>
      <c r="B1974" s="1" t="n">
        <v>45293</v>
      </c>
      <c r="C1974" s="1" t="n">
        <v>46089</v>
      </c>
      <c r="D1974" t="inlineStr">
        <is>
          <t>STOCKHOLMS LÄN</t>
        </is>
      </c>
      <c r="E1974" t="inlineStr">
        <is>
          <t>SÖDERTÄLJE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8419-2025</t>
        </is>
      </c>
      <c r="B1975" s="1" t="n">
        <v>45709.40231481481</v>
      </c>
      <c r="C1975" s="1" t="n">
        <v>46089</v>
      </c>
      <c r="D1975" t="inlineStr">
        <is>
          <t>STOCKHOLMS LÄN</t>
        </is>
      </c>
      <c r="E1975" t="inlineStr">
        <is>
          <t>NORRTÄLJE</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20375-2023</t>
        </is>
      </c>
      <c r="B1976" s="1" t="n">
        <v>45054</v>
      </c>
      <c r="C1976" s="1" t="n">
        <v>46089</v>
      </c>
      <c r="D1976" t="inlineStr">
        <is>
          <t>STOCKHOLMS LÄN</t>
        </is>
      </c>
      <c r="E1976" t="inlineStr">
        <is>
          <t>SIGTUNA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504-2023</t>
        </is>
      </c>
      <c r="B1977" s="1" t="n">
        <v>44930</v>
      </c>
      <c r="C1977" s="1" t="n">
        <v>46089</v>
      </c>
      <c r="D1977" t="inlineStr">
        <is>
          <t>STOCKHOLMS LÄN</t>
        </is>
      </c>
      <c r="E1977" t="inlineStr">
        <is>
          <t>SALEM</t>
        </is>
      </c>
      <c r="F1977" t="inlineStr">
        <is>
          <t>Kommuner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35161-2022</t>
        </is>
      </c>
      <c r="B1978" s="1" t="n">
        <v>44797</v>
      </c>
      <c r="C1978" s="1" t="n">
        <v>46089</v>
      </c>
      <c r="D1978" t="inlineStr">
        <is>
          <t>STOCKHOLMS LÄN</t>
        </is>
      </c>
      <c r="E1978" t="inlineStr">
        <is>
          <t>NORRTÄLJE</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18793-2023</t>
        </is>
      </c>
      <c r="B1979" s="1" t="n">
        <v>45044</v>
      </c>
      <c r="C1979" s="1" t="n">
        <v>46089</v>
      </c>
      <c r="D1979" t="inlineStr">
        <is>
          <t>STOCKHOLMS LÄN</t>
        </is>
      </c>
      <c r="E1979" t="inlineStr">
        <is>
          <t>NYKVARN</t>
        </is>
      </c>
      <c r="F1979" t="inlineStr">
        <is>
          <t>Kyrkan</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50020-2023</t>
        </is>
      </c>
      <c r="B1980" s="1" t="n">
        <v>45215.46996527778</v>
      </c>
      <c r="C1980" s="1" t="n">
        <v>46089</v>
      </c>
      <c r="D1980" t="inlineStr">
        <is>
          <t>STOCKHOLMS LÄN</t>
        </is>
      </c>
      <c r="E1980" t="inlineStr">
        <is>
          <t>NYKVARN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58989-2021</t>
        </is>
      </c>
      <c r="B1981" s="1" t="n">
        <v>44490.02482638889</v>
      </c>
      <c r="C1981" s="1" t="n">
        <v>46089</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845-2024</t>
        </is>
      </c>
      <c r="B1982" s="1" t="n">
        <v>45300.91423611111</v>
      </c>
      <c r="C1982" s="1" t="n">
        <v>46089</v>
      </c>
      <c r="D1982" t="inlineStr">
        <is>
          <t>STOCKHOLMS LÄN</t>
        </is>
      </c>
      <c r="E1982" t="inlineStr">
        <is>
          <t>ÖSTERÅKER</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46988-2024</t>
        </is>
      </c>
      <c r="B1983" s="1" t="n">
        <v>45586</v>
      </c>
      <c r="C1983" s="1" t="n">
        <v>46089</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21529-2021</t>
        </is>
      </c>
      <c r="B1984" s="1" t="n">
        <v>44321</v>
      </c>
      <c r="C1984" s="1" t="n">
        <v>46089</v>
      </c>
      <c r="D1984" t="inlineStr">
        <is>
          <t>STOCKHOLMS LÄN</t>
        </is>
      </c>
      <c r="E1984" t="inlineStr">
        <is>
          <t>NORRTÄLJE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13701-2022</t>
        </is>
      </c>
      <c r="B1985" s="1" t="n">
        <v>44648</v>
      </c>
      <c r="C1985" s="1" t="n">
        <v>46089</v>
      </c>
      <c r="D1985" t="inlineStr">
        <is>
          <t>STOCKHOLMS LÄN</t>
        </is>
      </c>
      <c r="E1985" t="inlineStr">
        <is>
          <t>NORRTÄLJE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1180-2024</t>
        </is>
      </c>
      <c r="B1986" s="1" t="n">
        <v>45302</v>
      </c>
      <c r="C1986" s="1" t="n">
        <v>46089</v>
      </c>
      <c r="D1986" t="inlineStr">
        <is>
          <t>STOCKHOLMS LÄN</t>
        </is>
      </c>
      <c r="E1986" t="inlineStr">
        <is>
          <t>HANINGE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49956-2022</t>
        </is>
      </c>
      <c r="B1987" s="1" t="n">
        <v>44865.37130787037</v>
      </c>
      <c r="C1987" s="1" t="n">
        <v>46089</v>
      </c>
      <c r="D1987" t="inlineStr">
        <is>
          <t>STOCKHOLMS LÄN</t>
        </is>
      </c>
      <c r="E1987" t="inlineStr">
        <is>
          <t>SÖDERTÄLJE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14132-2025</t>
        </is>
      </c>
      <c r="B1988" s="1" t="n">
        <v>45740.47550925926</v>
      </c>
      <c r="C1988" s="1" t="n">
        <v>46089</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45740.47724537037</v>
      </c>
      <c r="C1989" s="1" t="n">
        <v>46089</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6157-2025</t>
        </is>
      </c>
      <c r="B1990" s="1" t="n">
        <v>45698.40923611111</v>
      </c>
      <c r="C1990" s="1" t="n">
        <v>46089</v>
      </c>
      <c r="D1990" t="inlineStr">
        <is>
          <t>STOCKHOLMS LÄN</t>
        </is>
      </c>
      <c r="E1990" t="inlineStr">
        <is>
          <t>SÖDERTÄLJE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8792-2025</t>
        </is>
      </c>
      <c r="B1991" s="1" t="n">
        <v>45712</v>
      </c>
      <c r="C1991" s="1" t="n">
        <v>46089</v>
      </c>
      <c r="D1991" t="inlineStr">
        <is>
          <t>STOCKHOLMS LÄN</t>
        </is>
      </c>
      <c r="E1991" t="inlineStr">
        <is>
          <t>NORRTÄLJE</t>
        </is>
      </c>
      <c r="F1991" t="inlineStr">
        <is>
          <t>Övriga Aktiebolag</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24873-2023</t>
        </is>
      </c>
      <c r="B1992" s="1" t="n">
        <v>45085</v>
      </c>
      <c r="C1992" s="1" t="n">
        <v>46089</v>
      </c>
      <c r="D1992" t="inlineStr">
        <is>
          <t>STOCKHOLMS LÄN</t>
        </is>
      </c>
      <c r="E1992" t="inlineStr">
        <is>
          <t>HANINGE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46089</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38612-2022</t>
        </is>
      </c>
      <c r="B1994" s="1" t="n">
        <v>44813</v>
      </c>
      <c r="C1994" s="1" t="n">
        <v>46089</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4326-2023</t>
        </is>
      </c>
      <c r="B1995" s="1" t="n">
        <v>44953.70481481482</v>
      </c>
      <c r="C1995" s="1" t="n">
        <v>46089</v>
      </c>
      <c r="D1995" t="inlineStr">
        <is>
          <t>STOCKHOLMS LÄN</t>
        </is>
      </c>
      <c r="E1995" t="inlineStr">
        <is>
          <t>NORRTÄLJE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54504-2024</t>
        </is>
      </c>
      <c r="B1996" s="1" t="n">
        <v>45617.58453703704</v>
      </c>
      <c r="C1996" s="1" t="n">
        <v>46089</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63586-2023</t>
        </is>
      </c>
      <c r="B1997" s="1" t="n">
        <v>45275</v>
      </c>
      <c r="C1997" s="1" t="n">
        <v>46089</v>
      </c>
      <c r="D1997" t="inlineStr">
        <is>
          <t>STOCKHOLMS LÄN</t>
        </is>
      </c>
      <c r="E1997" t="inlineStr">
        <is>
          <t>NYKVARN</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55871-2023</t>
        </is>
      </c>
      <c r="B1998" s="1" t="n">
        <v>45239.73435185185</v>
      </c>
      <c r="C1998" s="1" t="n">
        <v>46089</v>
      </c>
      <c r="D1998" t="inlineStr">
        <is>
          <t>STOCKHOLMS LÄN</t>
        </is>
      </c>
      <c r="E1998" t="inlineStr">
        <is>
          <t>NYNÄSHAMN</t>
        </is>
      </c>
      <c r="F1998" t="inlineStr">
        <is>
          <t>Kommuner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38276-2023</t>
        </is>
      </c>
      <c r="B1999" s="1" t="n">
        <v>45160</v>
      </c>
      <c r="C1999" s="1" t="n">
        <v>46089</v>
      </c>
      <c r="D1999" t="inlineStr">
        <is>
          <t>STOCKHOLMS LÄN</t>
        </is>
      </c>
      <c r="E1999" t="inlineStr">
        <is>
          <t>SIGTUNA</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21745-2023</t>
        </is>
      </c>
      <c r="B2000" s="1" t="n">
        <v>45065.55917824074</v>
      </c>
      <c r="C2000" s="1" t="n">
        <v>46089</v>
      </c>
      <c r="D2000" t="inlineStr">
        <is>
          <t>STOCKHOLMS LÄN</t>
        </is>
      </c>
      <c r="E2000" t="inlineStr">
        <is>
          <t>NORRTÄLJE</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21765-2023</t>
        </is>
      </c>
      <c r="B2001" s="1" t="n">
        <v>45064</v>
      </c>
      <c r="C2001" s="1" t="n">
        <v>46089</v>
      </c>
      <c r="D2001" t="inlineStr">
        <is>
          <t>STOCKHOLMS LÄN</t>
        </is>
      </c>
      <c r="E2001" t="inlineStr">
        <is>
          <t>VALLENTUNA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21894-2023</t>
        </is>
      </c>
      <c r="B2002" s="1" t="n">
        <v>45068.51783564815</v>
      </c>
      <c r="C2002" s="1" t="n">
        <v>46089</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21614-2022</t>
        </is>
      </c>
      <c r="B2003" s="1" t="n">
        <v>44706</v>
      </c>
      <c r="C2003" s="1" t="n">
        <v>46089</v>
      </c>
      <c r="D2003" t="inlineStr">
        <is>
          <t>STOCKHOLMS LÄN</t>
        </is>
      </c>
      <c r="E2003" t="inlineStr">
        <is>
          <t>VALLENTUNA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13276-2022</t>
        </is>
      </c>
      <c r="B2004" s="1" t="n">
        <v>44644</v>
      </c>
      <c r="C2004" s="1" t="n">
        <v>46089</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11343-2025</t>
        </is>
      </c>
      <c r="B2005" s="1" t="n">
        <v>45726.49932870371</v>
      </c>
      <c r="C2005" s="1" t="n">
        <v>46089</v>
      </c>
      <c r="D2005" t="inlineStr">
        <is>
          <t>STOCKHOLMS LÄN</t>
        </is>
      </c>
      <c r="E2005" t="inlineStr">
        <is>
          <t>SÖDERTÄLJE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26505-2024</t>
        </is>
      </c>
      <c r="B2006" s="1" t="n">
        <v>45469</v>
      </c>
      <c r="C2006" s="1" t="n">
        <v>46089</v>
      </c>
      <c r="D2006" t="inlineStr">
        <is>
          <t>STOCKHOLMS LÄN</t>
        </is>
      </c>
      <c r="E2006" t="inlineStr">
        <is>
          <t>NYNÄSHAMN</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54596-2024</t>
        </is>
      </c>
      <c r="B2007" s="1" t="n">
        <v>45617.6762037037</v>
      </c>
      <c r="C2007" s="1" t="n">
        <v>46089</v>
      </c>
      <c r="D2007" t="inlineStr">
        <is>
          <t>STOCKHOLMS LÄN</t>
        </is>
      </c>
      <c r="E2007" t="inlineStr">
        <is>
          <t>SÖDERTÄLJE</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2496-2024</t>
        </is>
      </c>
      <c r="B2008" s="1" t="n">
        <v>45313</v>
      </c>
      <c r="C2008" s="1" t="n">
        <v>46089</v>
      </c>
      <c r="D2008" t="inlineStr">
        <is>
          <t>STOCKHOLMS LÄN</t>
        </is>
      </c>
      <c r="E2008" t="inlineStr">
        <is>
          <t>SIGTUNA</t>
        </is>
      </c>
      <c r="F2008" t="inlineStr">
        <is>
          <t>Kommuner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58592-2023</t>
        </is>
      </c>
      <c r="B2009" s="1" t="n">
        <v>45251</v>
      </c>
      <c r="C2009" s="1" t="n">
        <v>46089</v>
      </c>
      <c r="D2009" t="inlineStr">
        <is>
          <t>STOCKHOLMS LÄN</t>
        </is>
      </c>
      <c r="E2009" t="inlineStr">
        <is>
          <t>SALEM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58599-2023</t>
        </is>
      </c>
      <c r="B2010" s="1" t="n">
        <v>45251.47721064815</v>
      </c>
      <c r="C2010" s="1" t="n">
        <v>46089</v>
      </c>
      <c r="D2010" t="inlineStr">
        <is>
          <t>STOCKHOLMS LÄN</t>
        </is>
      </c>
      <c r="E2010" t="inlineStr">
        <is>
          <t>HANINGE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44746.58530092592</v>
      </c>
      <c r="C2011" s="1" t="n">
        <v>46089</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34461-2023</t>
        </is>
      </c>
      <c r="B2012" s="1" t="n">
        <v>45139</v>
      </c>
      <c r="C2012" s="1" t="n">
        <v>46089</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59168-2022</t>
        </is>
      </c>
      <c r="B2013" s="1" t="n">
        <v>44904.48028935185</v>
      </c>
      <c r="C2013" s="1" t="n">
        <v>46089</v>
      </c>
      <c r="D2013" t="inlineStr">
        <is>
          <t>STOCKHOLMS LÄN</t>
        </is>
      </c>
      <c r="E2013" t="inlineStr">
        <is>
          <t>SIGTUNA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8756-2023</t>
        </is>
      </c>
      <c r="B2014" s="1" t="n">
        <v>44972</v>
      </c>
      <c r="C2014" s="1" t="n">
        <v>46089</v>
      </c>
      <c r="D2014" t="inlineStr">
        <is>
          <t>STOCKHOLMS LÄN</t>
        </is>
      </c>
      <c r="E2014" t="inlineStr">
        <is>
          <t>VÄRMDÖ</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51046-2023</t>
        </is>
      </c>
      <c r="B2015" s="1" t="n">
        <v>45218</v>
      </c>
      <c r="C2015" s="1" t="n">
        <v>46089</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28983-2024</t>
        </is>
      </c>
      <c r="B2016" s="1" t="n">
        <v>45481.47731481482</v>
      </c>
      <c r="C2016" s="1" t="n">
        <v>46089</v>
      </c>
      <c r="D2016" t="inlineStr">
        <is>
          <t>STOCKHOLMS LÄN</t>
        </is>
      </c>
      <c r="E2016" t="inlineStr">
        <is>
          <t>BOTKYRKA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3222-2022</t>
        </is>
      </c>
      <c r="B2017" s="1" t="n">
        <v>44582</v>
      </c>
      <c r="C2017" s="1" t="n">
        <v>46089</v>
      </c>
      <c r="D2017" t="inlineStr">
        <is>
          <t>STOCKHOLMS LÄN</t>
        </is>
      </c>
      <c r="E2017" t="inlineStr">
        <is>
          <t>EKERÖ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23986-2023</t>
        </is>
      </c>
      <c r="B2018" s="1" t="n">
        <v>45078</v>
      </c>
      <c r="C2018" s="1" t="n">
        <v>46089</v>
      </c>
      <c r="D2018" t="inlineStr">
        <is>
          <t>STOCKHOLMS LÄN</t>
        </is>
      </c>
      <c r="E2018" t="inlineStr">
        <is>
          <t>VALLENTUNA</t>
        </is>
      </c>
      <c r="F2018" t="inlineStr">
        <is>
          <t>Kyrkan</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50031-2023</t>
        </is>
      </c>
      <c r="B2019" s="1" t="n">
        <v>45215.48474537037</v>
      </c>
      <c r="C2019" s="1" t="n">
        <v>46089</v>
      </c>
      <c r="D2019" t="inlineStr">
        <is>
          <t>STOCKHOLMS LÄN</t>
        </is>
      </c>
      <c r="E2019" t="inlineStr">
        <is>
          <t>NYKVARN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30002-2023</t>
        </is>
      </c>
      <c r="B2020" s="1" t="n">
        <v>45109</v>
      </c>
      <c r="C2020" s="1" t="n">
        <v>46089</v>
      </c>
      <c r="D2020" t="inlineStr">
        <is>
          <t>STOCKHOLMS LÄN</t>
        </is>
      </c>
      <c r="E2020" t="inlineStr">
        <is>
          <t>VÄRMDÖ</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31134-2023</t>
        </is>
      </c>
      <c r="B2021" s="1" t="n">
        <v>45113</v>
      </c>
      <c r="C2021" s="1" t="n">
        <v>46089</v>
      </c>
      <c r="D2021" t="inlineStr">
        <is>
          <t>STOCKHOLMS LÄN</t>
        </is>
      </c>
      <c r="E2021" t="inlineStr">
        <is>
          <t>ÖSTERÅKER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16724-2022</t>
        </is>
      </c>
      <c r="B2022" s="1" t="n">
        <v>44673</v>
      </c>
      <c r="C2022" s="1" t="n">
        <v>46089</v>
      </c>
      <c r="D2022" t="inlineStr">
        <is>
          <t>STOCKHOLMS LÄN</t>
        </is>
      </c>
      <c r="E2022" t="inlineStr">
        <is>
          <t>SÖDERTÄLJE</t>
        </is>
      </c>
      <c r="F2022" t="inlineStr">
        <is>
          <t>Övriga statliga verk och myndigheter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17382-2024</t>
        </is>
      </c>
      <c r="B2023" s="1" t="n">
        <v>45414.65855324074</v>
      </c>
      <c r="C2023" s="1" t="n">
        <v>46089</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6070-2022</t>
        </is>
      </c>
      <c r="B2024" s="1" t="n">
        <v>44599.58428240741</v>
      </c>
      <c r="C2024" s="1" t="n">
        <v>46089</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25278-2022</t>
        </is>
      </c>
      <c r="B2025" s="1" t="n">
        <v>44730</v>
      </c>
      <c r="C2025" s="1" t="n">
        <v>46089</v>
      </c>
      <c r="D2025" t="inlineStr">
        <is>
          <t>STOCKHOLMS LÄN</t>
        </is>
      </c>
      <c r="E2025" t="inlineStr">
        <is>
          <t>NYKVARN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17039-2024</t>
        </is>
      </c>
      <c r="B2026" s="1" t="n">
        <v>45412.4104050926</v>
      </c>
      <c r="C2026" s="1" t="n">
        <v>46089</v>
      </c>
      <c r="D2026" t="inlineStr">
        <is>
          <t>STOCKHOLMS LÄN</t>
        </is>
      </c>
      <c r="E2026" t="inlineStr">
        <is>
          <t>NORRTÄLJE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72524-2021</t>
        </is>
      </c>
      <c r="B2027" s="1" t="n">
        <v>44546</v>
      </c>
      <c r="C2027" s="1" t="n">
        <v>46089</v>
      </c>
      <c r="D2027" t="inlineStr">
        <is>
          <t>STOCKHOLMS LÄN</t>
        </is>
      </c>
      <c r="E2027" t="inlineStr">
        <is>
          <t>UPPLANDS-BRO</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72530-2021</t>
        </is>
      </c>
      <c r="B2028" s="1" t="n">
        <v>44546</v>
      </c>
      <c r="C2028" s="1" t="n">
        <v>46089</v>
      </c>
      <c r="D2028" t="inlineStr">
        <is>
          <t>STOCKHOLMS LÄN</t>
        </is>
      </c>
      <c r="E2028" t="inlineStr">
        <is>
          <t>SIGTUNA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48180-2023</t>
        </is>
      </c>
      <c r="B2029" s="1" t="n">
        <v>45205</v>
      </c>
      <c r="C2029" s="1" t="n">
        <v>46089</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31575-2022</t>
        </is>
      </c>
      <c r="B2030" s="1" t="n">
        <v>44775.45063657407</v>
      </c>
      <c r="C2030" s="1" t="n">
        <v>46089</v>
      </c>
      <c r="D2030" t="inlineStr">
        <is>
          <t>STOCKHOLMS LÄN</t>
        </is>
      </c>
      <c r="E2030" t="inlineStr">
        <is>
          <t>ÖSTERÅKER</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35695-2023</t>
        </is>
      </c>
      <c r="B2031" s="1" t="n">
        <v>45147.65407407407</v>
      </c>
      <c r="C2031" s="1" t="n">
        <v>46089</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45173-2023</t>
        </is>
      </c>
      <c r="B2032" s="1" t="n">
        <v>45191</v>
      </c>
      <c r="C2032" s="1" t="n">
        <v>46089</v>
      </c>
      <c r="D2032" t="inlineStr">
        <is>
          <t>STOCKHOLMS LÄN</t>
        </is>
      </c>
      <c r="E2032" t="inlineStr">
        <is>
          <t>NORRTÄLJE</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45145-2022</t>
        </is>
      </c>
      <c r="B2033" s="1" t="n">
        <v>44844</v>
      </c>
      <c r="C2033" s="1" t="n">
        <v>46089</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35404-2022</t>
        </is>
      </c>
      <c r="B2034" s="1" t="n">
        <v>44798</v>
      </c>
      <c r="C2034" s="1" t="n">
        <v>46089</v>
      </c>
      <c r="D2034" t="inlineStr">
        <is>
          <t>STOCKHOLMS LÄN</t>
        </is>
      </c>
      <c r="E2034" t="inlineStr">
        <is>
          <t>HUDDINGE</t>
        </is>
      </c>
      <c r="F2034" t="inlineStr">
        <is>
          <t>Kommuner</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24705-2023</t>
        </is>
      </c>
      <c r="B2035" s="1" t="n">
        <v>45084.54459490741</v>
      </c>
      <c r="C2035" s="1" t="n">
        <v>46089</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51082-2024</t>
        </is>
      </c>
      <c r="B2036" s="1" t="n">
        <v>45603.46126157408</v>
      </c>
      <c r="C2036" s="1" t="n">
        <v>46089</v>
      </c>
      <c r="D2036" t="inlineStr">
        <is>
          <t>STOCKHOLMS LÄN</t>
        </is>
      </c>
      <c r="E2036" t="inlineStr">
        <is>
          <t>SÖDERTÄLJE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21696-2024</t>
        </is>
      </c>
      <c r="B2037" s="1" t="n">
        <v>45442.45686342593</v>
      </c>
      <c r="C2037" s="1" t="n">
        <v>46089</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61225-2022</t>
        </is>
      </c>
      <c r="B2038" s="1" t="n">
        <v>44915</v>
      </c>
      <c r="C2038" s="1" t="n">
        <v>46089</v>
      </c>
      <c r="D2038" t="inlineStr">
        <is>
          <t>STOCKHOLMS LÄN</t>
        </is>
      </c>
      <c r="E2038" t="inlineStr">
        <is>
          <t>BOTKYRKA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52836-2024</t>
        </is>
      </c>
      <c r="B2039" s="1" t="n">
        <v>45610.59637731482</v>
      </c>
      <c r="C2039" s="1" t="n">
        <v>46089</v>
      </c>
      <c r="D2039" t="inlineStr">
        <is>
          <t>STOCKHOLMS LÄN</t>
        </is>
      </c>
      <c r="E2039" t="inlineStr">
        <is>
          <t>HANINGE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52859-2024</t>
        </is>
      </c>
      <c r="B2040" s="1" t="n">
        <v>45610.61542824074</v>
      </c>
      <c r="C2040" s="1" t="n">
        <v>46089</v>
      </c>
      <c r="D2040" t="inlineStr">
        <is>
          <t>STOCKHOLMS LÄN</t>
        </is>
      </c>
      <c r="E2040" t="inlineStr">
        <is>
          <t>NYNÄSHAMN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67990-2021</t>
        </is>
      </c>
      <c r="B2041" s="1" t="n">
        <v>44525</v>
      </c>
      <c r="C2041" s="1" t="n">
        <v>46089</v>
      </c>
      <c r="D2041" t="inlineStr">
        <is>
          <t>STOCKHOLMS LÄN</t>
        </is>
      </c>
      <c r="E2041" t="inlineStr">
        <is>
          <t>NORRTÄLJE</t>
        </is>
      </c>
      <c r="F2041" t="inlineStr">
        <is>
          <t>Sveaskog</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71540-2021</t>
        </is>
      </c>
      <c r="B2042" s="1" t="n">
        <v>44540</v>
      </c>
      <c r="C2042" s="1" t="n">
        <v>46089</v>
      </c>
      <c r="D2042" t="inlineStr">
        <is>
          <t>STOCKHOLMS LÄN</t>
        </is>
      </c>
      <c r="E2042" t="inlineStr">
        <is>
          <t>NYKVARN</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71552-2021</t>
        </is>
      </c>
      <c r="B2043" s="1" t="n">
        <v>44540</v>
      </c>
      <c r="C2043" s="1" t="n">
        <v>46089</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73992-2021</t>
        </is>
      </c>
      <c r="B2044" s="1" t="n">
        <v>44556</v>
      </c>
      <c r="C2044" s="1" t="n">
        <v>46089</v>
      </c>
      <c r="D2044" t="inlineStr">
        <is>
          <t>STOCKHOLMS LÄN</t>
        </is>
      </c>
      <c r="E2044" t="inlineStr">
        <is>
          <t>NORRTÄLJE</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7926-2023</t>
        </is>
      </c>
      <c r="B2045" s="1" t="n">
        <v>44973.6502662037</v>
      </c>
      <c r="C2045" s="1" t="n">
        <v>46089</v>
      </c>
      <c r="D2045" t="inlineStr">
        <is>
          <t>STOCKHOLMS LÄN</t>
        </is>
      </c>
      <c r="E2045" t="inlineStr">
        <is>
          <t>NYKVARN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26113-2024</t>
        </is>
      </c>
      <c r="B2046" s="1" t="n">
        <v>45468.45541666666</v>
      </c>
      <c r="C2046" s="1" t="n">
        <v>46089</v>
      </c>
      <c r="D2046" t="inlineStr">
        <is>
          <t>STOCKHOLMS LÄN</t>
        </is>
      </c>
      <c r="E2046" t="inlineStr">
        <is>
          <t>NORRTÄLJE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26116-2024</t>
        </is>
      </c>
      <c r="B2047" s="1" t="n">
        <v>45468.45747685185</v>
      </c>
      <c r="C2047" s="1" t="n">
        <v>46089</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15978-2024</t>
        </is>
      </c>
      <c r="B2048" s="1" t="n">
        <v>45405.57927083333</v>
      </c>
      <c r="C2048" s="1" t="n">
        <v>46089</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11333-2025</t>
        </is>
      </c>
      <c r="B2049" s="1" t="n">
        <v>45726.48377314815</v>
      </c>
      <c r="C2049" s="1" t="n">
        <v>46089</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22529-2022</t>
        </is>
      </c>
      <c r="B2050" s="1" t="n">
        <v>44713</v>
      </c>
      <c r="C2050" s="1" t="n">
        <v>46089</v>
      </c>
      <c r="D2050" t="inlineStr">
        <is>
          <t>STOCKHOLMS LÄN</t>
        </is>
      </c>
      <c r="E2050" t="inlineStr">
        <is>
          <t>NYKVARN</t>
        </is>
      </c>
      <c r="F2050" t="inlineStr">
        <is>
          <t>Allmännings- och besparingsskogar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34385-2023</t>
        </is>
      </c>
      <c r="B2051" s="1" t="n">
        <v>45139</v>
      </c>
      <c r="C2051" s="1" t="n">
        <v>46089</v>
      </c>
      <c r="D2051" t="inlineStr">
        <is>
          <t>STOCKHOLMS LÄN</t>
        </is>
      </c>
      <c r="E2051" t="inlineStr">
        <is>
          <t>NYNÄSHAMN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34391-2023</t>
        </is>
      </c>
      <c r="B2052" s="1" t="n">
        <v>45139.51457175926</v>
      </c>
      <c r="C2052" s="1" t="n">
        <v>46089</v>
      </c>
      <c r="D2052" t="inlineStr">
        <is>
          <t>STOCKHOLMS LÄN</t>
        </is>
      </c>
      <c r="E2052" t="inlineStr">
        <is>
          <t>NORRTÄLJE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42339-2024</t>
        </is>
      </c>
      <c r="B2053" s="1" t="n">
        <v>45562</v>
      </c>
      <c r="C2053" s="1" t="n">
        <v>46089</v>
      </c>
      <c r="D2053" t="inlineStr">
        <is>
          <t>STOCKHOLMS LÄN</t>
        </is>
      </c>
      <c r="E2053" t="inlineStr">
        <is>
          <t>SÖDERTÄLJE</t>
        </is>
      </c>
      <c r="F2053" t="inlineStr">
        <is>
          <t>Övriga statliga verk och myndigheter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24068-2024</t>
        </is>
      </c>
      <c r="B2054" s="1" t="n">
        <v>45456</v>
      </c>
      <c r="C2054" s="1" t="n">
        <v>46089</v>
      </c>
      <c r="D2054" t="inlineStr">
        <is>
          <t>STOCKHOLMS LÄN</t>
        </is>
      </c>
      <c r="E2054" t="inlineStr">
        <is>
          <t>VALLENTUNA</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4338-2023</t>
        </is>
      </c>
      <c r="B2055" s="1" t="n">
        <v>44953</v>
      </c>
      <c r="C2055" s="1" t="n">
        <v>46089</v>
      </c>
      <c r="D2055" t="inlineStr">
        <is>
          <t>STOCKHOLMS LÄN</t>
        </is>
      </c>
      <c r="E2055" t="inlineStr">
        <is>
          <t>UPPLANDS-BRO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10185-2025</t>
        </is>
      </c>
      <c r="B2056" s="1" t="n">
        <v>45719</v>
      </c>
      <c r="C2056" s="1" t="n">
        <v>46089</v>
      </c>
      <c r="D2056" t="inlineStr">
        <is>
          <t>STOCKHOLMS LÄN</t>
        </is>
      </c>
      <c r="E2056" t="inlineStr">
        <is>
          <t>ÖSTERÅKER</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67921-2021</t>
        </is>
      </c>
      <c r="B2057" s="1" t="n">
        <v>44525</v>
      </c>
      <c r="C2057" s="1" t="n">
        <v>46089</v>
      </c>
      <c r="D2057" t="inlineStr">
        <is>
          <t>STOCKHOLMS LÄN</t>
        </is>
      </c>
      <c r="E2057" t="inlineStr">
        <is>
          <t>NORRTÄLJE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61336-2022</t>
        </is>
      </c>
      <c r="B2058" s="1" t="n">
        <v>44915</v>
      </c>
      <c r="C2058" s="1" t="n">
        <v>46089</v>
      </c>
      <c r="D2058" t="inlineStr">
        <is>
          <t>STOCKHOLMS LÄN</t>
        </is>
      </c>
      <c r="E2058" t="inlineStr">
        <is>
          <t>SALEM</t>
        </is>
      </c>
      <c r="F2058" t="inlineStr">
        <is>
          <t>Kommuner</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25681-2024</t>
        </is>
      </c>
      <c r="B2059" s="1" t="n">
        <v>45463.80486111111</v>
      </c>
      <c r="C2059" s="1" t="n">
        <v>46089</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58853-2024</t>
        </is>
      </c>
      <c r="B2060" s="1" t="n">
        <v>45636.38974537037</v>
      </c>
      <c r="C2060" s="1" t="n">
        <v>46089</v>
      </c>
      <c r="D2060" t="inlineStr">
        <is>
          <t>STOCKHOLMS LÄN</t>
        </is>
      </c>
      <c r="E2060" t="inlineStr">
        <is>
          <t>NORRTÄLJE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51026-2024</t>
        </is>
      </c>
      <c r="B2061" s="1" t="n">
        <v>45603.4181712963</v>
      </c>
      <c r="C2061" s="1" t="n">
        <v>46089</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27724-2022</t>
        </is>
      </c>
      <c r="B2062" s="1" t="n">
        <v>44743.48386574074</v>
      </c>
      <c r="C2062" s="1" t="n">
        <v>46089</v>
      </c>
      <c r="D2062" t="inlineStr">
        <is>
          <t>STOCKHOLMS LÄN</t>
        </is>
      </c>
      <c r="E2062" t="inlineStr">
        <is>
          <t>UPPLANDS VÄSBY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35438-2023</t>
        </is>
      </c>
      <c r="B2063" s="1" t="n">
        <v>45146</v>
      </c>
      <c r="C2063" s="1" t="n">
        <v>46089</v>
      </c>
      <c r="D2063" t="inlineStr">
        <is>
          <t>STOCKHOLMS LÄN</t>
        </is>
      </c>
      <c r="E2063" t="inlineStr">
        <is>
          <t>NORRTÄLJE</t>
        </is>
      </c>
      <c r="F2063" t="inlineStr">
        <is>
          <t>Kommuner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20291-2022</t>
        </is>
      </c>
      <c r="B2064" s="1" t="n">
        <v>44698</v>
      </c>
      <c r="C2064" s="1" t="n">
        <v>46089</v>
      </c>
      <c r="D2064" t="inlineStr">
        <is>
          <t>STOCKHOLMS LÄN</t>
        </is>
      </c>
      <c r="E2064" t="inlineStr">
        <is>
          <t>NORRTÄLJE</t>
        </is>
      </c>
      <c r="F2064" t="inlineStr">
        <is>
          <t>Naturvårdsverket</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26115-2024</t>
        </is>
      </c>
      <c r="B2065" s="1" t="n">
        <v>45468.45628472222</v>
      </c>
      <c r="C2065" s="1" t="n">
        <v>46089</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34660-2023</t>
        </is>
      </c>
      <c r="B2066" s="1" t="n">
        <v>45140</v>
      </c>
      <c r="C2066" s="1" t="n">
        <v>46089</v>
      </c>
      <c r="D2066" t="inlineStr">
        <is>
          <t>STOCKHOLMS LÄN</t>
        </is>
      </c>
      <c r="E2066" t="inlineStr">
        <is>
          <t>NYNÄSHAMN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5528-2023</t>
        </is>
      </c>
      <c r="B2067" s="1" t="n">
        <v>44957</v>
      </c>
      <c r="C2067" s="1" t="n">
        <v>46089</v>
      </c>
      <c r="D2067" t="inlineStr">
        <is>
          <t>STOCKHOLMS LÄN</t>
        </is>
      </c>
      <c r="E2067" t="inlineStr">
        <is>
          <t>VAXHOLM</t>
        </is>
      </c>
      <c r="F2067" t="inlineStr">
        <is>
          <t>Övriga statliga verk och myndigheter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25217-2024</t>
        </is>
      </c>
      <c r="B2068" s="1" t="n">
        <v>45462</v>
      </c>
      <c r="C2068" s="1" t="n">
        <v>46089</v>
      </c>
      <c r="D2068" t="inlineStr">
        <is>
          <t>STOCKHOLMS LÄN</t>
        </is>
      </c>
      <c r="E2068" t="inlineStr">
        <is>
          <t>BOTKYRKA</t>
        </is>
      </c>
      <c r="F2068" t="inlineStr">
        <is>
          <t>Övriga Aktiebolag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19118-2022</t>
        </is>
      </c>
      <c r="B2069" s="1" t="n">
        <v>44691.5652662037</v>
      </c>
      <c r="C2069" s="1" t="n">
        <v>46089</v>
      </c>
      <c r="D2069" t="inlineStr">
        <is>
          <t>STOCKHOLMS LÄN</t>
        </is>
      </c>
      <c r="E2069" t="inlineStr">
        <is>
          <t>NORRTÄLJE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3937-2022</t>
        </is>
      </c>
      <c r="B2070" s="1" t="n">
        <v>44587</v>
      </c>
      <c r="C2070" s="1" t="n">
        <v>46089</v>
      </c>
      <c r="D2070" t="inlineStr">
        <is>
          <t>STOCKHOLMS LÄN</t>
        </is>
      </c>
      <c r="E2070" t="inlineStr">
        <is>
          <t>VALLENTUNA</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46089</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23013-2024</t>
        </is>
      </c>
      <c r="B2072" s="1" t="n">
        <v>45450.35116898148</v>
      </c>
      <c r="C2072" s="1" t="n">
        <v>46089</v>
      </c>
      <c r="D2072" t="inlineStr">
        <is>
          <t>STOCKHOLMS LÄN</t>
        </is>
      </c>
      <c r="E2072" t="inlineStr">
        <is>
          <t>VALLENTUNA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34193-2024</t>
        </is>
      </c>
      <c r="B2073" s="1" t="n">
        <v>45524.46203703704</v>
      </c>
      <c r="C2073" s="1" t="n">
        <v>46089</v>
      </c>
      <c r="D2073" t="inlineStr">
        <is>
          <t>STOCKHOLMS LÄN</t>
        </is>
      </c>
      <c r="E2073" t="inlineStr">
        <is>
          <t>SÖDERTÄLJE</t>
        </is>
      </c>
      <c r="G2073" t="n">
        <v>9.199999999999999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59848-2022</t>
        </is>
      </c>
      <c r="B2074" s="1" t="n">
        <v>44901</v>
      </c>
      <c r="C2074" s="1" t="n">
        <v>46089</v>
      </c>
      <c r="D2074" t="inlineStr">
        <is>
          <t>STOCKHOLMS LÄN</t>
        </is>
      </c>
      <c r="E2074" t="inlineStr">
        <is>
          <t>UPPLANDS-BRO</t>
        </is>
      </c>
      <c r="F2074" t="inlineStr">
        <is>
          <t>Övriga statliga verk och myndigheter</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3078-2023</t>
        </is>
      </c>
      <c r="B2075" s="1" t="n">
        <v>44946.41527777778</v>
      </c>
      <c r="C2075" s="1" t="n">
        <v>46089</v>
      </c>
      <c r="D2075" t="inlineStr">
        <is>
          <t>STOCKHOLMS LÄN</t>
        </is>
      </c>
      <c r="E2075" t="inlineStr">
        <is>
          <t>VALLENTUNA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8739-2024</t>
        </is>
      </c>
      <c r="B2076" s="1" t="n">
        <v>45356.47784722222</v>
      </c>
      <c r="C2076" s="1" t="n">
        <v>46089</v>
      </c>
      <c r="D2076" t="inlineStr">
        <is>
          <t>STOCKHOLMS LÄN</t>
        </is>
      </c>
      <c r="E2076" t="inlineStr">
        <is>
          <t>NORRTÄLJE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38759-2022</t>
        </is>
      </c>
      <c r="B2077" s="1" t="n">
        <v>44816</v>
      </c>
      <c r="C2077" s="1" t="n">
        <v>46089</v>
      </c>
      <c r="D2077" t="inlineStr">
        <is>
          <t>STOCKHOLMS LÄN</t>
        </is>
      </c>
      <c r="E2077" t="inlineStr">
        <is>
          <t>NORRTÄLJE</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32857-2021</t>
        </is>
      </c>
      <c r="B2078" s="1" t="n">
        <v>44375</v>
      </c>
      <c r="C2078" s="1" t="n">
        <v>46089</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29714-2023</t>
        </is>
      </c>
      <c r="B2079" s="1" t="n">
        <v>45107.42538194444</v>
      </c>
      <c r="C2079" s="1" t="n">
        <v>46089</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23271-2023</t>
        </is>
      </c>
      <c r="B2080" s="1" t="n">
        <v>45075.91362268518</v>
      </c>
      <c r="C2080" s="1" t="n">
        <v>46089</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23273-2023</t>
        </is>
      </c>
      <c r="B2081" s="1" t="n">
        <v>45075.91971064815</v>
      </c>
      <c r="C2081" s="1" t="n">
        <v>46089</v>
      </c>
      <c r="D2081" t="inlineStr">
        <is>
          <t>STOCKHOLMS LÄN</t>
        </is>
      </c>
      <c r="E2081" t="inlineStr">
        <is>
          <t>NORRTÄLJE</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17623-2024</t>
        </is>
      </c>
      <c r="B2082" s="1" t="n">
        <v>45417.83097222223</v>
      </c>
      <c r="C2082" s="1" t="n">
        <v>46089</v>
      </c>
      <c r="D2082" t="inlineStr">
        <is>
          <t>STOCKHOLMS LÄN</t>
        </is>
      </c>
      <c r="E2082" t="inlineStr">
        <is>
          <t>VÄRMDÖ</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23992-2023</t>
        </is>
      </c>
      <c r="B2083" s="1" t="n">
        <v>45078</v>
      </c>
      <c r="C2083" s="1" t="n">
        <v>46089</v>
      </c>
      <c r="D2083" t="inlineStr">
        <is>
          <t>STOCKHOLMS LÄN</t>
        </is>
      </c>
      <c r="E2083" t="inlineStr">
        <is>
          <t>SALEM</t>
        </is>
      </c>
      <c r="F2083" t="inlineStr">
        <is>
          <t>Kommuner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7694-2023</t>
        </is>
      </c>
      <c r="B2084" s="1" t="n">
        <v>44967</v>
      </c>
      <c r="C2084" s="1" t="n">
        <v>46089</v>
      </c>
      <c r="D2084" t="inlineStr">
        <is>
          <t>STOCKHOLMS LÄN</t>
        </is>
      </c>
      <c r="E2084" t="inlineStr">
        <is>
          <t>VAXHOLM</t>
        </is>
      </c>
      <c r="F2084" t="inlineStr">
        <is>
          <t>Övriga statliga verk och myndigheter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26812-2022</t>
        </is>
      </c>
      <c r="B2085" s="1" t="n">
        <v>44740</v>
      </c>
      <c r="C2085" s="1" t="n">
        <v>46089</v>
      </c>
      <c r="D2085" t="inlineStr">
        <is>
          <t>STOCKHOLMS LÄN</t>
        </is>
      </c>
      <c r="E2085" t="inlineStr">
        <is>
          <t>SÖDERTÄLJE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62320-2023</t>
        </is>
      </c>
      <c r="B2086" s="1" t="n">
        <v>45267</v>
      </c>
      <c r="C2086" s="1" t="n">
        <v>46089</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33061-2024</t>
        </is>
      </c>
      <c r="B2087" s="1" t="n">
        <v>45517.64091435185</v>
      </c>
      <c r="C2087" s="1" t="n">
        <v>46089</v>
      </c>
      <c r="D2087" t="inlineStr">
        <is>
          <t>STOCKHOLMS LÄN</t>
        </is>
      </c>
      <c r="E2087" t="inlineStr">
        <is>
          <t>VÄRMDÖ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2727-2024</t>
        </is>
      </c>
      <c r="B2088" s="1" t="n">
        <v>45314</v>
      </c>
      <c r="C2088" s="1" t="n">
        <v>46089</v>
      </c>
      <c r="D2088" t="inlineStr">
        <is>
          <t>STOCKHOLMS LÄN</t>
        </is>
      </c>
      <c r="E2088" t="inlineStr">
        <is>
          <t>VAXHOLM</t>
        </is>
      </c>
      <c r="F2088" t="inlineStr">
        <is>
          <t>Övriga statliga verk och myndigheter</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67265-2021</t>
        </is>
      </c>
      <c r="B2089" s="1" t="n">
        <v>44523.59277777778</v>
      </c>
      <c r="C2089" s="1" t="n">
        <v>46089</v>
      </c>
      <c r="D2089" t="inlineStr">
        <is>
          <t>STOCKHOLMS LÄN</t>
        </is>
      </c>
      <c r="E2089" t="inlineStr">
        <is>
          <t>ÖSTERÅKER</t>
        </is>
      </c>
      <c r="F2089" t="inlineStr">
        <is>
          <t>Kommuner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8078-2024</t>
        </is>
      </c>
      <c r="B2090" s="1" t="n">
        <v>45351.43737268518</v>
      </c>
      <c r="C2090" s="1" t="n">
        <v>46089</v>
      </c>
      <c r="D2090" t="inlineStr">
        <is>
          <t>STOCKHOLMS LÄN</t>
        </is>
      </c>
      <c r="E2090" t="inlineStr">
        <is>
          <t>HANINGE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39539-2023</t>
        </is>
      </c>
      <c r="B2091" s="1" t="n">
        <v>45167</v>
      </c>
      <c r="C2091" s="1" t="n">
        <v>46089</v>
      </c>
      <c r="D2091" t="inlineStr">
        <is>
          <t>STOCKHOLMS LÄN</t>
        </is>
      </c>
      <c r="E2091" t="inlineStr">
        <is>
          <t>NYKVARN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7603-2025</t>
        </is>
      </c>
      <c r="B2092" s="1" t="n">
        <v>45705.66126157407</v>
      </c>
      <c r="C2092" s="1" t="n">
        <v>46089</v>
      </c>
      <c r="D2092" t="inlineStr">
        <is>
          <t>STOCKHOLMS LÄN</t>
        </is>
      </c>
      <c r="E2092" t="inlineStr">
        <is>
          <t>NORRTÄLJE</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30802-2022</t>
        </is>
      </c>
      <c r="B2093" s="1" t="n">
        <v>44764</v>
      </c>
      <c r="C2093" s="1" t="n">
        <v>46089</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44624-2023</t>
        </is>
      </c>
      <c r="B2094" s="1" t="n">
        <v>45184</v>
      </c>
      <c r="C2094" s="1" t="n">
        <v>46089</v>
      </c>
      <c r="D2094" t="inlineStr">
        <is>
          <t>STOCKHOLMS LÄN</t>
        </is>
      </c>
      <c r="E2094" t="inlineStr">
        <is>
          <t>NYNÄSHAMN</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55369-2023</t>
        </is>
      </c>
      <c r="B2095" s="1" t="n">
        <v>45238</v>
      </c>
      <c r="C2095" s="1" t="n">
        <v>46089</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61113-2023</t>
        </is>
      </c>
      <c r="B2096" s="1" t="n">
        <v>45261</v>
      </c>
      <c r="C2096" s="1" t="n">
        <v>46089</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3283-2025</t>
        </is>
      </c>
      <c r="B2097" s="1" t="n">
        <v>45679</v>
      </c>
      <c r="C2097" s="1" t="n">
        <v>46089</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34295-2024</t>
        </is>
      </c>
      <c r="B2098" s="1" t="n">
        <v>45524</v>
      </c>
      <c r="C2098" s="1" t="n">
        <v>46089</v>
      </c>
      <c r="D2098" t="inlineStr">
        <is>
          <t>STOCKHOLMS LÄN</t>
        </is>
      </c>
      <c r="E2098" t="inlineStr">
        <is>
          <t>NORRTÄLJE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58311-2023</t>
        </is>
      </c>
      <c r="B2099" s="1" t="n">
        <v>45245</v>
      </c>
      <c r="C2099" s="1" t="n">
        <v>46089</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20960-2023</t>
        </is>
      </c>
      <c r="B2100" s="1" t="n">
        <v>45061</v>
      </c>
      <c r="C2100" s="1" t="n">
        <v>46089</v>
      </c>
      <c r="D2100" t="inlineStr">
        <is>
          <t>STOCKHOLMS LÄN</t>
        </is>
      </c>
      <c r="E2100" t="inlineStr">
        <is>
          <t>SIGTUNA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23692-2024</t>
        </is>
      </c>
      <c r="B2101" s="1" t="n">
        <v>45454.65774305556</v>
      </c>
      <c r="C2101" s="1" t="n">
        <v>46089</v>
      </c>
      <c r="D2101" t="inlineStr">
        <is>
          <t>STOCKHOLMS LÄN</t>
        </is>
      </c>
      <c r="E2101" t="inlineStr">
        <is>
          <t>NORRTÄLJE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6876-2022</t>
        </is>
      </c>
      <c r="B2102" s="1" t="n">
        <v>44602</v>
      </c>
      <c r="C2102" s="1" t="n">
        <v>46089</v>
      </c>
      <c r="D2102" t="inlineStr">
        <is>
          <t>STOCKHOLMS LÄN</t>
        </is>
      </c>
      <c r="E2102" t="inlineStr">
        <is>
          <t>NYKVARN</t>
        </is>
      </c>
      <c r="F2102" t="inlineStr">
        <is>
          <t>Kommuner</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20473-2021</t>
        </is>
      </c>
      <c r="B2103" s="1" t="n">
        <v>44315</v>
      </c>
      <c r="C2103" s="1" t="n">
        <v>46089</v>
      </c>
      <c r="D2103" t="inlineStr">
        <is>
          <t>STOCKHOLMS LÄN</t>
        </is>
      </c>
      <c r="E2103" t="inlineStr">
        <is>
          <t>NORRTÄLJE</t>
        </is>
      </c>
      <c r="F2103" t="inlineStr">
        <is>
          <t>Övriga Aktiebolag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59700-2021</t>
        </is>
      </c>
      <c r="B2104" s="1" t="n">
        <v>44494</v>
      </c>
      <c r="C2104" s="1" t="n">
        <v>46089</v>
      </c>
      <c r="D2104" t="inlineStr">
        <is>
          <t>STOCKHOLMS LÄN</t>
        </is>
      </c>
      <c r="E2104" t="inlineStr">
        <is>
          <t>UPPLANDS-BRO</t>
        </is>
      </c>
      <c r="F2104" t="inlineStr">
        <is>
          <t>Övriga statliga verk och myndigheter</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19503-2023</t>
        </is>
      </c>
      <c r="B2105" s="1" t="n">
        <v>45050.47333333334</v>
      </c>
      <c r="C2105" s="1" t="n">
        <v>46089</v>
      </c>
      <c r="D2105" t="inlineStr">
        <is>
          <t>STOCKHOLMS LÄN</t>
        </is>
      </c>
      <c r="E2105" t="inlineStr">
        <is>
          <t>VALLENTUNA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54273-2021</t>
        </is>
      </c>
      <c r="B2106" s="1" t="n">
        <v>44470.72987268519</v>
      </c>
      <c r="C2106" s="1" t="n">
        <v>46089</v>
      </c>
      <c r="D2106" t="inlineStr">
        <is>
          <t>STOCKHOLMS LÄN</t>
        </is>
      </c>
      <c r="E2106" t="inlineStr">
        <is>
          <t>NORRTÄLJE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30910-2023</t>
        </is>
      </c>
      <c r="B2107" s="1" t="n">
        <v>45113</v>
      </c>
      <c r="C2107" s="1" t="n">
        <v>46089</v>
      </c>
      <c r="D2107" t="inlineStr">
        <is>
          <t>STOCKHOLMS LÄN</t>
        </is>
      </c>
      <c r="E2107" t="inlineStr">
        <is>
          <t>NYNÄSHAMN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57884-2021</t>
        </is>
      </c>
      <c r="B2108" s="1" t="n">
        <v>44485</v>
      </c>
      <c r="C2108" s="1" t="n">
        <v>46089</v>
      </c>
      <c r="D2108" t="inlineStr">
        <is>
          <t>STOCKHOLMS LÄN</t>
        </is>
      </c>
      <c r="E2108" t="inlineStr">
        <is>
          <t>SÖDERTÄLJE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8323-2025</t>
        </is>
      </c>
      <c r="B2109" s="1" t="n">
        <v>45708.6322337963</v>
      </c>
      <c r="C2109" s="1" t="n">
        <v>46089</v>
      </c>
      <c r="D2109" t="inlineStr">
        <is>
          <t>STOCKHOLMS LÄN</t>
        </is>
      </c>
      <c r="E2109" t="inlineStr">
        <is>
          <t>SÖDERTÄLJE</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15839-2025</t>
        </is>
      </c>
      <c r="B2110" s="1" t="n">
        <v>45748.868125</v>
      </c>
      <c r="C2110" s="1" t="n">
        <v>46089</v>
      </c>
      <c r="D2110" t="inlineStr">
        <is>
          <t>STOCKHOLMS LÄN</t>
        </is>
      </c>
      <c r="E2110" t="inlineStr">
        <is>
          <t>NYNÄSHAMN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7806-2025</t>
        </is>
      </c>
      <c r="B2111" s="1" t="n">
        <v>45706.61178240741</v>
      </c>
      <c r="C2111" s="1" t="n">
        <v>46089</v>
      </c>
      <c r="D2111" t="inlineStr">
        <is>
          <t>STOCKHOLMS LÄN</t>
        </is>
      </c>
      <c r="E2111" t="inlineStr">
        <is>
          <t>NORRTÄLJE</t>
        </is>
      </c>
      <c r="F2111" t="inlineStr">
        <is>
          <t>Holmen skog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53792-2023</t>
        </is>
      </c>
      <c r="B2112" s="1" t="n">
        <v>45231.34144675926</v>
      </c>
      <c r="C2112" s="1" t="n">
        <v>46089</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18711-2023</t>
        </is>
      </c>
      <c r="B2113" s="1" t="n">
        <v>45043.6433912037</v>
      </c>
      <c r="C2113" s="1" t="n">
        <v>46089</v>
      </c>
      <c r="D2113" t="inlineStr">
        <is>
          <t>STOCKHOLMS LÄN</t>
        </is>
      </c>
      <c r="E2113" t="inlineStr">
        <is>
          <t>ÖSTERÅKER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21329-2022</t>
        </is>
      </c>
      <c r="B2114" s="1" t="n">
        <v>44705.60626157407</v>
      </c>
      <c r="C2114" s="1" t="n">
        <v>46089</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6886-2022</t>
        </is>
      </c>
      <c r="B2115" s="1" t="n">
        <v>44602</v>
      </c>
      <c r="C2115" s="1" t="n">
        <v>46089</v>
      </c>
      <c r="D2115" t="inlineStr">
        <is>
          <t>STOCKHOLMS LÄN</t>
        </is>
      </c>
      <c r="E2115" t="inlineStr">
        <is>
          <t>SÖDERTÄLJE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50569-2022</t>
        </is>
      </c>
      <c r="B2116" s="1" t="n">
        <v>44866.63775462963</v>
      </c>
      <c r="C2116" s="1" t="n">
        <v>46089</v>
      </c>
      <c r="D2116" t="inlineStr">
        <is>
          <t>STOCKHOLMS LÄN</t>
        </is>
      </c>
      <c r="E2116" t="inlineStr">
        <is>
          <t>NORRTÄLJE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24499-2023</t>
        </is>
      </c>
      <c r="B2117" s="1" t="n">
        <v>45082</v>
      </c>
      <c r="C2117" s="1" t="n">
        <v>46089</v>
      </c>
      <c r="D2117" t="inlineStr">
        <is>
          <t>STOCKHOLMS LÄN</t>
        </is>
      </c>
      <c r="E2117" t="inlineStr">
        <is>
          <t>ÖSTERÅKER</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24501-2023</t>
        </is>
      </c>
      <c r="B2118" s="1" t="n">
        <v>45082</v>
      </c>
      <c r="C2118" s="1" t="n">
        <v>46089</v>
      </c>
      <c r="D2118" t="inlineStr">
        <is>
          <t>STOCKHOLMS LÄN</t>
        </is>
      </c>
      <c r="E2118" t="inlineStr">
        <is>
          <t>NORRTÄLJE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24520-2023</t>
        </is>
      </c>
      <c r="B2119" s="1" t="n">
        <v>45082.68922453704</v>
      </c>
      <c r="C2119" s="1" t="n">
        <v>46089</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60654-2023</t>
        </is>
      </c>
      <c r="B2120" s="1" t="n">
        <v>45260.43225694444</v>
      </c>
      <c r="C2120" s="1" t="n">
        <v>46089</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60656-2023</t>
        </is>
      </c>
      <c r="B2121" s="1" t="n">
        <v>45260.4333449074</v>
      </c>
      <c r="C2121" s="1" t="n">
        <v>46089</v>
      </c>
      <c r="D2121" t="inlineStr">
        <is>
          <t>STOCKHOLMS LÄN</t>
        </is>
      </c>
      <c r="E2121" t="inlineStr">
        <is>
          <t>NORRTÄLJE</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27805-2021</t>
        </is>
      </c>
      <c r="B2122" s="1" t="n">
        <v>44354</v>
      </c>
      <c r="C2122" s="1" t="n">
        <v>46089</v>
      </c>
      <c r="D2122" t="inlineStr">
        <is>
          <t>STOCKHOLMS LÄN</t>
        </is>
      </c>
      <c r="E2122" t="inlineStr">
        <is>
          <t>UPPLANDS-BRO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54496-2024</t>
        </is>
      </c>
      <c r="B2123" s="1" t="n">
        <v>45617.57439814815</v>
      </c>
      <c r="C2123" s="1" t="n">
        <v>46089</v>
      </c>
      <c r="D2123" t="inlineStr">
        <is>
          <t>STOCKHOLMS LÄN</t>
        </is>
      </c>
      <c r="E2123" t="inlineStr">
        <is>
          <t>NORRTÄLJE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35197-2024</t>
        </is>
      </c>
      <c r="B2124" s="1" t="n">
        <v>45530</v>
      </c>
      <c r="C2124" s="1" t="n">
        <v>46089</v>
      </c>
      <c r="D2124" t="inlineStr">
        <is>
          <t>STOCKHOLMS LÄN</t>
        </is>
      </c>
      <c r="E2124" t="inlineStr">
        <is>
          <t>BOTKYRKA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21386-2023</t>
        </is>
      </c>
      <c r="B2125" s="1" t="n">
        <v>45063.35880787037</v>
      </c>
      <c r="C2125" s="1" t="n">
        <v>46089</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10642-2025</t>
        </is>
      </c>
      <c r="B2126" s="1" t="n">
        <v>45721.65858796296</v>
      </c>
      <c r="C2126" s="1" t="n">
        <v>46089</v>
      </c>
      <c r="D2126" t="inlineStr">
        <is>
          <t>STOCKHOLMS LÄN</t>
        </is>
      </c>
      <c r="E2126" t="inlineStr">
        <is>
          <t>NORRTÄLJE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30622-2024</t>
        </is>
      </c>
      <c r="B2127" s="1" t="n">
        <v>45495</v>
      </c>
      <c r="C2127" s="1" t="n">
        <v>46089</v>
      </c>
      <c r="D2127" t="inlineStr">
        <is>
          <t>STOCKHOLMS LÄN</t>
        </is>
      </c>
      <c r="E2127" t="inlineStr">
        <is>
          <t>BOTKYRKA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20053-2023</t>
        </is>
      </c>
      <c r="B2128" s="1" t="n">
        <v>45054</v>
      </c>
      <c r="C2128" s="1" t="n">
        <v>46089</v>
      </c>
      <c r="D2128" t="inlineStr">
        <is>
          <t>STOCKHOLMS LÄN</t>
        </is>
      </c>
      <c r="E2128" t="inlineStr">
        <is>
          <t>VÄRMDÖ</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20144-2023</t>
        </is>
      </c>
      <c r="B2129" s="1" t="n">
        <v>45055.43509259259</v>
      </c>
      <c r="C2129" s="1" t="n">
        <v>46089</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53312-2024</t>
        </is>
      </c>
      <c r="B2130" s="1" t="n">
        <v>45614.39627314815</v>
      </c>
      <c r="C2130" s="1" t="n">
        <v>46089</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39202-2024</t>
        </is>
      </c>
      <c r="B2131" s="1" t="n">
        <v>45548.72306712963</v>
      </c>
      <c r="C2131" s="1" t="n">
        <v>46089</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22756-2022</t>
        </is>
      </c>
      <c r="B2132" s="1" t="n">
        <v>44714.92253472222</v>
      </c>
      <c r="C2132" s="1" t="n">
        <v>46089</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4581-2025</t>
        </is>
      </c>
      <c r="B2133" s="1" t="n">
        <v>45687</v>
      </c>
      <c r="C2133" s="1" t="n">
        <v>46089</v>
      </c>
      <c r="D2133" t="inlineStr">
        <is>
          <t>STOCKHOLMS LÄN</t>
        </is>
      </c>
      <c r="E2133" t="inlineStr">
        <is>
          <t>NORRTÄLJE</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31246-2022</t>
        </is>
      </c>
      <c r="B2134" s="1" t="n">
        <v>44771</v>
      </c>
      <c r="C2134" s="1" t="n">
        <v>46089</v>
      </c>
      <c r="D2134" t="inlineStr">
        <is>
          <t>STOCKHOLMS LÄN</t>
        </is>
      </c>
      <c r="E2134" t="inlineStr">
        <is>
          <t>HUDDINGE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41767-2024</t>
        </is>
      </c>
      <c r="B2135" s="1" t="n">
        <v>45561.34616898148</v>
      </c>
      <c r="C2135" s="1" t="n">
        <v>46089</v>
      </c>
      <c r="D2135" t="inlineStr">
        <is>
          <t>STOCKHOLMS LÄN</t>
        </is>
      </c>
      <c r="E2135" t="inlineStr">
        <is>
          <t>NYNÄSHAMN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4803-2024</t>
        </is>
      </c>
      <c r="B2136" s="1" t="n">
        <v>45328</v>
      </c>
      <c r="C2136" s="1" t="n">
        <v>46089</v>
      </c>
      <c r="D2136" t="inlineStr">
        <is>
          <t>STOCKHOLMS LÄN</t>
        </is>
      </c>
      <c r="E2136" t="inlineStr">
        <is>
          <t>VALLENTUNA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28146-2024</t>
        </is>
      </c>
      <c r="B2137" s="1" t="n">
        <v>45476</v>
      </c>
      <c r="C2137" s="1" t="n">
        <v>46089</v>
      </c>
      <c r="D2137" t="inlineStr">
        <is>
          <t>STOCKHOLMS LÄN</t>
        </is>
      </c>
      <c r="E2137" t="inlineStr">
        <is>
          <t>ÖSTERÅKER</t>
        </is>
      </c>
      <c r="F2137" t="inlineStr">
        <is>
          <t>Övriga Aktiebolag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60765-2023</t>
        </is>
      </c>
      <c r="B2138" s="1" t="n">
        <v>45260</v>
      </c>
      <c r="C2138" s="1" t="n">
        <v>46089</v>
      </c>
      <c r="D2138" t="inlineStr">
        <is>
          <t>STOCKHOLMS LÄN</t>
        </is>
      </c>
      <c r="E2138" t="inlineStr">
        <is>
          <t>NORRTÄLJE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45572-2021</t>
        </is>
      </c>
      <c r="B2139" s="1" t="n">
        <v>44440</v>
      </c>
      <c r="C2139" s="1" t="n">
        <v>46089</v>
      </c>
      <c r="D2139" t="inlineStr">
        <is>
          <t>STOCKHOLMS LÄN</t>
        </is>
      </c>
      <c r="E2139" t="inlineStr">
        <is>
          <t>VÄRMDÖ</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23801-2022</t>
        </is>
      </c>
      <c r="B2140" s="1" t="n">
        <v>44722</v>
      </c>
      <c r="C2140" s="1" t="n">
        <v>46089</v>
      </c>
      <c r="D2140" t="inlineStr">
        <is>
          <t>STOCKHOLMS LÄN</t>
        </is>
      </c>
      <c r="E2140" t="inlineStr">
        <is>
          <t>NORRTÄLJE</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59276-2023</t>
        </is>
      </c>
      <c r="B2141" s="1" t="n">
        <v>45253.55641203704</v>
      </c>
      <c r="C2141" s="1" t="n">
        <v>46089</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46089</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18541-2023</t>
        </is>
      </c>
      <c r="B2143" s="1" t="n">
        <v>45042.74291666667</v>
      </c>
      <c r="C2143" s="1" t="n">
        <v>46089</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3509-2022</t>
        </is>
      </c>
      <c r="B2144" s="1" t="n">
        <v>44585</v>
      </c>
      <c r="C2144" s="1" t="n">
        <v>46089</v>
      </c>
      <c r="D2144" t="inlineStr">
        <is>
          <t>STOCKHOLMS LÄN</t>
        </is>
      </c>
      <c r="E2144" t="inlineStr">
        <is>
          <t>NORRTÄLJE</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3698-2022</t>
        </is>
      </c>
      <c r="B2145" s="1" t="n">
        <v>44586</v>
      </c>
      <c r="C2145" s="1" t="n">
        <v>46089</v>
      </c>
      <c r="D2145" t="inlineStr">
        <is>
          <t>STOCKHOLMS LÄN</t>
        </is>
      </c>
      <c r="E2145" t="inlineStr">
        <is>
          <t>VALLENTUNA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26407-2024</t>
        </is>
      </c>
      <c r="B2146" s="1" t="n">
        <v>45469</v>
      </c>
      <c r="C2146" s="1" t="n">
        <v>46089</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12890-2024</t>
        </is>
      </c>
      <c r="B2147" s="1" t="n">
        <v>45385.36243055556</v>
      </c>
      <c r="C2147" s="1" t="n">
        <v>46089</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38102-2024</t>
        </is>
      </c>
      <c r="B2148" s="1" t="n">
        <v>45545.36349537037</v>
      </c>
      <c r="C2148" s="1" t="n">
        <v>46089</v>
      </c>
      <c r="D2148" t="inlineStr">
        <is>
          <t>STOCKHOLMS LÄN</t>
        </is>
      </c>
      <c r="E2148" t="inlineStr">
        <is>
          <t>VALLENTUNA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8748-2022</t>
        </is>
      </c>
      <c r="B2149" s="1" t="n">
        <v>44613</v>
      </c>
      <c r="C2149" s="1" t="n">
        <v>46089</v>
      </c>
      <c r="D2149" t="inlineStr">
        <is>
          <t>STOCKHOLMS LÄN</t>
        </is>
      </c>
      <c r="E2149" t="inlineStr">
        <is>
          <t>UPPLANDS VÄSBY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64494-2023</t>
        </is>
      </c>
      <c r="B2150" s="1" t="n">
        <v>45280.93269675926</v>
      </c>
      <c r="C2150" s="1" t="n">
        <v>46089</v>
      </c>
      <c r="D2150" t="inlineStr">
        <is>
          <t>STOCKHOLMS LÄN</t>
        </is>
      </c>
      <c r="E2150" t="inlineStr">
        <is>
          <t>NYNÄSHAMN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47419-2023</t>
        </is>
      </c>
      <c r="B2151" s="1" t="n">
        <v>45202.65660879629</v>
      </c>
      <c r="C2151" s="1" t="n">
        <v>46089</v>
      </c>
      <c r="D2151" t="inlineStr">
        <is>
          <t>STOCKHOLMS LÄN</t>
        </is>
      </c>
      <c r="E2151" t="inlineStr">
        <is>
          <t>NORRTÄLJE</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23070-2023</t>
        </is>
      </c>
      <c r="B2152" s="1" t="n">
        <v>45075</v>
      </c>
      <c r="C2152" s="1" t="n">
        <v>46089</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27824-2022</t>
        </is>
      </c>
      <c r="B2153" s="1" t="n">
        <v>44743.59331018518</v>
      </c>
      <c r="C2153" s="1" t="n">
        <v>46089</v>
      </c>
      <c r="D2153" t="inlineStr">
        <is>
          <t>STOCKHOLMS LÄN</t>
        </is>
      </c>
      <c r="E2153" t="inlineStr">
        <is>
          <t>NORRTÄLJE</t>
        </is>
      </c>
      <c r="F2153" t="inlineStr">
        <is>
          <t>Kommuner</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19903-2023</t>
        </is>
      </c>
      <c r="B2154" s="1" t="n">
        <v>45054</v>
      </c>
      <c r="C2154" s="1" t="n">
        <v>46089</v>
      </c>
      <c r="D2154" t="inlineStr">
        <is>
          <t>STOCKHOLMS LÄN</t>
        </is>
      </c>
      <c r="E2154" t="inlineStr">
        <is>
          <t>NYKVARN</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57048-2024</t>
        </is>
      </c>
      <c r="B2155" s="1" t="n">
        <v>45629.33938657407</v>
      </c>
      <c r="C2155" s="1" t="n">
        <v>46089</v>
      </c>
      <c r="D2155" t="inlineStr">
        <is>
          <t>STOCKHOLMS LÄN</t>
        </is>
      </c>
      <c r="E2155" t="inlineStr">
        <is>
          <t>ÖSTERÅKER</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53337-2023</t>
        </is>
      </c>
      <c r="B2156" s="1" t="n">
        <v>45229.63960648148</v>
      </c>
      <c r="C2156" s="1" t="n">
        <v>46089</v>
      </c>
      <c r="D2156" t="inlineStr">
        <is>
          <t>STOCKHOLMS LÄN</t>
        </is>
      </c>
      <c r="E2156" t="inlineStr">
        <is>
          <t>NYKVARN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25619-2022</t>
        </is>
      </c>
      <c r="B2157" s="1" t="n">
        <v>44732</v>
      </c>
      <c r="C2157" s="1" t="n">
        <v>46089</v>
      </c>
      <c r="D2157" t="inlineStr">
        <is>
          <t>STOCKHOLMS LÄN</t>
        </is>
      </c>
      <c r="E2157" t="inlineStr">
        <is>
          <t>NORRTÄLJE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27771-2021</t>
        </is>
      </c>
      <c r="B2158" s="1" t="n">
        <v>44354</v>
      </c>
      <c r="C2158" s="1" t="n">
        <v>46089</v>
      </c>
      <c r="D2158" t="inlineStr">
        <is>
          <t>STOCKHOLMS LÄN</t>
        </is>
      </c>
      <c r="E2158" t="inlineStr">
        <is>
          <t>SÖDERTÄLJE</t>
        </is>
      </c>
      <c r="F2158" t="inlineStr">
        <is>
          <t>Sveaskog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32424-2023</t>
        </is>
      </c>
      <c r="B2159" s="1" t="n">
        <v>45110</v>
      </c>
      <c r="C2159" s="1" t="n">
        <v>46089</v>
      </c>
      <c r="D2159" t="inlineStr">
        <is>
          <t>STOCKHOLMS LÄN</t>
        </is>
      </c>
      <c r="E2159" t="inlineStr">
        <is>
          <t>SIGTUNA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36246-2021</t>
        </is>
      </c>
      <c r="B2160" s="1" t="n">
        <v>44390</v>
      </c>
      <c r="C2160" s="1" t="n">
        <v>46089</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19220-2023</t>
        </is>
      </c>
      <c r="B2161" s="1" t="n">
        <v>45048</v>
      </c>
      <c r="C2161" s="1" t="n">
        <v>46089</v>
      </c>
      <c r="D2161" t="inlineStr">
        <is>
          <t>STOCKHOLMS LÄN</t>
        </is>
      </c>
      <c r="E2161" t="inlineStr">
        <is>
          <t>HANINGE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19952-2023</t>
        </is>
      </c>
      <c r="B2162" s="1" t="n">
        <v>45054.54091435186</v>
      </c>
      <c r="C2162" s="1" t="n">
        <v>46089</v>
      </c>
      <c r="D2162" t="inlineStr">
        <is>
          <t>STOCKHOLMS LÄN</t>
        </is>
      </c>
      <c r="E2162" t="inlineStr">
        <is>
          <t>NORRTÄLJE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19994-2023</t>
        </is>
      </c>
      <c r="B2163" s="1" t="n">
        <v>45054</v>
      </c>
      <c r="C2163" s="1" t="n">
        <v>46089</v>
      </c>
      <c r="D2163" t="inlineStr">
        <is>
          <t>STOCKHOLMS LÄN</t>
        </is>
      </c>
      <c r="E2163" t="inlineStr">
        <is>
          <t>NORRTÄLJE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1016-2022</t>
        </is>
      </c>
      <c r="B2164" s="1" t="n">
        <v>44571</v>
      </c>
      <c r="C2164" s="1" t="n">
        <v>46089</v>
      </c>
      <c r="D2164" t="inlineStr">
        <is>
          <t>STOCKHOLMS LÄN</t>
        </is>
      </c>
      <c r="E2164" t="inlineStr">
        <is>
          <t>SÖDERTÄLJE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8320-2025</t>
        </is>
      </c>
      <c r="B2165" s="1" t="n">
        <v>45708.62876157407</v>
      </c>
      <c r="C2165" s="1" t="n">
        <v>46089</v>
      </c>
      <c r="D2165" t="inlineStr">
        <is>
          <t>STOCKHOLMS LÄN</t>
        </is>
      </c>
      <c r="E2165" t="inlineStr">
        <is>
          <t>SÖDERTÄLJE</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14130-2025</t>
        </is>
      </c>
      <c r="B2166" s="1" t="n">
        <v>45740.47288194444</v>
      </c>
      <c r="C2166" s="1" t="n">
        <v>46089</v>
      </c>
      <c r="D2166" t="inlineStr">
        <is>
          <t>STOCKHOLMS LÄN</t>
        </is>
      </c>
      <c r="E2166" t="inlineStr">
        <is>
          <t>NORRTÄLJE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39876-2024</t>
        </is>
      </c>
      <c r="B2167" s="1" t="n">
        <v>45553</v>
      </c>
      <c r="C2167" s="1" t="n">
        <v>46089</v>
      </c>
      <c r="D2167" t="inlineStr">
        <is>
          <t>STOCKHOLMS LÄN</t>
        </is>
      </c>
      <c r="E2167" t="inlineStr">
        <is>
          <t>VAXHOLM</t>
        </is>
      </c>
      <c r="F2167" t="inlineStr">
        <is>
          <t>Övriga statliga verk och myndigheter</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5286-2025</t>
        </is>
      </c>
      <c r="B2168" s="1" t="n">
        <v>45692.44144675926</v>
      </c>
      <c r="C2168" s="1" t="n">
        <v>46089</v>
      </c>
      <c r="D2168" t="inlineStr">
        <is>
          <t>STOCKHOLMS LÄN</t>
        </is>
      </c>
      <c r="E2168" t="inlineStr">
        <is>
          <t>ÖSTERÅKER</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35942-2022</t>
        </is>
      </c>
      <c r="B2169" s="1" t="n">
        <v>44802</v>
      </c>
      <c r="C2169" s="1" t="n">
        <v>46089</v>
      </c>
      <c r="D2169" t="inlineStr">
        <is>
          <t>STOCKHOLMS LÄN</t>
        </is>
      </c>
      <c r="E2169" t="inlineStr">
        <is>
          <t>SÖDERTÄLJE</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574-2023</t>
        </is>
      </c>
      <c r="B2170" s="1" t="n">
        <v>44925</v>
      </c>
      <c r="C2170" s="1" t="n">
        <v>46089</v>
      </c>
      <c r="D2170" t="inlineStr">
        <is>
          <t>STOCKHOLMS LÄN</t>
        </is>
      </c>
      <c r="E2170" t="inlineStr">
        <is>
          <t>NORRTÄLJE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3383-2024</t>
        </is>
      </c>
      <c r="B2171" s="1" t="n">
        <v>45317</v>
      </c>
      <c r="C2171" s="1" t="n">
        <v>46089</v>
      </c>
      <c r="D2171" t="inlineStr">
        <is>
          <t>STOCKHOLMS LÄN</t>
        </is>
      </c>
      <c r="E2171" t="inlineStr">
        <is>
          <t>SÖDERTÄLJE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24034-2022</t>
        </is>
      </c>
      <c r="B2172" s="1" t="n">
        <v>44724</v>
      </c>
      <c r="C2172" s="1" t="n">
        <v>46089</v>
      </c>
      <c r="D2172" t="inlineStr">
        <is>
          <t>STOCKHOLMS LÄN</t>
        </is>
      </c>
      <c r="E2172" t="inlineStr">
        <is>
          <t>SÖDERTÄLJE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30283-2022</t>
        </is>
      </c>
      <c r="B2173" s="1" t="n">
        <v>44760</v>
      </c>
      <c r="C2173" s="1" t="n">
        <v>46089</v>
      </c>
      <c r="D2173" t="inlineStr">
        <is>
          <t>STOCKHOLMS LÄN</t>
        </is>
      </c>
      <c r="E2173" t="inlineStr">
        <is>
          <t>NORRTÄLJE</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30290-2022</t>
        </is>
      </c>
      <c r="B2174" s="1" t="n">
        <v>44760</v>
      </c>
      <c r="C2174" s="1" t="n">
        <v>46089</v>
      </c>
      <c r="D2174" t="inlineStr">
        <is>
          <t>STOCKHOLMS LÄN</t>
        </is>
      </c>
      <c r="E2174" t="inlineStr">
        <is>
          <t>NORRTÄLJE</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29684-2021</t>
        </is>
      </c>
      <c r="B2175" s="1" t="n">
        <v>44362.37172453704</v>
      </c>
      <c r="C2175" s="1" t="n">
        <v>46089</v>
      </c>
      <c r="D2175" t="inlineStr">
        <is>
          <t>STOCKHOLMS LÄN</t>
        </is>
      </c>
      <c r="E2175" t="inlineStr">
        <is>
          <t>NORRTÄLJE</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3817-2023</t>
        </is>
      </c>
      <c r="B2176" s="1" t="n">
        <v>44951</v>
      </c>
      <c r="C2176" s="1" t="n">
        <v>46089</v>
      </c>
      <c r="D2176" t="inlineStr">
        <is>
          <t>STOCKHOLMS LÄN</t>
        </is>
      </c>
      <c r="E2176" t="inlineStr">
        <is>
          <t>ÖSTERÅKER</t>
        </is>
      </c>
      <c r="F2176" t="inlineStr">
        <is>
          <t>Kommuner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544-2023</t>
        </is>
      </c>
      <c r="B2177" s="1" t="n">
        <v>44924</v>
      </c>
      <c r="C2177" s="1" t="n">
        <v>46089</v>
      </c>
      <c r="D2177" t="inlineStr">
        <is>
          <t>STOCKHOLMS LÄN</t>
        </is>
      </c>
      <c r="E2177" t="inlineStr">
        <is>
          <t>ÖSTERÅKER</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61576-2024</t>
        </is>
      </c>
      <c r="B2178" s="1" t="n">
        <v>45646.6218287037</v>
      </c>
      <c r="C2178" s="1" t="n">
        <v>46089</v>
      </c>
      <c r="D2178" t="inlineStr">
        <is>
          <t>STOCKHOLMS LÄN</t>
        </is>
      </c>
      <c r="E2178" t="inlineStr">
        <is>
          <t>SIGTUNA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60884-2024</t>
        </is>
      </c>
      <c r="B2179" s="1" t="n">
        <v>45644.90815972222</v>
      </c>
      <c r="C2179" s="1" t="n">
        <v>46089</v>
      </c>
      <c r="D2179" t="inlineStr">
        <is>
          <t>STOCKHOLMS LÄN</t>
        </is>
      </c>
      <c r="E2179" t="inlineStr">
        <is>
          <t>NORRTÄLJE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47089-2023</t>
        </is>
      </c>
      <c r="B2180" s="1" t="n">
        <v>45196</v>
      </c>
      <c r="C2180" s="1" t="n">
        <v>46089</v>
      </c>
      <c r="D2180" t="inlineStr">
        <is>
          <t>STOCKHOLMS LÄN</t>
        </is>
      </c>
      <c r="E2180" t="inlineStr">
        <is>
          <t>NYNÄSHAMN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47093-2023</t>
        </is>
      </c>
      <c r="B2181" s="1" t="n">
        <v>45196</v>
      </c>
      <c r="C2181" s="1" t="n">
        <v>46089</v>
      </c>
      <c r="D2181" t="inlineStr">
        <is>
          <t>STOCKHOLMS LÄN</t>
        </is>
      </c>
      <c r="E2181" t="inlineStr">
        <is>
          <t>NYNÄSHAMN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38610-2022</t>
        </is>
      </c>
      <c r="B2182" s="1" t="n">
        <v>44813.59915509259</v>
      </c>
      <c r="C2182" s="1" t="n">
        <v>46089</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37842-2022</t>
        </is>
      </c>
      <c r="B2183" s="1" t="n">
        <v>44810</v>
      </c>
      <c r="C2183" s="1" t="n">
        <v>46089</v>
      </c>
      <c r="D2183" t="inlineStr">
        <is>
          <t>STOCKHOLMS LÄN</t>
        </is>
      </c>
      <c r="E2183" t="inlineStr">
        <is>
          <t>SÖDERTÄLJE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72218-2021</t>
        </is>
      </c>
      <c r="B2184" s="1" t="n">
        <v>44544.76424768518</v>
      </c>
      <c r="C2184" s="1" t="n">
        <v>46089</v>
      </c>
      <c r="D2184" t="inlineStr">
        <is>
          <t>STOCKHOLMS LÄN</t>
        </is>
      </c>
      <c r="E2184" t="inlineStr">
        <is>
          <t>SÖDERTÄLJE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3326-2022</t>
        </is>
      </c>
      <c r="B2185" s="1" t="n">
        <v>44583</v>
      </c>
      <c r="C2185" s="1" t="n">
        <v>46089</v>
      </c>
      <c r="D2185" t="inlineStr">
        <is>
          <t>STOCKHOLMS LÄN</t>
        </is>
      </c>
      <c r="E2185" t="inlineStr">
        <is>
          <t>ÖSTERÅKER</t>
        </is>
      </c>
      <c r="F2185" t="inlineStr">
        <is>
          <t>Övriga Aktiebolag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49136-2021</t>
        </is>
      </c>
      <c r="B2186" s="1" t="n">
        <v>44453.91797453703</v>
      </c>
      <c r="C2186" s="1" t="n">
        <v>46089</v>
      </c>
      <c r="D2186" t="inlineStr">
        <is>
          <t>STOCKHOLMS LÄN</t>
        </is>
      </c>
      <c r="E2186" t="inlineStr">
        <is>
          <t>SÖDERTÄLJE</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10090-2022</t>
        </is>
      </c>
      <c r="B2187" s="1" t="n">
        <v>44621</v>
      </c>
      <c r="C2187" s="1" t="n">
        <v>46089</v>
      </c>
      <c r="D2187" t="inlineStr">
        <is>
          <t>STOCKHOLMS LÄN</t>
        </is>
      </c>
      <c r="E2187" t="inlineStr">
        <is>
          <t>NORRTÄLJE</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14724-2022</t>
        </is>
      </c>
      <c r="B2188" s="1" t="n">
        <v>44656</v>
      </c>
      <c r="C2188" s="1" t="n">
        <v>46089</v>
      </c>
      <c r="D2188" t="inlineStr">
        <is>
          <t>STOCKHOLMS LÄN</t>
        </is>
      </c>
      <c r="E2188" t="inlineStr">
        <is>
          <t>NORRTÄLJE</t>
        </is>
      </c>
      <c r="F2188" t="inlineStr">
        <is>
          <t>Sveaskog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18846-2022</t>
        </is>
      </c>
      <c r="B2189" s="1" t="n">
        <v>44690</v>
      </c>
      <c r="C2189" s="1" t="n">
        <v>46089</v>
      </c>
      <c r="D2189" t="inlineStr">
        <is>
          <t>STOCKHOLMS LÄN</t>
        </is>
      </c>
      <c r="E2189" t="inlineStr">
        <is>
          <t>NORRTÄLJE</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43300-2023</t>
        </is>
      </c>
      <c r="B2190" s="1" t="n">
        <v>45183</v>
      </c>
      <c r="C2190" s="1" t="n">
        <v>46089</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25584-2023</t>
        </is>
      </c>
      <c r="B2191" s="1" t="n">
        <v>45089</v>
      </c>
      <c r="C2191" s="1" t="n">
        <v>46089</v>
      </c>
      <c r="D2191" t="inlineStr">
        <is>
          <t>STOCKHOLMS LÄN</t>
        </is>
      </c>
      <c r="E2191" t="inlineStr">
        <is>
          <t>HANINGE</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25654-2023</t>
        </is>
      </c>
      <c r="B2192" s="1" t="n">
        <v>45089</v>
      </c>
      <c r="C2192" s="1" t="n">
        <v>46089</v>
      </c>
      <c r="D2192" t="inlineStr">
        <is>
          <t>STOCKHOLMS LÄN</t>
        </is>
      </c>
      <c r="E2192" t="inlineStr">
        <is>
          <t>NORRTÄLJE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12234-2022</t>
        </is>
      </c>
      <c r="B2193" s="1" t="n">
        <v>44637</v>
      </c>
      <c r="C2193" s="1" t="n">
        <v>46089</v>
      </c>
      <c r="D2193" t="inlineStr">
        <is>
          <t>STOCKHOLMS LÄN</t>
        </is>
      </c>
      <c r="E2193" t="inlineStr">
        <is>
          <t>VALLENTUNA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8939-2023</t>
        </is>
      </c>
      <c r="B2194" s="1" t="n">
        <v>44979</v>
      </c>
      <c r="C2194" s="1" t="n">
        <v>46089</v>
      </c>
      <c r="D2194" t="inlineStr">
        <is>
          <t>STOCKHOLMS LÄN</t>
        </is>
      </c>
      <c r="E2194" t="inlineStr">
        <is>
          <t>NYNÄSHAMN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45674-2021</t>
        </is>
      </c>
      <c r="B2195" s="1" t="n">
        <v>44441</v>
      </c>
      <c r="C2195" s="1" t="n">
        <v>46089</v>
      </c>
      <c r="D2195" t="inlineStr">
        <is>
          <t>STOCKHOLMS LÄN</t>
        </is>
      </c>
      <c r="E2195" t="inlineStr">
        <is>
          <t>SÖDERTÄLJE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23125-2022</t>
        </is>
      </c>
      <c r="B2196" s="1" t="n">
        <v>44719</v>
      </c>
      <c r="C2196" s="1" t="n">
        <v>46089</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20121-2022</t>
        </is>
      </c>
      <c r="B2197" s="1" t="n">
        <v>44698</v>
      </c>
      <c r="C2197" s="1" t="n">
        <v>46089</v>
      </c>
      <c r="D2197" t="inlineStr">
        <is>
          <t>STOCKHOLMS LÄN</t>
        </is>
      </c>
      <c r="E2197" t="inlineStr">
        <is>
          <t>NORRTÄLJE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33385-2024</t>
        </is>
      </c>
      <c r="B2198" s="1" t="n">
        <v>45519</v>
      </c>
      <c r="C2198" s="1" t="n">
        <v>46089</v>
      </c>
      <c r="D2198" t="inlineStr">
        <is>
          <t>STOCKHOLMS LÄN</t>
        </is>
      </c>
      <c r="E2198" t="inlineStr">
        <is>
          <t>NORRTÄLJE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41172-2023</t>
        </is>
      </c>
      <c r="B2199" s="1" t="n">
        <v>45170</v>
      </c>
      <c r="C2199" s="1" t="n">
        <v>46089</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20530-2024</t>
        </is>
      </c>
      <c r="B2200" s="1" t="n">
        <v>45435</v>
      </c>
      <c r="C2200" s="1" t="n">
        <v>46089</v>
      </c>
      <c r="D2200" t="inlineStr">
        <is>
          <t>STOCKHOLMS LÄN</t>
        </is>
      </c>
      <c r="E2200" t="inlineStr">
        <is>
          <t>SÖDERTÄLJE</t>
        </is>
      </c>
      <c r="F2200" t="inlineStr">
        <is>
          <t>Övriga Aktiebolag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73307-2021</t>
        </is>
      </c>
      <c r="B2201" s="1" t="n">
        <v>44549</v>
      </c>
      <c r="C2201" s="1" t="n">
        <v>46089</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50534-2024</t>
        </is>
      </c>
      <c r="B2202" s="1" t="n">
        <v>45601.56726851852</v>
      </c>
      <c r="C2202" s="1" t="n">
        <v>46089</v>
      </c>
      <c r="D2202" t="inlineStr">
        <is>
          <t>STOCKHOLMS LÄN</t>
        </is>
      </c>
      <c r="E2202" t="inlineStr">
        <is>
          <t>NORRTÄLJE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3156-2025</t>
        </is>
      </c>
      <c r="B2203" s="1" t="n">
        <v>45679.32142361111</v>
      </c>
      <c r="C2203" s="1" t="n">
        <v>46089</v>
      </c>
      <c r="D2203" t="inlineStr">
        <is>
          <t>STOCKHOLMS LÄN</t>
        </is>
      </c>
      <c r="E2203" t="inlineStr">
        <is>
          <t>HANINGE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11988-2021</t>
        </is>
      </c>
      <c r="B2204" s="1" t="n">
        <v>44266</v>
      </c>
      <c r="C2204" s="1" t="n">
        <v>46089</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12132-2021</t>
        </is>
      </c>
      <c r="B2205" s="1" t="n">
        <v>44266</v>
      </c>
      <c r="C2205" s="1" t="n">
        <v>46089</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24943-2024</t>
        </is>
      </c>
      <c r="B2206" s="1" t="n">
        <v>45461.62585648148</v>
      </c>
      <c r="C2206" s="1" t="n">
        <v>46089</v>
      </c>
      <c r="D2206" t="inlineStr">
        <is>
          <t>STOCKHOLMS LÄN</t>
        </is>
      </c>
      <c r="E2206" t="inlineStr">
        <is>
          <t>VALLENTUNA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48978-2023</t>
        </is>
      </c>
      <c r="B2207" s="1" t="n">
        <v>45209</v>
      </c>
      <c r="C2207" s="1" t="n">
        <v>46089</v>
      </c>
      <c r="D2207" t="inlineStr">
        <is>
          <t>STOCKHOLMS LÄN</t>
        </is>
      </c>
      <c r="E2207" t="inlineStr">
        <is>
          <t>NYNÄSHAMN</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65499-2021</t>
        </is>
      </c>
      <c r="B2208" s="1" t="n">
        <v>44516</v>
      </c>
      <c r="C2208" s="1" t="n">
        <v>46089</v>
      </c>
      <c r="D2208" t="inlineStr">
        <is>
          <t>STOCKHOLMS LÄN</t>
        </is>
      </c>
      <c r="E2208" t="inlineStr">
        <is>
          <t>NORRTÄLJE</t>
        </is>
      </c>
      <c r="F2208" t="inlineStr">
        <is>
          <t>Kommuner</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65511-2021</t>
        </is>
      </c>
      <c r="B2209" s="1" t="n">
        <v>44516.40674768519</v>
      </c>
      <c r="C2209" s="1" t="n">
        <v>46089</v>
      </c>
      <c r="D2209" t="inlineStr">
        <is>
          <t>STOCKHOLMS LÄN</t>
        </is>
      </c>
      <c r="E2209" t="inlineStr">
        <is>
          <t>NORRTÄLJE</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58619-2023</t>
        </is>
      </c>
      <c r="B2210" s="1" t="n">
        <v>45251.54119212963</v>
      </c>
      <c r="C2210" s="1" t="n">
        <v>46089</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22833-2024</t>
        </is>
      </c>
      <c r="B2211" s="1" t="n">
        <v>45448.56746527777</v>
      </c>
      <c r="C2211" s="1" t="n">
        <v>46089</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35918-2022</t>
        </is>
      </c>
      <c r="B2212" s="1" t="n">
        <v>44802</v>
      </c>
      <c r="C2212" s="1" t="n">
        <v>46089</v>
      </c>
      <c r="D2212" t="inlineStr">
        <is>
          <t>STOCKHOLMS LÄN</t>
        </is>
      </c>
      <c r="E2212" t="inlineStr">
        <is>
          <t>SÖDERTÄLJE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32514-2022</t>
        </is>
      </c>
      <c r="B2213" s="1" t="n">
        <v>44782</v>
      </c>
      <c r="C2213" s="1" t="n">
        <v>46089</v>
      </c>
      <c r="D2213" t="inlineStr">
        <is>
          <t>STOCKHOLMS LÄN</t>
        </is>
      </c>
      <c r="E2213" t="inlineStr">
        <is>
          <t>NORRTÄLJE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29362-2022</t>
        </is>
      </c>
      <c r="B2214" s="1" t="n">
        <v>44753</v>
      </c>
      <c r="C2214" s="1" t="n">
        <v>46089</v>
      </c>
      <c r="D2214" t="inlineStr">
        <is>
          <t>STOCKHOLMS LÄN</t>
        </is>
      </c>
      <c r="E2214" t="inlineStr">
        <is>
          <t>NORRTÄLJE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13366-2024</t>
        </is>
      </c>
      <c r="B2215" s="1" t="n">
        <v>45387</v>
      </c>
      <c r="C2215" s="1" t="n">
        <v>46089</v>
      </c>
      <c r="D2215" t="inlineStr">
        <is>
          <t>STOCKHOLMS LÄN</t>
        </is>
      </c>
      <c r="E2215" t="inlineStr">
        <is>
          <t>ÖSTERÅKER</t>
        </is>
      </c>
      <c r="G2215" t="n">
        <v>13.7</v>
      </c>
      <c r="H2215" t="n">
        <v>0</v>
      </c>
      <c r="I2215" t="n">
        <v>0</v>
      </c>
      <c r="J2215" t="n">
        <v>0</v>
      </c>
      <c r="K2215" t="n">
        <v>0</v>
      </c>
      <c r="L2215" t="n">
        <v>0</v>
      </c>
      <c r="M2215" t="n">
        <v>0</v>
      </c>
      <c r="N2215" t="n">
        <v>0</v>
      </c>
      <c r="O2215" t="n">
        <v>0</v>
      </c>
      <c r="P2215" t="n">
        <v>0</v>
      </c>
      <c r="Q2215" t="n">
        <v>0</v>
      </c>
      <c r="R2215" s="2" t="inlineStr"/>
    </row>
    <row r="2216" ht="15" customHeight="1">
      <c r="A2216" t="inlineStr">
        <is>
          <t>A 36097-2021</t>
        </is>
      </c>
      <c r="B2216" s="1" t="n">
        <v>44389</v>
      </c>
      <c r="C2216" s="1" t="n">
        <v>46089</v>
      </c>
      <c r="D2216" t="inlineStr">
        <is>
          <t>STOCKHOLMS LÄN</t>
        </is>
      </c>
      <c r="E2216" t="inlineStr">
        <is>
          <t>BOTKYRKA</t>
        </is>
      </c>
      <c r="F2216" t="inlineStr">
        <is>
          <t>Övriga Aktiebolag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46089</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51315-2021</t>
        </is>
      </c>
      <c r="B2218" s="1" t="n">
        <v>44461</v>
      </c>
      <c r="C2218" s="1" t="n">
        <v>46089</v>
      </c>
      <c r="D2218" t="inlineStr">
        <is>
          <t>STOCKHOLMS LÄN</t>
        </is>
      </c>
      <c r="E2218" t="inlineStr">
        <is>
          <t>NORRTÄLJE</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14873-2025</t>
        </is>
      </c>
      <c r="B2219" s="1" t="n">
        <v>45743.44953703704</v>
      </c>
      <c r="C2219" s="1" t="n">
        <v>46089</v>
      </c>
      <c r="D2219" t="inlineStr">
        <is>
          <t>STOCKHOLMS LÄN</t>
        </is>
      </c>
      <c r="E2219" t="inlineStr">
        <is>
          <t>NORRTÄLJE</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34773-2022</t>
        </is>
      </c>
      <c r="B2220" s="1" t="n">
        <v>44795</v>
      </c>
      <c r="C2220" s="1" t="n">
        <v>46089</v>
      </c>
      <c r="D2220" t="inlineStr">
        <is>
          <t>STOCKHOLMS LÄN</t>
        </is>
      </c>
      <c r="E2220" t="inlineStr">
        <is>
          <t>NORRTÄLJE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17765-2024</t>
        </is>
      </c>
      <c r="B2221" s="1" t="n">
        <v>45418.63149305555</v>
      </c>
      <c r="C2221" s="1" t="n">
        <v>46089</v>
      </c>
      <c r="D2221" t="inlineStr">
        <is>
          <t>STOCKHOLMS LÄN</t>
        </is>
      </c>
      <c r="E2221" t="inlineStr">
        <is>
          <t>HANINGE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46089</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8316-2025</t>
        </is>
      </c>
      <c r="B2223" s="1" t="n">
        <v>45708.6225462963</v>
      </c>
      <c r="C2223" s="1" t="n">
        <v>46089</v>
      </c>
      <c r="D2223" t="inlineStr">
        <is>
          <t>STOCKHOLMS LÄN</t>
        </is>
      </c>
      <c r="E2223" t="inlineStr">
        <is>
          <t>SÖDERTÄLJE</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16145-2024</t>
        </is>
      </c>
      <c r="B2224" s="1" t="n">
        <v>45406.56561342593</v>
      </c>
      <c r="C2224" s="1" t="n">
        <v>46089</v>
      </c>
      <c r="D2224" t="inlineStr">
        <is>
          <t>STOCKHOLMS LÄN</t>
        </is>
      </c>
      <c r="E2224" t="inlineStr">
        <is>
          <t>BOTKYRKA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46089</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55940-2023</t>
        </is>
      </c>
      <c r="B2226" s="1" t="n">
        <v>45240.30215277777</v>
      </c>
      <c r="C2226" s="1" t="n">
        <v>46089</v>
      </c>
      <c r="D2226" t="inlineStr">
        <is>
          <t>STOCKHOLMS LÄN</t>
        </is>
      </c>
      <c r="E2226" t="inlineStr">
        <is>
          <t>SÖDERTÄLJE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17991-2024</t>
        </is>
      </c>
      <c r="B2227" s="1" t="n">
        <v>45419</v>
      </c>
      <c r="C2227" s="1" t="n">
        <v>46089</v>
      </c>
      <c r="D2227" t="inlineStr">
        <is>
          <t>STOCKHOLMS LÄN</t>
        </is>
      </c>
      <c r="E2227" t="inlineStr">
        <is>
          <t>NYNÄSHAMN</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4484-2025</t>
        </is>
      </c>
      <c r="B2228" s="1" t="n">
        <v>45686.65545138889</v>
      </c>
      <c r="C2228" s="1" t="n">
        <v>46089</v>
      </c>
      <c r="D2228" t="inlineStr">
        <is>
          <t>STOCKHOLMS LÄN</t>
        </is>
      </c>
      <c r="E2228" t="inlineStr">
        <is>
          <t>NORRTÄLJE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51813-2024</t>
        </is>
      </c>
      <c r="B2229" s="1" t="n">
        <v>45607.48734953703</v>
      </c>
      <c r="C2229" s="1" t="n">
        <v>46089</v>
      </c>
      <c r="D2229" t="inlineStr">
        <is>
          <t>STOCKHOLMS LÄN</t>
        </is>
      </c>
      <c r="E2229" t="inlineStr">
        <is>
          <t>NYKVARN</t>
        </is>
      </c>
      <c r="F2229" t="inlineStr">
        <is>
          <t>Sveaskog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33878-2024</t>
        </is>
      </c>
      <c r="B2230" s="1" t="n">
        <v>45522.44414351852</v>
      </c>
      <c r="C2230" s="1" t="n">
        <v>46089</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9246-2024</t>
        </is>
      </c>
      <c r="B2231" s="1" t="n">
        <v>45357</v>
      </c>
      <c r="C2231" s="1" t="n">
        <v>46089</v>
      </c>
      <c r="D2231" t="inlineStr">
        <is>
          <t>STOCKHOLMS LÄN</t>
        </is>
      </c>
      <c r="E2231" t="inlineStr">
        <is>
          <t>NORRTÄLJE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35698-2023</t>
        </is>
      </c>
      <c r="B2232" s="1" t="n">
        <v>45147</v>
      </c>
      <c r="C2232" s="1" t="n">
        <v>46089</v>
      </c>
      <c r="D2232" t="inlineStr">
        <is>
          <t>STOCKHOLMS LÄN</t>
        </is>
      </c>
      <c r="E2232" t="inlineStr">
        <is>
          <t>NORRTÄLJE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62398-2022</t>
        </is>
      </c>
      <c r="B2233" s="1" t="n">
        <v>44923.90159722222</v>
      </c>
      <c r="C2233" s="1" t="n">
        <v>46089</v>
      </c>
      <c r="D2233" t="inlineStr">
        <is>
          <t>STOCKHOLMS LÄN</t>
        </is>
      </c>
      <c r="E2233" t="inlineStr">
        <is>
          <t>NORRTÄLJE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64445-2023</t>
        </is>
      </c>
      <c r="B2234" s="1" t="n">
        <v>45280</v>
      </c>
      <c r="C2234" s="1" t="n">
        <v>46089</v>
      </c>
      <c r="D2234" t="inlineStr">
        <is>
          <t>STOCKHOLMS LÄN</t>
        </is>
      </c>
      <c r="E2234" t="inlineStr">
        <is>
          <t>UPPLANDS VÄSBY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49700-2023</t>
        </is>
      </c>
      <c r="B2235" s="1" t="n">
        <v>45212</v>
      </c>
      <c r="C2235" s="1" t="n">
        <v>46089</v>
      </c>
      <c r="D2235" t="inlineStr">
        <is>
          <t>STOCKHOLMS LÄN</t>
        </is>
      </c>
      <c r="E2235" t="inlineStr">
        <is>
          <t>NORRTÄLJE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57055-2024</t>
        </is>
      </c>
      <c r="B2236" s="1" t="n">
        <v>45629.34627314815</v>
      </c>
      <c r="C2236" s="1" t="n">
        <v>46089</v>
      </c>
      <c r="D2236" t="inlineStr">
        <is>
          <t>STOCKHOLMS LÄN</t>
        </is>
      </c>
      <c r="E2236" t="inlineStr">
        <is>
          <t>ÖSTERÅKER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59379-2022</t>
        </is>
      </c>
      <c r="B2237" s="1" t="n">
        <v>44905</v>
      </c>
      <c r="C2237" s="1" t="n">
        <v>46089</v>
      </c>
      <c r="D2237" t="inlineStr">
        <is>
          <t>STOCKHOLMS LÄN</t>
        </is>
      </c>
      <c r="E2237" t="inlineStr">
        <is>
          <t>ÖSTERÅKER</t>
        </is>
      </c>
      <c r="F2237" t="inlineStr">
        <is>
          <t>Kommuner</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32071-2023</t>
        </is>
      </c>
      <c r="B2238" s="1" t="n">
        <v>45119.57728009259</v>
      </c>
      <c r="C2238" s="1" t="n">
        <v>46089</v>
      </c>
      <c r="D2238" t="inlineStr">
        <is>
          <t>STOCKHOLMS LÄN</t>
        </is>
      </c>
      <c r="E2238" t="inlineStr">
        <is>
          <t>NORRTÄLJE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1425-2025</t>
        </is>
      </c>
      <c r="B2239" s="1" t="n">
        <v>45668.67446759259</v>
      </c>
      <c r="C2239" s="1" t="n">
        <v>46089</v>
      </c>
      <c r="D2239" t="inlineStr">
        <is>
          <t>STOCKHOLMS LÄN</t>
        </is>
      </c>
      <c r="E2239" t="inlineStr">
        <is>
          <t>NORRTÄLJE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17775-2022</t>
        </is>
      </c>
      <c r="B2240" s="1" t="n">
        <v>44682.78430555556</v>
      </c>
      <c r="C2240" s="1" t="n">
        <v>46089</v>
      </c>
      <c r="D2240" t="inlineStr">
        <is>
          <t>STOCKHOLMS LÄN</t>
        </is>
      </c>
      <c r="E2240" t="inlineStr">
        <is>
          <t>NORRTÄLJE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23720-2023</t>
        </is>
      </c>
      <c r="B2241" s="1" t="n">
        <v>45077.6678125</v>
      </c>
      <c r="C2241" s="1" t="n">
        <v>46089</v>
      </c>
      <c r="D2241" t="inlineStr">
        <is>
          <t>STOCKHOLMS LÄN</t>
        </is>
      </c>
      <c r="E2241" t="inlineStr">
        <is>
          <t>VÄRMDÖ</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46688-2022</t>
        </is>
      </c>
      <c r="B2242" s="1" t="n">
        <v>44851</v>
      </c>
      <c r="C2242" s="1" t="n">
        <v>46089</v>
      </c>
      <c r="D2242" t="inlineStr">
        <is>
          <t>STOCKHOLMS LÄN</t>
        </is>
      </c>
      <c r="E2242" t="inlineStr">
        <is>
          <t>ÖSTERÅKER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40514-2021</t>
        </is>
      </c>
      <c r="B2243" s="1" t="n">
        <v>44420</v>
      </c>
      <c r="C2243" s="1" t="n">
        <v>46089</v>
      </c>
      <c r="D2243" t="inlineStr">
        <is>
          <t>STOCKHOLMS LÄN</t>
        </is>
      </c>
      <c r="E2243" t="inlineStr">
        <is>
          <t>UPPLANDS-BRO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38720-2022</t>
        </is>
      </c>
      <c r="B2244" s="1" t="n">
        <v>44815.74539351852</v>
      </c>
      <c r="C2244" s="1" t="n">
        <v>46089</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10215-2023</t>
        </is>
      </c>
      <c r="B2245" s="1" t="n">
        <v>44986.5887962963</v>
      </c>
      <c r="C2245" s="1" t="n">
        <v>46089</v>
      </c>
      <c r="D2245" t="inlineStr">
        <is>
          <t>STOCKHOLMS LÄN</t>
        </is>
      </c>
      <c r="E2245" t="inlineStr">
        <is>
          <t>NORRTÄLJE</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43700-2023</t>
        </is>
      </c>
      <c r="B2246" s="1" t="n">
        <v>45187</v>
      </c>
      <c r="C2246" s="1" t="n">
        <v>46089</v>
      </c>
      <c r="D2246" t="inlineStr">
        <is>
          <t>STOCKHOLMS LÄN</t>
        </is>
      </c>
      <c r="E2246" t="inlineStr">
        <is>
          <t>SIGTUNA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25609-2023</t>
        </is>
      </c>
      <c r="B2247" s="1" t="n">
        <v>45089</v>
      </c>
      <c r="C2247" s="1" t="n">
        <v>46089</v>
      </c>
      <c r="D2247" t="inlineStr">
        <is>
          <t>STOCKHOLMS LÄN</t>
        </is>
      </c>
      <c r="E2247" t="inlineStr">
        <is>
          <t>NORRTÄLJE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20014-2025</t>
        </is>
      </c>
      <c r="B2248" s="1" t="n">
        <v>45772.3078125</v>
      </c>
      <c r="C2248" s="1" t="n">
        <v>46089</v>
      </c>
      <c r="D2248" t="inlineStr">
        <is>
          <t>STOCKHOLMS LÄN</t>
        </is>
      </c>
      <c r="E2248" t="inlineStr">
        <is>
          <t>NORRTÄLJE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20136-2025</t>
        </is>
      </c>
      <c r="B2249" s="1" t="n">
        <v>45772.51127314815</v>
      </c>
      <c r="C2249" s="1" t="n">
        <v>46089</v>
      </c>
      <c r="D2249" t="inlineStr">
        <is>
          <t>STOCKHOLMS LÄN</t>
        </is>
      </c>
      <c r="E2249" t="inlineStr">
        <is>
          <t>NORRTÄLJE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2287-2024</t>
        </is>
      </c>
      <c r="B2250" s="1" t="n">
        <v>45310</v>
      </c>
      <c r="C2250" s="1" t="n">
        <v>46089</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13785-2024</t>
        </is>
      </c>
      <c r="B2251" s="1" t="n">
        <v>45391.3395949074</v>
      </c>
      <c r="C2251" s="1" t="n">
        <v>46089</v>
      </c>
      <c r="D2251" t="inlineStr">
        <is>
          <t>STOCKHOLMS LÄN</t>
        </is>
      </c>
      <c r="E2251" t="inlineStr">
        <is>
          <t>NORRTÄLJE</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50469-2022</t>
        </is>
      </c>
      <c r="B2252" s="1" t="n">
        <v>44866.49827546296</v>
      </c>
      <c r="C2252" s="1" t="n">
        <v>46089</v>
      </c>
      <c r="D2252" t="inlineStr">
        <is>
          <t>STOCKHOLMS LÄN</t>
        </is>
      </c>
      <c r="E2252" t="inlineStr">
        <is>
          <t>NORRTÄLJE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51116-2022</t>
        </is>
      </c>
      <c r="B2253" s="1" t="n">
        <v>44868.45741898148</v>
      </c>
      <c r="C2253" s="1" t="n">
        <v>46089</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56596-2023</t>
        </is>
      </c>
      <c r="B2254" s="1" t="n">
        <v>45243</v>
      </c>
      <c r="C2254" s="1" t="n">
        <v>46089</v>
      </c>
      <c r="D2254" t="inlineStr">
        <is>
          <t>STOCKHOLMS LÄN</t>
        </is>
      </c>
      <c r="E2254" t="inlineStr">
        <is>
          <t>SÖDERTÄLJE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16793-2023</t>
        </is>
      </c>
      <c r="B2255" s="1" t="n">
        <v>45028</v>
      </c>
      <c r="C2255" s="1" t="n">
        <v>46089</v>
      </c>
      <c r="D2255" t="inlineStr">
        <is>
          <t>STOCKHOLMS LÄN</t>
        </is>
      </c>
      <c r="E2255" t="inlineStr">
        <is>
          <t>NYNÄSHAMN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61514-2022</t>
        </is>
      </c>
      <c r="B2256" s="1" t="n">
        <v>44916</v>
      </c>
      <c r="C2256" s="1" t="n">
        <v>46089</v>
      </c>
      <c r="D2256" t="inlineStr">
        <is>
          <t>STOCKHOLMS LÄN</t>
        </is>
      </c>
      <c r="E2256" t="inlineStr">
        <is>
          <t>BOTKYRKA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60217-2021</t>
        </is>
      </c>
      <c r="B2257" s="1" t="n">
        <v>44495.5893287037</v>
      </c>
      <c r="C2257" s="1" t="n">
        <v>46089</v>
      </c>
      <c r="D2257" t="inlineStr">
        <is>
          <t>STOCKHOLMS LÄN</t>
        </is>
      </c>
      <c r="E2257" t="inlineStr">
        <is>
          <t>NORRTÄLJE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5839-2023</t>
        </is>
      </c>
      <c r="B2258" s="1" t="n">
        <v>44963</v>
      </c>
      <c r="C2258" s="1" t="n">
        <v>46089</v>
      </c>
      <c r="D2258" t="inlineStr">
        <is>
          <t>STOCKHOLMS LÄN</t>
        </is>
      </c>
      <c r="E2258" t="inlineStr">
        <is>
          <t>NORRTÄLJE</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51931-2023</t>
        </is>
      </c>
      <c r="B2259" s="1" t="n">
        <v>45216</v>
      </c>
      <c r="C2259" s="1" t="n">
        <v>46089</v>
      </c>
      <c r="D2259" t="inlineStr">
        <is>
          <t>STOCKHOLMS LÄN</t>
        </is>
      </c>
      <c r="E2259" t="inlineStr">
        <is>
          <t>SÖDERTÄLJE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34194-2024</t>
        </is>
      </c>
      <c r="B2260" s="1" t="n">
        <v>45524</v>
      </c>
      <c r="C2260" s="1" t="n">
        <v>46089</v>
      </c>
      <c r="D2260" t="inlineStr">
        <is>
          <t>STOCKHOLMS LÄN</t>
        </is>
      </c>
      <c r="E2260" t="inlineStr">
        <is>
          <t>SÖDERTÄLJE</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9533-2024</t>
        </is>
      </c>
      <c r="B2261" s="1" t="n">
        <v>45359.69105324074</v>
      </c>
      <c r="C2261" s="1" t="n">
        <v>46089</v>
      </c>
      <c r="D2261" t="inlineStr">
        <is>
          <t>STOCKHOLMS LÄN</t>
        </is>
      </c>
      <c r="E2261" t="inlineStr">
        <is>
          <t>SALEM</t>
        </is>
      </c>
      <c r="F2261" t="inlineStr">
        <is>
          <t>Kommuner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16738-2022</t>
        </is>
      </c>
      <c r="B2262" s="1" t="n">
        <v>44673</v>
      </c>
      <c r="C2262" s="1" t="n">
        <v>46089</v>
      </c>
      <c r="D2262" t="inlineStr">
        <is>
          <t>STOCKHOLMS LÄN</t>
        </is>
      </c>
      <c r="E2262" t="inlineStr">
        <is>
          <t>ÖSTERÅKER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56796-2022</t>
        </is>
      </c>
      <c r="B2263" s="1" t="n">
        <v>44894.42490740741</v>
      </c>
      <c r="C2263" s="1" t="n">
        <v>46089</v>
      </c>
      <c r="D2263" t="inlineStr">
        <is>
          <t>STOCKHOLMS LÄN</t>
        </is>
      </c>
      <c r="E2263" t="inlineStr">
        <is>
          <t>SIGTUNA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36181-2022</t>
        </is>
      </c>
      <c r="B2264" s="1" t="n">
        <v>44803</v>
      </c>
      <c r="C2264" s="1" t="n">
        <v>46089</v>
      </c>
      <c r="D2264" t="inlineStr">
        <is>
          <t>STOCKHOLMS LÄN</t>
        </is>
      </c>
      <c r="E2264" t="inlineStr">
        <is>
          <t>SIGTUNA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38985-2022</t>
        </is>
      </c>
      <c r="B2265" s="1" t="n">
        <v>44816</v>
      </c>
      <c r="C2265" s="1" t="n">
        <v>46089</v>
      </c>
      <c r="D2265" t="inlineStr">
        <is>
          <t>STOCKHOLMS LÄN</t>
        </is>
      </c>
      <c r="E2265" t="inlineStr">
        <is>
          <t>NORRTÄLJE</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46089</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8932-2023</t>
        </is>
      </c>
      <c r="B2267" s="1" t="n">
        <v>44979</v>
      </c>
      <c r="C2267" s="1" t="n">
        <v>46089</v>
      </c>
      <c r="D2267" t="inlineStr">
        <is>
          <t>STOCKHOLMS LÄN</t>
        </is>
      </c>
      <c r="E2267" t="inlineStr">
        <is>
          <t>NYNÄSHAMN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5665-2025</t>
        </is>
      </c>
      <c r="B2268" s="1" t="n">
        <v>45693</v>
      </c>
      <c r="C2268" s="1" t="n">
        <v>46089</v>
      </c>
      <c r="D2268" t="inlineStr">
        <is>
          <t>STOCKHOLMS LÄN</t>
        </is>
      </c>
      <c r="E2268" t="inlineStr">
        <is>
          <t>NORRTÄLJE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3426-2025</t>
        </is>
      </c>
      <c r="B2269" s="1" t="n">
        <v>45680.42665509259</v>
      </c>
      <c r="C2269" s="1" t="n">
        <v>46089</v>
      </c>
      <c r="D2269" t="inlineStr">
        <is>
          <t>STOCKHOLMS LÄN</t>
        </is>
      </c>
      <c r="E2269" t="inlineStr">
        <is>
          <t>NORRTÄLJE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28843-2021</t>
        </is>
      </c>
      <c r="B2270" s="1" t="n">
        <v>44357</v>
      </c>
      <c r="C2270" s="1" t="n">
        <v>46089</v>
      </c>
      <c r="D2270" t="inlineStr">
        <is>
          <t>STOCKHOLMS LÄN</t>
        </is>
      </c>
      <c r="E2270" t="inlineStr">
        <is>
          <t>SALEM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6854-2022</t>
        </is>
      </c>
      <c r="B2271" s="1" t="n">
        <v>44602</v>
      </c>
      <c r="C2271" s="1" t="n">
        <v>46089</v>
      </c>
      <c r="D2271" t="inlineStr">
        <is>
          <t>STOCKHOLMS LÄN</t>
        </is>
      </c>
      <c r="E2271" t="inlineStr">
        <is>
          <t>NYKVARN</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58530-2024</t>
        </is>
      </c>
      <c r="B2272" s="1" t="n">
        <v>45635.44788194444</v>
      </c>
      <c r="C2272" s="1" t="n">
        <v>46089</v>
      </c>
      <c r="D2272" t="inlineStr">
        <is>
          <t>STOCKHOLMS LÄN</t>
        </is>
      </c>
      <c r="E2272" t="inlineStr">
        <is>
          <t>NORRTÄLJE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22421-2021</t>
        </is>
      </c>
      <c r="B2273" s="1" t="n">
        <v>44326</v>
      </c>
      <c r="C2273" s="1" t="n">
        <v>46089</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22683-2023</t>
        </is>
      </c>
      <c r="B2274" s="1" t="n">
        <v>45071</v>
      </c>
      <c r="C2274" s="1" t="n">
        <v>46089</v>
      </c>
      <c r="D2274" t="inlineStr">
        <is>
          <t>STOCKHOLMS LÄN</t>
        </is>
      </c>
      <c r="E2274" t="inlineStr">
        <is>
          <t>VALLENTUNA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40761-2024</t>
        </is>
      </c>
      <c r="B2275" s="1" t="n">
        <v>45558.46283564815</v>
      </c>
      <c r="C2275" s="1" t="n">
        <v>46089</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1759-2025</t>
        </is>
      </c>
      <c r="B2276" s="1" t="n">
        <v>45671.42385416666</v>
      </c>
      <c r="C2276" s="1" t="n">
        <v>46089</v>
      </c>
      <c r="D2276" t="inlineStr">
        <is>
          <t>STOCKHOLMS LÄN</t>
        </is>
      </c>
      <c r="E2276" t="inlineStr">
        <is>
          <t>SÖDERTÄLJE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4553-2023</t>
        </is>
      </c>
      <c r="B2277" s="1" t="n">
        <v>44956.65920138889</v>
      </c>
      <c r="C2277" s="1" t="n">
        <v>46089</v>
      </c>
      <c r="D2277" t="inlineStr">
        <is>
          <t>STOCKHOLMS LÄN</t>
        </is>
      </c>
      <c r="E2277" t="inlineStr">
        <is>
          <t>NORRTÄLJE</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4593-2023</t>
        </is>
      </c>
      <c r="B2278" s="1" t="n">
        <v>44956</v>
      </c>
      <c r="C2278" s="1" t="n">
        <v>46089</v>
      </c>
      <c r="D2278" t="inlineStr">
        <is>
          <t>STOCKHOLMS LÄN</t>
        </is>
      </c>
      <c r="E2278" t="inlineStr">
        <is>
          <t>NORRTÄLJE</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13171-2025</t>
        </is>
      </c>
      <c r="B2279" s="1" t="n">
        <v>45735.36594907408</v>
      </c>
      <c r="C2279" s="1" t="n">
        <v>46089</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10224-2023</t>
        </is>
      </c>
      <c r="B2280" s="1" t="n">
        <v>44986.61554398148</v>
      </c>
      <c r="C2280" s="1" t="n">
        <v>46089</v>
      </c>
      <c r="D2280" t="inlineStr">
        <is>
          <t>STOCKHOLMS LÄN</t>
        </is>
      </c>
      <c r="E2280" t="inlineStr">
        <is>
          <t>NYNÄSHAMN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51978-2023</t>
        </is>
      </c>
      <c r="B2281" s="1" t="n">
        <v>45223</v>
      </c>
      <c r="C2281" s="1" t="n">
        <v>46089</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34926-2022</t>
        </is>
      </c>
      <c r="B2282" s="1" t="n">
        <v>44796</v>
      </c>
      <c r="C2282" s="1" t="n">
        <v>46089</v>
      </c>
      <c r="D2282" t="inlineStr">
        <is>
          <t>STOCKHOLMS LÄN</t>
        </is>
      </c>
      <c r="E2282" t="inlineStr">
        <is>
          <t>VAXHOLM</t>
        </is>
      </c>
      <c r="F2282" t="inlineStr">
        <is>
          <t>Övriga statliga verk och myndigheter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18092-2022</t>
        </is>
      </c>
      <c r="B2283" s="1" t="n">
        <v>44684</v>
      </c>
      <c r="C2283" s="1" t="n">
        <v>46089</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59310-2023</t>
        </is>
      </c>
      <c r="B2284" s="1" t="n">
        <v>45253.61146990741</v>
      </c>
      <c r="C2284" s="1" t="n">
        <v>46089</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9329-2023</t>
        </is>
      </c>
      <c r="B2285" s="1" t="n">
        <v>44980</v>
      </c>
      <c r="C2285" s="1" t="n">
        <v>46089</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59878-2024</t>
        </is>
      </c>
      <c r="B2286" s="1" t="n">
        <v>45640.60240740741</v>
      </c>
      <c r="C2286" s="1" t="n">
        <v>46089</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41335-2023</t>
        </is>
      </c>
      <c r="B2287" s="1" t="n">
        <v>45174.68702546296</v>
      </c>
      <c r="C2287" s="1" t="n">
        <v>46089</v>
      </c>
      <c r="D2287" t="inlineStr">
        <is>
          <t>STOCKHOLMS LÄN</t>
        </is>
      </c>
      <c r="E2287" t="inlineStr">
        <is>
          <t>NORRTÄLJE</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17196-2022</t>
        </is>
      </c>
      <c r="B2288" s="1" t="n">
        <v>44677</v>
      </c>
      <c r="C2288" s="1" t="n">
        <v>46089</v>
      </c>
      <c r="D2288" t="inlineStr">
        <is>
          <t>STOCKHOLMS LÄN</t>
        </is>
      </c>
      <c r="E2288" t="inlineStr">
        <is>
          <t>ÖSTERÅKER</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33040-2021</t>
        </is>
      </c>
      <c r="B2289" s="1" t="n">
        <v>44376.50728009259</v>
      </c>
      <c r="C2289" s="1" t="n">
        <v>46089</v>
      </c>
      <c r="D2289" t="inlineStr">
        <is>
          <t>STOCKHOLMS LÄN</t>
        </is>
      </c>
      <c r="E2289" t="inlineStr">
        <is>
          <t>NORRTÄLJE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33053-2021</t>
        </is>
      </c>
      <c r="B2290" s="1" t="n">
        <v>44376</v>
      </c>
      <c r="C2290" s="1" t="n">
        <v>46089</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17411-2023</t>
        </is>
      </c>
      <c r="B2291" s="1" t="n">
        <v>45035.82512731481</v>
      </c>
      <c r="C2291" s="1" t="n">
        <v>46089</v>
      </c>
      <c r="D2291" t="inlineStr">
        <is>
          <t>STOCKHOLMS LÄN</t>
        </is>
      </c>
      <c r="E2291" t="inlineStr">
        <is>
          <t>VALLENTUNA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43150-2023</t>
        </is>
      </c>
      <c r="B2292" s="1" t="n">
        <v>45183</v>
      </c>
      <c r="C2292" s="1" t="n">
        <v>46089</v>
      </c>
      <c r="D2292" t="inlineStr">
        <is>
          <t>STOCKHOLMS LÄN</t>
        </is>
      </c>
      <c r="E2292" t="inlineStr">
        <is>
          <t>NORRTÄLJE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54259-2023</t>
        </is>
      </c>
      <c r="B2293" s="1" t="n">
        <v>45232</v>
      </c>
      <c r="C2293" s="1" t="n">
        <v>46089</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17634-2022</t>
        </is>
      </c>
      <c r="B2294" s="1" t="n">
        <v>44680</v>
      </c>
      <c r="C2294" s="1" t="n">
        <v>46089</v>
      </c>
      <c r="D2294" t="inlineStr">
        <is>
          <t>STOCKHOLMS LÄN</t>
        </is>
      </c>
      <c r="E2294" t="inlineStr">
        <is>
          <t>NYNÄSHAMN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60822-2023</t>
        </is>
      </c>
      <c r="B2295" s="1" t="n">
        <v>45259</v>
      </c>
      <c r="C2295" s="1" t="n">
        <v>46089</v>
      </c>
      <c r="D2295" t="inlineStr">
        <is>
          <t>STOCKHOLMS LÄN</t>
        </is>
      </c>
      <c r="E2295" t="inlineStr">
        <is>
          <t>NORRTÄLJE</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60922-2023</t>
        </is>
      </c>
      <c r="B2296" s="1" t="n">
        <v>45261.40866898148</v>
      </c>
      <c r="C2296" s="1" t="n">
        <v>46089</v>
      </c>
      <c r="D2296" t="inlineStr">
        <is>
          <t>STOCKHOLMS LÄN</t>
        </is>
      </c>
      <c r="E2296" t="inlineStr">
        <is>
          <t>SIGTUNA</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12031-2021</t>
        </is>
      </c>
      <c r="B2297" s="1" t="n">
        <v>44266</v>
      </c>
      <c r="C2297" s="1" t="n">
        <v>46089</v>
      </c>
      <c r="D2297" t="inlineStr">
        <is>
          <t>STOCKHOLMS LÄN</t>
        </is>
      </c>
      <c r="E2297" t="inlineStr">
        <is>
          <t>NORRTÄLJE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27381-2024</t>
        </is>
      </c>
      <c r="B2298" s="1" t="n">
        <v>45473.94501157408</v>
      </c>
      <c r="C2298" s="1" t="n">
        <v>46089</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273-2025</t>
        </is>
      </c>
      <c r="B2299" s="1" t="n">
        <v>45653</v>
      </c>
      <c r="C2299" s="1" t="n">
        <v>46089</v>
      </c>
      <c r="D2299" t="inlineStr">
        <is>
          <t>STOCKHOLMS LÄN</t>
        </is>
      </c>
      <c r="E2299" t="inlineStr">
        <is>
          <t>SIGTUNA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33787-2024</t>
        </is>
      </c>
      <c r="B2300" s="1" t="n">
        <v>45520</v>
      </c>
      <c r="C2300" s="1" t="n">
        <v>46089</v>
      </c>
      <c r="D2300" t="inlineStr">
        <is>
          <t>STOCKHOLMS LÄN</t>
        </is>
      </c>
      <c r="E2300" t="inlineStr">
        <is>
          <t>NYNÄSHAMN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63592-2023</t>
        </is>
      </c>
      <c r="B2301" s="1" t="n">
        <v>45275</v>
      </c>
      <c r="C2301" s="1" t="n">
        <v>46089</v>
      </c>
      <c r="D2301" t="inlineStr">
        <is>
          <t>STOCKHOLMS LÄN</t>
        </is>
      </c>
      <c r="E2301" t="inlineStr">
        <is>
          <t>NYKVARN</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45184-2022</t>
        </is>
      </c>
      <c r="B2302" s="1" t="n">
        <v>44844.39888888889</v>
      </c>
      <c r="C2302" s="1" t="n">
        <v>46089</v>
      </c>
      <c r="D2302" t="inlineStr">
        <is>
          <t>STOCKHOLMS LÄN</t>
        </is>
      </c>
      <c r="E2302" t="inlineStr">
        <is>
          <t>SÖDERTÄLJE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68894-2021</t>
        </is>
      </c>
      <c r="B2303" s="1" t="n">
        <v>44526</v>
      </c>
      <c r="C2303" s="1" t="n">
        <v>46089</v>
      </c>
      <c r="D2303" t="inlineStr">
        <is>
          <t>STOCKHOLMS LÄN</t>
        </is>
      </c>
      <c r="E2303" t="inlineStr">
        <is>
          <t>HANINGE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23265-2023</t>
        </is>
      </c>
      <c r="B2304" s="1" t="n">
        <v>45075.90703703704</v>
      </c>
      <c r="C2304" s="1" t="n">
        <v>46089</v>
      </c>
      <c r="D2304" t="inlineStr">
        <is>
          <t>STOCKHOLMS LÄN</t>
        </is>
      </c>
      <c r="E2304" t="inlineStr">
        <is>
          <t>NORRTÄLJE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26117-2024</t>
        </is>
      </c>
      <c r="B2305" s="1" t="n">
        <v>45468.45877314815</v>
      </c>
      <c r="C2305" s="1" t="n">
        <v>46089</v>
      </c>
      <c r="D2305" t="inlineStr">
        <is>
          <t>STOCKHOLMS LÄN</t>
        </is>
      </c>
      <c r="E2305" t="inlineStr">
        <is>
          <t>NORRTÄLJE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18491-2025</t>
        </is>
      </c>
      <c r="B2306" s="1" t="n">
        <v>45763.34135416667</v>
      </c>
      <c r="C2306" s="1" t="n">
        <v>46089</v>
      </c>
      <c r="D2306" t="inlineStr">
        <is>
          <t>STOCKHOLMS LÄN</t>
        </is>
      </c>
      <c r="E2306" t="inlineStr">
        <is>
          <t>HANINGE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3021-2025</t>
        </is>
      </c>
      <c r="B2307" s="1" t="n">
        <v>45678.57962962963</v>
      </c>
      <c r="C2307" s="1" t="n">
        <v>46089</v>
      </c>
      <c r="D2307" t="inlineStr">
        <is>
          <t>STOCKHOLMS LÄN</t>
        </is>
      </c>
      <c r="E2307" t="inlineStr">
        <is>
          <t>BOTKYRKA</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38465-2023</t>
        </is>
      </c>
      <c r="B2308" s="1" t="n">
        <v>45162</v>
      </c>
      <c r="C2308" s="1" t="n">
        <v>46089</v>
      </c>
      <c r="D2308" t="inlineStr">
        <is>
          <t>STOCKHOLMS LÄN</t>
        </is>
      </c>
      <c r="E2308" t="inlineStr">
        <is>
          <t>SIGTUNA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3917-2023</t>
        </is>
      </c>
      <c r="B2309" s="1" t="n">
        <v>44952</v>
      </c>
      <c r="C2309" s="1" t="n">
        <v>46089</v>
      </c>
      <c r="D2309" t="inlineStr">
        <is>
          <t>STOCKHOLMS LÄN</t>
        </is>
      </c>
      <c r="E2309" t="inlineStr">
        <is>
          <t>ÖSTERÅKER</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20336-2024</t>
        </is>
      </c>
      <c r="B2310" s="1" t="n">
        <v>45435.43123842592</v>
      </c>
      <c r="C2310" s="1" t="n">
        <v>46089</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1385-2024</t>
        </is>
      </c>
      <c r="B2311" s="1" t="n">
        <v>45303</v>
      </c>
      <c r="C2311" s="1" t="n">
        <v>46089</v>
      </c>
      <c r="D2311" t="inlineStr">
        <is>
          <t>STOCKHOLMS LÄN</t>
        </is>
      </c>
      <c r="E2311" t="inlineStr">
        <is>
          <t>VALLENTUNA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2529-2023</t>
        </is>
      </c>
      <c r="B2312" s="1" t="n">
        <v>44943.60554398148</v>
      </c>
      <c r="C2312" s="1" t="n">
        <v>46089</v>
      </c>
      <c r="D2312" t="inlineStr">
        <is>
          <t>STOCKHOLMS LÄN</t>
        </is>
      </c>
      <c r="E2312" t="inlineStr">
        <is>
          <t>SÖDERTÄLJE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1847-2023</t>
        </is>
      </c>
      <c r="B2313" s="1" t="n">
        <v>44938</v>
      </c>
      <c r="C2313" s="1" t="n">
        <v>46089</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7275-2022</t>
        </is>
      </c>
      <c r="B2314" s="1" t="n">
        <v>44606</v>
      </c>
      <c r="C2314" s="1" t="n">
        <v>46089</v>
      </c>
      <c r="D2314" t="inlineStr">
        <is>
          <t>STOCKHOLMS LÄN</t>
        </is>
      </c>
      <c r="E2314" t="inlineStr">
        <is>
          <t>UPPLANDS-BRO</t>
        </is>
      </c>
      <c r="F2314" t="inlineStr">
        <is>
          <t>Övriga statliga verk och myndigheter</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7214-2022</t>
        </is>
      </c>
      <c r="B2315" s="1" t="n">
        <v>44606.33935185185</v>
      </c>
      <c r="C2315" s="1" t="n">
        <v>46089</v>
      </c>
      <c r="D2315" t="inlineStr">
        <is>
          <t>STOCKHOLMS LÄN</t>
        </is>
      </c>
      <c r="E2315" t="inlineStr">
        <is>
          <t>SIGTUNA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11285-2023</t>
        </is>
      </c>
      <c r="B2316" s="1" t="n">
        <v>44992</v>
      </c>
      <c r="C2316" s="1" t="n">
        <v>46089</v>
      </c>
      <c r="D2316" t="inlineStr">
        <is>
          <t>STOCKHOLMS LÄN</t>
        </is>
      </c>
      <c r="E2316" t="inlineStr">
        <is>
          <t>SIGTUNA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25452-2023</t>
        </is>
      </c>
      <c r="B2317" s="1" t="n">
        <v>45089</v>
      </c>
      <c r="C2317" s="1" t="n">
        <v>46089</v>
      </c>
      <c r="D2317" t="inlineStr">
        <is>
          <t>STOCKHOLMS LÄN</t>
        </is>
      </c>
      <c r="E2317" t="inlineStr">
        <is>
          <t>SIGTUNA</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59721-2024</t>
        </is>
      </c>
      <c r="B2318" s="1" t="n">
        <v>45639.47385416667</v>
      </c>
      <c r="C2318" s="1" t="n">
        <v>46089</v>
      </c>
      <c r="D2318" t="inlineStr">
        <is>
          <t>STOCKHOLMS LÄN</t>
        </is>
      </c>
      <c r="E2318" t="inlineStr">
        <is>
          <t>NORRTÄLJE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10910-2025</t>
        </is>
      </c>
      <c r="B2319" s="1" t="n">
        <v>45722</v>
      </c>
      <c r="C2319" s="1" t="n">
        <v>46089</v>
      </c>
      <c r="D2319" t="inlineStr">
        <is>
          <t>STOCKHOLMS LÄN</t>
        </is>
      </c>
      <c r="E2319" t="inlineStr">
        <is>
          <t>UPPLANDS-BRO</t>
        </is>
      </c>
      <c r="F2319" t="inlineStr">
        <is>
          <t>Allmännings- och besparingsskogar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37010-2022</t>
        </is>
      </c>
      <c r="B2320" s="1" t="n">
        <v>44806.41576388889</v>
      </c>
      <c r="C2320" s="1" t="n">
        <v>46089</v>
      </c>
      <c r="D2320" t="inlineStr">
        <is>
          <t>STOCKHOLMS LÄN</t>
        </is>
      </c>
      <c r="E2320" t="inlineStr">
        <is>
          <t>NORRTÄLJE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44619-2023</t>
        </is>
      </c>
      <c r="B2321" s="1" t="n">
        <v>45189</v>
      </c>
      <c r="C2321" s="1" t="n">
        <v>46089</v>
      </c>
      <c r="D2321" t="inlineStr">
        <is>
          <t>STOCKHOLMS LÄN</t>
        </is>
      </c>
      <c r="E2321" t="inlineStr">
        <is>
          <t>NYNÄSHAMN</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636-2025</t>
        </is>
      </c>
      <c r="B2322" s="1" t="n">
        <v>45664.63822916667</v>
      </c>
      <c r="C2322" s="1" t="n">
        <v>46089</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951-2023</t>
        </is>
      </c>
      <c r="B2323" s="1" t="n">
        <v>44934</v>
      </c>
      <c r="C2323" s="1" t="n">
        <v>46089</v>
      </c>
      <c r="D2323" t="inlineStr">
        <is>
          <t>STOCKHOLMS LÄN</t>
        </is>
      </c>
      <c r="E2323" t="inlineStr">
        <is>
          <t>NORRTÄLJE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36112-2022</t>
        </is>
      </c>
      <c r="B2324" s="1" t="n">
        <v>44802</v>
      </c>
      <c r="C2324" s="1" t="n">
        <v>46089</v>
      </c>
      <c r="D2324" t="inlineStr">
        <is>
          <t>STOCKHOLMS LÄN</t>
        </is>
      </c>
      <c r="E2324" t="inlineStr">
        <is>
          <t>SÖDERTÄLJE</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60818-2023</t>
        </is>
      </c>
      <c r="B2325" s="1" t="n">
        <v>45259</v>
      </c>
      <c r="C2325" s="1" t="n">
        <v>46089</v>
      </c>
      <c r="D2325" t="inlineStr">
        <is>
          <t>STOCKHOLMS LÄN</t>
        </is>
      </c>
      <c r="E2325" t="inlineStr">
        <is>
          <t>VALLENTUNA</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6059-2022</t>
        </is>
      </c>
      <c r="B2326" s="1" t="n">
        <v>44599</v>
      </c>
      <c r="C2326" s="1" t="n">
        <v>46089</v>
      </c>
      <c r="D2326" t="inlineStr">
        <is>
          <t>STOCKHOLMS LÄN</t>
        </is>
      </c>
      <c r="E2326" t="inlineStr">
        <is>
          <t>BOTKYRKA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60865-2024</t>
        </is>
      </c>
      <c r="B2327" s="1" t="n">
        <v>45644.69387731481</v>
      </c>
      <c r="C2327" s="1" t="n">
        <v>46089</v>
      </c>
      <c r="D2327" t="inlineStr">
        <is>
          <t>STOCKHOLMS LÄN</t>
        </is>
      </c>
      <c r="E2327" t="inlineStr">
        <is>
          <t>SIGTUNA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37536-2024</t>
        </is>
      </c>
      <c r="B2328" s="1" t="n">
        <v>45541</v>
      </c>
      <c r="C2328" s="1" t="n">
        <v>46089</v>
      </c>
      <c r="D2328" t="inlineStr">
        <is>
          <t>STOCKHOLMS LÄN</t>
        </is>
      </c>
      <c r="E2328" t="inlineStr">
        <is>
          <t>SÖDERTÄLJE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5423-2023</t>
        </is>
      </c>
      <c r="B2329" s="1" t="n">
        <v>44959.74533564815</v>
      </c>
      <c r="C2329" s="1" t="n">
        <v>46089</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50182-2024</t>
        </is>
      </c>
      <c r="B2330" s="1" t="n">
        <v>45600.47275462963</v>
      </c>
      <c r="C2330" s="1" t="n">
        <v>46089</v>
      </c>
      <c r="D2330" t="inlineStr">
        <is>
          <t>STOCKHOLMS LÄN</t>
        </is>
      </c>
      <c r="E2330" t="inlineStr">
        <is>
          <t>NORRTÄLJE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62108-2022</t>
        </is>
      </c>
      <c r="B2331" s="1" t="n">
        <v>44920</v>
      </c>
      <c r="C2331" s="1" t="n">
        <v>46089</v>
      </c>
      <c r="D2331" t="inlineStr">
        <is>
          <t>STOCKHOLMS LÄN</t>
        </is>
      </c>
      <c r="E2331" t="inlineStr">
        <is>
          <t>ÖSTERÅKER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12629-2024</t>
        </is>
      </c>
      <c r="B2332" s="1" t="n">
        <v>45383</v>
      </c>
      <c r="C2332" s="1" t="n">
        <v>46089</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114-2023</t>
        </is>
      </c>
      <c r="B2333" s="1" t="n">
        <v>44918</v>
      </c>
      <c r="C2333" s="1" t="n">
        <v>46089</v>
      </c>
      <c r="D2333" t="inlineStr">
        <is>
          <t>STOCKHOLMS LÄN</t>
        </is>
      </c>
      <c r="E2333" t="inlineStr">
        <is>
          <t>VÄRMDÖ</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35708-2022</t>
        </is>
      </c>
      <c r="B2334" s="1" t="n">
        <v>44799.65013888889</v>
      </c>
      <c r="C2334" s="1" t="n">
        <v>46089</v>
      </c>
      <c r="D2334" t="inlineStr">
        <is>
          <t>STOCKHOLMS LÄN</t>
        </is>
      </c>
      <c r="E2334" t="inlineStr">
        <is>
          <t>NORRTÄLJE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37095-2021</t>
        </is>
      </c>
      <c r="B2335" s="1" t="n">
        <v>44395</v>
      </c>
      <c r="C2335" s="1" t="n">
        <v>46089</v>
      </c>
      <c r="D2335" t="inlineStr">
        <is>
          <t>STOCKHOLMS LÄN</t>
        </is>
      </c>
      <c r="E2335" t="inlineStr">
        <is>
          <t>BOTKYRKA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45220-2024</t>
        </is>
      </c>
      <c r="B2336" s="1" t="n">
        <v>45575</v>
      </c>
      <c r="C2336" s="1" t="n">
        <v>46089</v>
      </c>
      <c r="D2336" t="inlineStr">
        <is>
          <t>STOCKHOLMS LÄN</t>
        </is>
      </c>
      <c r="E2336" t="inlineStr">
        <is>
          <t>NORRTÄLJE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21731-2023</t>
        </is>
      </c>
      <c r="B2337" s="1" t="n">
        <v>45063</v>
      </c>
      <c r="C2337" s="1" t="n">
        <v>46089</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23266-2023</t>
        </is>
      </c>
      <c r="B2338" s="1" t="n">
        <v>45075.90817129629</v>
      </c>
      <c r="C2338" s="1" t="n">
        <v>46089</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47521-2024</t>
        </is>
      </c>
      <c r="B2339" s="1" t="n">
        <v>45587.62565972222</v>
      </c>
      <c r="C2339" s="1" t="n">
        <v>46089</v>
      </c>
      <c r="D2339" t="inlineStr">
        <is>
          <t>STOCKHOLMS LÄN</t>
        </is>
      </c>
      <c r="E2339" t="inlineStr">
        <is>
          <t>NORRTÄLJE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58260-2023</t>
        </is>
      </c>
      <c r="B2340" s="1" t="n">
        <v>45245</v>
      </c>
      <c r="C2340" s="1" t="n">
        <v>46089</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58261-2023</t>
        </is>
      </c>
      <c r="B2341" s="1" t="n">
        <v>45245</v>
      </c>
      <c r="C2341" s="1" t="n">
        <v>46089</v>
      </c>
      <c r="D2341" t="inlineStr">
        <is>
          <t>STOCKHOLMS LÄN</t>
        </is>
      </c>
      <c r="E2341" t="inlineStr">
        <is>
          <t>NORRTÄLJE</t>
        </is>
      </c>
      <c r="G2341" t="n">
        <v>53.5</v>
      </c>
      <c r="H2341" t="n">
        <v>0</v>
      </c>
      <c r="I2341" t="n">
        <v>0</v>
      </c>
      <c r="J2341" t="n">
        <v>0</v>
      </c>
      <c r="K2341" t="n">
        <v>0</v>
      </c>
      <c r="L2341" t="n">
        <v>0</v>
      </c>
      <c r="M2341" t="n">
        <v>0</v>
      </c>
      <c r="N2341" t="n">
        <v>0</v>
      </c>
      <c r="O2341" t="n">
        <v>0</v>
      </c>
      <c r="P2341" t="n">
        <v>0</v>
      </c>
      <c r="Q2341" t="n">
        <v>0</v>
      </c>
      <c r="R2341" s="2" t="inlineStr"/>
    </row>
    <row r="2342" ht="15" customHeight="1">
      <c r="A2342" t="inlineStr">
        <is>
          <t>A 35113-2023</t>
        </is>
      </c>
      <c r="B2342" s="1" t="n">
        <v>45145</v>
      </c>
      <c r="C2342" s="1" t="n">
        <v>46089</v>
      </c>
      <c r="D2342" t="inlineStr">
        <is>
          <t>STOCKHOLMS LÄN</t>
        </is>
      </c>
      <c r="E2342" t="inlineStr">
        <is>
          <t>SÖDERTÄLJE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51720-2023</t>
        </is>
      </c>
      <c r="B2343" s="1" t="n">
        <v>45222</v>
      </c>
      <c r="C2343" s="1" t="n">
        <v>46089</v>
      </c>
      <c r="D2343" t="inlineStr">
        <is>
          <t>STOCKHOLMS LÄN</t>
        </is>
      </c>
      <c r="E2343" t="inlineStr">
        <is>
          <t>SALEM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16734-2025</t>
        </is>
      </c>
      <c r="B2344" s="1" t="n">
        <v>45754.53179398148</v>
      </c>
      <c r="C2344" s="1" t="n">
        <v>46089</v>
      </c>
      <c r="D2344" t="inlineStr">
        <is>
          <t>STOCKHOLMS LÄN</t>
        </is>
      </c>
      <c r="E2344" t="inlineStr">
        <is>
          <t>SIGTUNA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14008-2021</t>
        </is>
      </c>
      <c r="B2345" s="1" t="n">
        <v>44277</v>
      </c>
      <c r="C2345" s="1" t="n">
        <v>46089</v>
      </c>
      <c r="D2345" t="inlineStr">
        <is>
          <t>STOCKHOLMS LÄN</t>
        </is>
      </c>
      <c r="E2345" t="inlineStr">
        <is>
          <t>VÄRMDÖ</t>
        </is>
      </c>
      <c r="F2345" t="inlineStr">
        <is>
          <t>Övriga statliga verk och myndigheter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52910-2024</t>
        </is>
      </c>
      <c r="B2346" s="1" t="n">
        <v>45610.69866898148</v>
      </c>
      <c r="C2346" s="1" t="n">
        <v>46089</v>
      </c>
      <c r="D2346" t="inlineStr">
        <is>
          <t>STOCKHOLMS LÄN</t>
        </is>
      </c>
      <c r="E2346" t="inlineStr">
        <is>
          <t>NYNÄSHAMN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48839-2023</t>
        </is>
      </c>
      <c r="B2347" s="1" t="n">
        <v>45209</v>
      </c>
      <c r="C2347" s="1" t="n">
        <v>46089</v>
      </c>
      <c r="D2347" t="inlineStr">
        <is>
          <t>STOCKHOLMS LÄN</t>
        </is>
      </c>
      <c r="E2347" t="inlineStr">
        <is>
          <t>EKERÖ</t>
        </is>
      </c>
      <c r="F2347" t="inlineStr">
        <is>
          <t>Kyrkan</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29266-2022</t>
        </is>
      </c>
      <c r="B2348" s="1" t="n">
        <v>44750.66068287037</v>
      </c>
      <c r="C2348" s="1" t="n">
        <v>46089</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29278-2022</t>
        </is>
      </c>
      <c r="B2349" s="1" t="n">
        <v>44750</v>
      </c>
      <c r="C2349" s="1" t="n">
        <v>46089</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18222-2025</t>
        </is>
      </c>
      <c r="B2350" s="1" t="n">
        <v>45761.7321875</v>
      </c>
      <c r="C2350" s="1" t="n">
        <v>46089</v>
      </c>
      <c r="D2350" t="inlineStr">
        <is>
          <t>STOCKHOLMS LÄN</t>
        </is>
      </c>
      <c r="E2350" t="inlineStr">
        <is>
          <t>NYKVARN</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37273-2024</t>
        </is>
      </c>
      <c r="B2351" s="1" t="n">
        <v>45540</v>
      </c>
      <c r="C2351" s="1" t="n">
        <v>46089</v>
      </c>
      <c r="D2351" t="inlineStr">
        <is>
          <t>STOCKHOLMS LÄN</t>
        </is>
      </c>
      <c r="E2351" t="inlineStr">
        <is>
          <t>NORRTÄLJE</t>
        </is>
      </c>
      <c r="F2351" t="inlineStr">
        <is>
          <t>Sveaskog</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12908-2025</t>
        </is>
      </c>
      <c r="B2352" s="1" t="n">
        <v>45733.82105324074</v>
      </c>
      <c r="C2352" s="1" t="n">
        <v>46089</v>
      </c>
      <c r="D2352" t="inlineStr">
        <is>
          <t>STOCKHOLMS LÄN</t>
        </is>
      </c>
      <c r="E2352" t="inlineStr">
        <is>
          <t>NORRTÄLJE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7264-2022</t>
        </is>
      </c>
      <c r="B2353" s="1" t="n">
        <v>44606</v>
      </c>
      <c r="C2353" s="1" t="n">
        <v>46089</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23060-2023</t>
        </is>
      </c>
      <c r="B2354" s="1" t="n">
        <v>45075</v>
      </c>
      <c r="C2354" s="1" t="n">
        <v>46089</v>
      </c>
      <c r="D2354" t="inlineStr">
        <is>
          <t>STOCKHOLMS LÄN</t>
        </is>
      </c>
      <c r="E2354" t="inlineStr">
        <is>
          <t>NORRTÄLJE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38771-2021</t>
        </is>
      </c>
      <c r="B2355" s="1" t="n">
        <v>44410</v>
      </c>
      <c r="C2355" s="1" t="n">
        <v>46089</v>
      </c>
      <c r="D2355" t="inlineStr">
        <is>
          <t>STOCKHOLMS LÄN</t>
        </is>
      </c>
      <c r="E2355" t="inlineStr">
        <is>
          <t>NYNÄSHAMN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1187-2024</t>
        </is>
      </c>
      <c r="B2356" s="1" t="n">
        <v>45302.58045138889</v>
      </c>
      <c r="C2356" s="1" t="n">
        <v>46089</v>
      </c>
      <c r="D2356" t="inlineStr">
        <is>
          <t>STOCKHOLMS LÄN</t>
        </is>
      </c>
      <c r="E2356" t="inlineStr">
        <is>
          <t>HANINGE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52773-2024</t>
        </is>
      </c>
      <c r="B2357" s="1" t="n">
        <v>45610.53207175926</v>
      </c>
      <c r="C2357" s="1" t="n">
        <v>46089</v>
      </c>
      <c r="D2357" t="inlineStr">
        <is>
          <t>STOCKHOLMS LÄN</t>
        </is>
      </c>
      <c r="E2357" t="inlineStr">
        <is>
          <t>HANINGE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32103-2022</t>
        </is>
      </c>
      <c r="B2358" s="1" t="n">
        <v>44778</v>
      </c>
      <c r="C2358" s="1" t="n">
        <v>46089</v>
      </c>
      <c r="D2358" t="inlineStr">
        <is>
          <t>STOCKHOLMS LÄN</t>
        </is>
      </c>
      <c r="E2358" t="inlineStr">
        <is>
          <t>NORRTÄLJE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6401-2024</t>
        </is>
      </c>
      <c r="B2359" s="1" t="n">
        <v>45338</v>
      </c>
      <c r="C2359" s="1" t="n">
        <v>46089</v>
      </c>
      <c r="D2359" t="inlineStr">
        <is>
          <t>STOCKHOLMS LÄN</t>
        </is>
      </c>
      <c r="E2359" t="inlineStr">
        <is>
          <t>NORRTÄLJE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59504-2023</t>
        </is>
      </c>
      <c r="B2360" s="1" t="n">
        <v>45254</v>
      </c>
      <c r="C2360" s="1" t="n">
        <v>46089</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3827-2022</t>
        </is>
      </c>
      <c r="B2361" s="1" t="n">
        <v>44587</v>
      </c>
      <c r="C2361" s="1" t="n">
        <v>46089</v>
      </c>
      <c r="D2361" t="inlineStr">
        <is>
          <t>STOCKHOLMS LÄN</t>
        </is>
      </c>
      <c r="E2361" t="inlineStr">
        <is>
          <t>VÄRMDÖ</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51770-2023</t>
        </is>
      </c>
      <c r="B2362" s="1" t="n">
        <v>45222.71855324074</v>
      </c>
      <c r="C2362" s="1" t="n">
        <v>46089</v>
      </c>
      <c r="D2362" t="inlineStr">
        <is>
          <t>STOCKHOLMS LÄN</t>
        </is>
      </c>
      <c r="E2362" t="inlineStr">
        <is>
          <t>SIGTUNA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52321-2024</t>
        </is>
      </c>
      <c r="B2363" s="1" t="n">
        <v>45608</v>
      </c>
      <c r="C2363" s="1" t="n">
        <v>46089</v>
      </c>
      <c r="D2363" t="inlineStr">
        <is>
          <t>STOCKHOLMS LÄN</t>
        </is>
      </c>
      <c r="E2363" t="inlineStr">
        <is>
          <t>NORRTÄLJE</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48151-2024</t>
        </is>
      </c>
      <c r="B2364" s="1" t="n">
        <v>45589.68289351852</v>
      </c>
      <c r="C2364" s="1" t="n">
        <v>46089</v>
      </c>
      <c r="D2364" t="inlineStr">
        <is>
          <t>STOCKHOLMS LÄN</t>
        </is>
      </c>
      <c r="E2364" t="inlineStr">
        <is>
          <t>NORRTÄLJE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52963-2022</t>
        </is>
      </c>
      <c r="B2365" s="1" t="n">
        <v>44875</v>
      </c>
      <c r="C2365" s="1" t="n">
        <v>46089</v>
      </c>
      <c r="D2365" t="inlineStr">
        <is>
          <t>STOCKHOLMS LÄN</t>
        </is>
      </c>
      <c r="E2365" t="inlineStr">
        <is>
          <t>NYKVARN</t>
        </is>
      </c>
      <c r="F2365" t="inlineStr">
        <is>
          <t>Allmännings- och besparingsskogar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20370-2025</t>
        </is>
      </c>
      <c r="B2366" s="1" t="n">
        <v>45775.41451388889</v>
      </c>
      <c r="C2366" s="1" t="n">
        <v>46089</v>
      </c>
      <c r="D2366" t="inlineStr">
        <is>
          <t>STOCKHOLMS LÄN</t>
        </is>
      </c>
      <c r="E2366" t="inlineStr">
        <is>
          <t>NORRTÄLJE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19580-2022</t>
        </is>
      </c>
      <c r="B2367" s="1" t="n">
        <v>44693</v>
      </c>
      <c r="C2367" s="1" t="n">
        <v>46089</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35356-2023</t>
        </is>
      </c>
      <c r="B2368" s="1" t="n">
        <v>45146.51179398148</v>
      </c>
      <c r="C2368" s="1" t="n">
        <v>46089</v>
      </c>
      <c r="D2368" t="inlineStr">
        <is>
          <t>STOCKHOLMS LÄN</t>
        </is>
      </c>
      <c r="E2368" t="inlineStr">
        <is>
          <t>NYNÄSHAMN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19356-2025</t>
        </is>
      </c>
      <c r="B2369" s="1" t="n">
        <v>45769.62061342593</v>
      </c>
      <c r="C2369" s="1" t="n">
        <v>46089</v>
      </c>
      <c r="D2369" t="inlineStr">
        <is>
          <t>STOCKHOLMS LÄN</t>
        </is>
      </c>
      <c r="E2369" t="inlineStr">
        <is>
          <t>VALLENTUNA</t>
        </is>
      </c>
      <c r="F2369" t="inlineStr">
        <is>
          <t>Övriga Aktiebolag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30731-2023</t>
        </is>
      </c>
      <c r="B2370" s="1" t="n">
        <v>45112</v>
      </c>
      <c r="C2370" s="1" t="n">
        <v>46089</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60755-2024</t>
        </is>
      </c>
      <c r="B2371" s="1" t="n">
        <v>45644.56945601852</v>
      </c>
      <c r="C2371" s="1" t="n">
        <v>46089</v>
      </c>
      <c r="D2371" t="inlineStr">
        <is>
          <t>STOCKHOLMS LÄN</t>
        </is>
      </c>
      <c r="E2371" t="inlineStr">
        <is>
          <t>EKERÖ</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18411-2025</t>
        </is>
      </c>
      <c r="B2372" s="1" t="n">
        <v>45762.61413194444</v>
      </c>
      <c r="C2372" s="1" t="n">
        <v>46089</v>
      </c>
      <c r="D2372" t="inlineStr">
        <is>
          <t>STOCKHOLMS LÄN</t>
        </is>
      </c>
      <c r="E2372" t="inlineStr">
        <is>
          <t>NYNÄSHAMN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4580-2025</t>
        </is>
      </c>
      <c r="B2373" s="1" t="n">
        <v>45687.5038425926</v>
      </c>
      <c r="C2373" s="1" t="n">
        <v>46089</v>
      </c>
      <c r="D2373" t="inlineStr">
        <is>
          <t>STOCKHOLMS LÄN</t>
        </is>
      </c>
      <c r="E2373" t="inlineStr">
        <is>
          <t>NORRTÄLJE</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31057-2022</t>
        </is>
      </c>
      <c r="B2374" s="1" t="n">
        <v>44769</v>
      </c>
      <c r="C2374" s="1" t="n">
        <v>46089</v>
      </c>
      <c r="D2374" t="inlineStr">
        <is>
          <t>STOCKHOLMS LÄN</t>
        </is>
      </c>
      <c r="E2374" t="inlineStr">
        <is>
          <t>NORRTÄLJE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64107-2023</t>
        </is>
      </c>
      <c r="B2375" s="1" t="n">
        <v>45279</v>
      </c>
      <c r="C2375" s="1" t="n">
        <v>46089</v>
      </c>
      <c r="D2375" t="inlineStr">
        <is>
          <t>STOCKHOLMS LÄN</t>
        </is>
      </c>
      <c r="E2375" t="inlineStr">
        <is>
          <t>UPPLANDS-BRO</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11950-2025</t>
        </is>
      </c>
      <c r="B2376" s="1" t="n">
        <v>45728.55622685186</v>
      </c>
      <c r="C2376" s="1" t="n">
        <v>46089</v>
      </c>
      <c r="D2376" t="inlineStr">
        <is>
          <t>STOCKHOLMS LÄN</t>
        </is>
      </c>
      <c r="E2376" t="inlineStr">
        <is>
          <t>VALLENTUNA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31684-2022</t>
        </is>
      </c>
      <c r="B2377" s="1" t="n">
        <v>44776</v>
      </c>
      <c r="C2377" s="1" t="n">
        <v>46089</v>
      </c>
      <c r="D2377" t="inlineStr">
        <is>
          <t>STOCKHOLMS LÄN</t>
        </is>
      </c>
      <c r="E2377" t="inlineStr">
        <is>
          <t>SIGTUNA</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31140-2023</t>
        </is>
      </c>
      <c r="B2378" s="1" t="n">
        <v>45113</v>
      </c>
      <c r="C2378" s="1" t="n">
        <v>46089</v>
      </c>
      <c r="D2378" t="inlineStr">
        <is>
          <t>STOCKHOLMS LÄN</t>
        </is>
      </c>
      <c r="E2378" t="inlineStr">
        <is>
          <t>NORRTÄLJE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31149-2023</t>
        </is>
      </c>
      <c r="B2379" s="1" t="n">
        <v>45113</v>
      </c>
      <c r="C2379" s="1" t="n">
        <v>46089</v>
      </c>
      <c r="D2379" t="inlineStr">
        <is>
          <t>STOCKHOLMS LÄN</t>
        </is>
      </c>
      <c r="E2379" t="inlineStr">
        <is>
          <t>NORRTÄLJE</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4658-2024</t>
        </is>
      </c>
      <c r="B2380" s="1" t="n">
        <v>45328.46336805556</v>
      </c>
      <c r="C2380" s="1" t="n">
        <v>46089</v>
      </c>
      <c r="D2380" t="inlineStr">
        <is>
          <t>STOCKHOLMS LÄN</t>
        </is>
      </c>
      <c r="E2380" t="inlineStr">
        <is>
          <t>NORRTÄLJE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19131-2025</t>
        </is>
      </c>
      <c r="B2381" s="1" t="n">
        <v>45769</v>
      </c>
      <c r="C2381" s="1" t="n">
        <v>46089</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35966-2024</t>
        </is>
      </c>
      <c r="B2382" s="1" t="n">
        <v>45533</v>
      </c>
      <c r="C2382" s="1" t="n">
        <v>46089</v>
      </c>
      <c r="D2382" t="inlineStr">
        <is>
          <t>STOCKHOLMS LÄN</t>
        </is>
      </c>
      <c r="E2382" t="inlineStr">
        <is>
          <t>SIGTUNA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28815-2024</t>
        </is>
      </c>
      <c r="B2383" s="1" t="n">
        <v>45478</v>
      </c>
      <c r="C2383" s="1" t="n">
        <v>46089</v>
      </c>
      <c r="D2383" t="inlineStr">
        <is>
          <t>STOCKHOLMS LÄN</t>
        </is>
      </c>
      <c r="E2383" t="inlineStr">
        <is>
          <t>VAXHOLM</t>
        </is>
      </c>
      <c r="F2383" t="inlineStr">
        <is>
          <t>Övriga statliga verk och myndigheter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7112-2025</t>
        </is>
      </c>
      <c r="B2384" s="1" t="n">
        <v>45701</v>
      </c>
      <c r="C2384" s="1" t="n">
        <v>46089</v>
      </c>
      <c r="D2384" t="inlineStr">
        <is>
          <t>STOCKHOLMS LÄN</t>
        </is>
      </c>
      <c r="E2384" t="inlineStr">
        <is>
          <t>UPPLANDS-BRO</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14489-2024</t>
        </is>
      </c>
      <c r="B2385" s="1" t="n">
        <v>45394.58053240741</v>
      </c>
      <c r="C2385" s="1" t="n">
        <v>46089</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7571-2024</t>
        </is>
      </c>
      <c r="B2386" s="1" t="n">
        <v>45348.46300925926</v>
      </c>
      <c r="C2386" s="1" t="n">
        <v>46089</v>
      </c>
      <c r="D2386" t="inlineStr">
        <is>
          <t>STOCKHOLMS LÄN</t>
        </is>
      </c>
      <c r="E2386" t="inlineStr">
        <is>
          <t>NORRTÄLJE</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47258-2024</t>
        </is>
      </c>
      <c r="B2387" s="1" t="n">
        <v>45586.76025462963</v>
      </c>
      <c r="C2387" s="1" t="n">
        <v>46089</v>
      </c>
      <c r="D2387" t="inlineStr">
        <is>
          <t>STOCKHOLMS LÄN</t>
        </is>
      </c>
      <c r="E2387" t="inlineStr">
        <is>
          <t>NYNÄSHAMN</t>
        </is>
      </c>
      <c r="F2387" t="inlineStr">
        <is>
          <t>Kyrkan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15268-2023</t>
        </is>
      </c>
      <c r="B2388" s="1" t="n">
        <v>45019.41045138889</v>
      </c>
      <c r="C2388" s="1" t="n">
        <v>46089</v>
      </c>
      <c r="D2388" t="inlineStr">
        <is>
          <t>STOCKHOLMS LÄN</t>
        </is>
      </c>
      <c r="E2388" t="inlineStr">
        <is>
          <t>VALLENTUNA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61442-2024</t>
        </is>
      </c>
      <c r="B2389" s="1" t="n">
        <v>45646.47003472222</v>
      </c>
      <c r="C2389" s="1" t="n">
        <v>46089</v>
      </c>
      <c r="D2389" t="inlineStr">
        <is>
          <t>STOCKHOLMS LÄN</t>
        </is>
      </c>
      <c r="E2389" t="inlineStr">
        <is>
          <t>VALLENTUNA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48068-2021</t>
        </is>
      </c>
      <c r="B2390" s="1" t="n">
        <v>44449.42270833333</v>
      </c>
      <c r="C2390" s="1" t="n">
        <v>46089</v>
      </c>
      <c r="D2390" t="inlineStr">
        <is>
          <t>STOCKHOLMS LÄN</t>
        </is>
      </c>
      <c r="E2390" t="inlineStr">
        <is>
          <t>VALLENTUNA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61589-2024</t>
        </is>
      </c>
      <c r="B2391" s="1" t="n">
        <v>45646.62961805556</v>
      </c>
      <c r="C2391" s="1" t="n">
        <v>46089</v>
      </c>
      <c r="D2391" t="inlineStr">
        <is>
          <t>STOCKHOLMS LÄN</t>
        </is>
      </c>
      <c r="E2391" t="inlineStr">
        <is>
          <t>SIGTUNA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11849-2025</t>
        </is>
      </c>
      <c r="B2392" s="1" t="n">
        <v>45728.38409722222</v>
      </c>
      <c r="C2392" s="1" t="n">
        <v>46089</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46757-2023</t>
        </is>
      </c>
      <c r="B2393" s="1" t="n">
        <v>45198</v>
      </c>
      <c r="C2393" s="1" t="n">
        <v>46089</v>
      </c>
      <c r="D2393" t="inlineStr">
        <is>
          <t>STOCKHOLMS LÄN</t>
        </is>
      </c>
      <c r="E2393" t="inlineStr">
        <is>
          <t>SIGTUNA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40425-2021</t>
        </is>
      </c>
      <c r="B2394" s="1" t="n">
        <v>44419</v>
      </c>
      <c r="C2394" s="1" t="n">
        <v>46089</v>
      </c>
      <c r="D2394" t="inlineStr">
        <is>
          <t>STOCKHOLMS LÄN</t>
        </is>
      </c>
      <c r="E2394" t="inlineStr">
        <is>
          <t>NORRTÄLJE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13947-2025</t>
        </is>
      </c>
      <c r="B2395" s="1" t="n">
        <v>45737</v>
      </c>
      <c r="C2395" s="1" t="n">
        <v>46089</v>
      </c>
      <c r="D2395" t="inlineStr">
        <is>
          <t>STOCKHOLMS LÄN</t>
        </is>
      </c>
      <c r="E2395" t="inlineStr">
        <is>
          <t>NYNÄSHAMN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38902-2024</t>
        </is>
      </c>
      <c r="B2396" s="1" t="n">
        <v>45547</v>
      </c>
      <c r="C2396" s="1" t="n">
        <v>46089</v>
      </c>
      <c r="D2396" t="inlineStr">
        <is>
          <t>STOCKHOLMS LÄN</t>
        </is>
      </c>
      <c r="E2396" t="inlineStr">
        <is>
          <t>UPPLANDS-BRO</t>
        </is>
      </c>
      <c r="F2396" t="inlineStr">
        <is>
          <t>Övriga statliga verk och myndigheter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58990-2021</t>
        </is>
      </c>
      <c r="B2397" s="1" t="n">
        <v>44490.03621527777</v>
      </c>
      <c r="C2397" s="1" t="n">
        <v>46089</v>
      </c>
      <c r="D2397" t="inlineStr">
        <is>
          <t>STOCKHOLMS LÄN</t>
        </is>
      </c>
      <c r="E2397" t="inlineStr">
        <is>
          <t>NORRTÄLJE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45499-2023</t>
        </is>
      </c>
      <c r="B2398" s="1" t="n">
        <v>45194</v>
      </c>
      <c r="C2398" s="1" t="n">
        <v>46089</v>
      </c>
      <c r="D2398" t="inlineStr">
        <is>
          <t>STOCKHOLMS LÄN</t>
        </is>
      </c>
      <c r="E2398" t="inlineStr">
        <is>
          <t>VALLENTUNA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23367-2024</t>
        </is>
      </c>
      <c r="B2399" s="1" t="n">
        <v>45453</v>
      </c>
      <c r="C2399" s="1" t="n">
        <v>46089</v>
      </c>
      <c r="D2399" t="inlineStr">
        <is>
          <t>STOCKHOLMS LÄN</t>
        </is>
      </c>
      <c r="E2399" t="inlineStr">
        <is>
          <t>SÖDERTÄLJE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37244-2024</t>
        </is>
      </c>
      <c r="B2400" s="1" t="n">
        <v>45540</v>
      </c>
      <c r="C2400" s="1" t="n">
        <v>46089</v>
      </c>
      <c r="D2400" t="inlineStr">
        <is>
          <t>STOCKHOLMS LÄN</t>
        </is>
      </c>
      <c r="E2400" t="inlineStr">
        <is>
          <t>ÖSTERÅKER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3890-2025</t>
        </is>
      </c>
      <c r="B2401" s="1" t="n">
        <v>45684.36896990741</v>
      </c>
      <c r="C2401" s="1" t="n">
        <v>46089</v>
      </c>
      <c r="D2401" t="inlineStr">
        <is>
          <t>STOCKHOLMS LÄN</t>
        </is>
      </c>
      <c r="E2401" t="inlineStr">
        <is>
          <t>SIGTUNA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9891-2025</t>
        </is>
      </c>
      <c r="B2402" s="1" t="n">
        <v>45716.70479166666</v>
      </c>
      <c r="C2402" s="1" t="n">
        <v>46089</v>
      </c>
      <c r="D2402" t="inlineStr">
        <is>
          <t>STOCKHOLMS LÄN</t>
        </is>
      </c>
      <c r="E2402" t="inlineStr">
        <is>
          <t>SÖDERTÄLJE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1658-2022</t>
        </is>
      </c>
      <c r="B2403" s="1" t="n">
        <v>44574</v>
      </c>
      <c r="C2403" s="1" t="n">
        <v>46089</v>
      </c>
      <c r="D2403" t="inlineStr">
        <is>
          <t>STOCKHOLMS LÄN</t>
        </is>
      </c>
      <c r="E2403" t="inlineStr">
        <is>
          <t>NYNÄSHAMN</t>
        </is>
      </c>
      <c r="F2403" t="inlineStr">
        <is>
          <t>Kommuner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34452-2021</t>
        </is>
      </c>
      <c r="B2404" s="1" t="n">
        <v>44381</v>
      </c>
      <c r="C2404" s="1" t="n">
        <v>46089</v>
      </c>
      <c r="D2404" t="inlineStr">
        <is>
          <t>STOCKHOLMS LÄN</t>
        </is>
      </c>
      <c r="E2404" t="inlineStr">
        <is>
          <t>VALLENTUNA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20790-2025</t>
        </is>
      </c>
      <c r="B2405" s="1" t="n">
        <v>45776.62563657408</v>
      </c>
      <c r="C2405" s="1" t="n">
        <v>46089</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20791-2025</t>
        </is>
      </c>
      <c r="B2406" s="1" t="n">
        <v>45776.62738425926</v>
      </c>
      <c r="C2406" s="1" t="n">
        <v>46089</v>
      </c>
      <c r="D2406" t="inlineStr">
        <is>
          <t>STOCKHOLMS LÄN</t>
        </is>
      </c>
      <c r="E2406" t="inlineStr">
        <is>
          <t>VALLENTUNA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20699-2025</t>
        </is>
      </c>
      <c r="B2407" s="1" t="n">
        <v>45776.47346064815</v>
      </c>
      <c r="C2407" s="1" t="n">
        <v>46089</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10073-2024</t>
        </is>
      </c>
      <c r="B2408" s="1" t="n">
        <v>45364.40821759259</v>
      </c>
      <c r="C2408" s="1" t="n">
        <v>46089</v>
      </c>
      <c r="D2408" t="inlineStr">
        <is>
          <t>STOCKHOLMS LÄN</t>
        </is>
      </c>
      <c r="E2408" t="inlineStr">
        <is>
          <t>VALLENTUNA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43158-2024</t>
        </is>
      </c>
      <c r="B2409" s="1" t="n">
        <v>45567</v>
      </c>
      <c r="C2409" s="1" t="n">
        <v>46089</v>
      </c>
      <c r="D2409" t="inlineStr">
        <is>
          <t>STOCKHOLMS LÄN</t>
        </is>
      </c>
      <c r="E2409" t="inlineStr">
        <is>
          <t>SIGTUNA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3152-2024</t>
        </is>
      </c>
      <c r="B2410" s="1" t="n">
        <v>45316.60306712963</v>
      </c>
      <c r="C2410" s="1" t="n">
        <v>46089</v>
      </c>
      <c r="D2410" t="inlineStr">
        <is>
          <t>STOCKHOLMS LÄN</t>
        </is>
      </c>
      <c r="E2410" t="inlineStr">
        <is>
          <t>NORRTÄLJE</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59326-2023</t>
        </is>
      </c>
      <c r="B2411" s="1" t="n">
        <v>45253.63089120371</v>
      </c>
      <c r="C2411" s="1" t="n">
        <v>46089</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44836-2023</t>
        </is>
      </c>
      <c r="B2412" s="1" t="n">
        <v>45190.55609953704</v>
      </c>
      <c r="C2412" s="1" t="n">
        <v>46089</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24946-2024</t>
        </is>
      </c>
      <c r="B2413" s="1" t="n">
        <v>45461</v>
      </c>
      <c r="C2413" s="1" t="n">
        <v>46089</v>
      </c>
      <c r="D2413" t="inlineStr">
        <is>
          <t>STOCKHOLMS LÄN</t>
        </is>
      </c>
      <c r="E2413" t="inlineStr">
        <is>
          <t>SIGTUNA</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20779-2025</t>
        </is>
      </c>
      <c r="B2414" s="1" t="n">
        <v>45776.59871527777</v>
      </c>
      <c r="C2414" s="1" t="n">
        <v>46089</v>
      </c>
      <c r="D2414" t="inlineStr">
        <is>
          <t>STOCKHOLMS LÄN</t>
        </is>
      </c>
      <c r="E2414" t="inlineStr">
        <is>
          <t>NORRTÄLJE</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12621-2024</t>
        </is>
      </c>
      <c r="B2415" s="1" t="n">
        <v>45383.6325</v>
      </c>
      <c r="C2415" s="1" t="n">
        <v>46089</v>
      </c>
      <c r="D2415" t="inlineStr">
        <is>
          <t>STOCKHOLMS LÄN</t>
        </is>
      </c>
      <c r="E2415" t="inlineStr">
        <is>
          <t>VALLENTUNA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21202-2025</t>
        </is>
      </c>
      <c r="B2416" s="1" t="n">
        <v>45779.47872685185</v>
      </c>
      <c r="C2416" s="1" t="n">
        <v>46089</v>
      </c>
      <c r="D2416" t="inlineStr">
        <is>
          <t>STOCKHOLMS LÄN</t>
        </is>
      </c>
      <c r="E2416" t="inlineStr">
        <is>
          <t>NYNÄSHAMN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21231-2025</t>
        </is>
      </c>
      <c r="B2417" s="1" t="n">
        <v>45779.54644675926</v>
      </c>
      <c r="C2417" s="1" t="n">
        <v>46089</v>
      </c>
      <c r="D2417" t="inlineStr">
        <is>
          <t>STOCKHOLMS LÄN</t>
        </is>
      </c>
      <c r="E2417" t="inlineStr">
        <is>
          <t>HANINGE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21771-2025</t>
        </is>
      </c>
      <c r="B2418" s="1" t="n">
        <v>45783</v>
      </c>
      <c r="C2418" s="1" t="n">
        <v>46089</v>
      </c>
      <c r="D2418" t="inlineStr">
        <is>
          <t>STOCKHOLMS LÄN</t>
        </is>
      </c>
      <c r="E2418" t="inlineStr">
        <is>
          <t>NORRTÄLJE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21796-2025</t>
        </is>
      </c>
      <c r="B2419" s="1" t="n">
        <v>45783.68135416666</v>
      </c>
      <c r="C2419" s="1" t="n">
        <v>46089</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21786-2025</t>
        </is>
      </c>
      <c r="B2420" s="1" t="n">
        <v>45783.67215277778</v>
      </c>
      <c r="C2420" s="1" t="n">
        <v>46089</v>
      </c>
      <c r="D2420" t="inlineStr">
        <is>
          <t>STOCKHOLMS LÄN</t>
        </is>
      </c>
      <c r="E2420" t="inlineStr">
        <is>
          <t>ÖSTERÅKER</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21778-2025</t>
        </is>
      </c>
      <c r="B2421" s="1" t="n">
        <v>45783.66429398148</v>
      </c>
      <c r="C2421" s="1" t="n">
        <v>46089</v>
      </c>
      <c r="D2421" t="inlineStr">
        <is>
          <t>STOCKHOLMS LÄN</t>
        </is>
      </c>
      <c r="E2421" t="inlineStr">
        <is>
          <t>NORRTÄLJE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21513-2025</t>
        </is>
      </c>
      <c r="B2422" s="1" t="n">
        <v>45782.63189814815</v>
      </c>
      <c r="C2422" s="1" t="n">
        <v>46089</v>
      </c>
      <c r="D2422" t="inlineStr">
        <is>
          <t>STOCKHOLMS LÄN</t>
        </is>
      </c>
      <c r="E2422" t="inlineStr">
        <is>
          <t>SIGTUNA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22202-2025</t>
        </is>
      </c>
      <c r="B2423" s="1" t="n">
        <v>45785.65300925926</v>
      </c>
      <c r="C2423" s="1" t="n">
        <v>46089</v>
      </c>
      <c r="D2423" t="inlineStr">
        <is>
          <t>STOCKHOLMS LÄN</t>
        </is>
      </c>
      <c r="E2423" t="inlineStr">
        <is>
          <t>NORRTÄLJE</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16620-2024</t>
        </is>
      </c>
      <c r="B2424" s="1" t="n">
        <v>45408.57707175926</v>
      </c>
      <c r="C2424" s="1" t="n">
        <v>46089</v>
      </c>
      <c r="D2424" t="inlineStr">
        <is>
          <t>STOCKHOLMS LÄN</t>
        </is>
      </c>
      <c r="E2424" t="inlineStr">
        <is>
          <t>NORRTÄLJE</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19031-2024</t>
        </is>
      </c>
      <c r="B2425" s="1" t="n">
        <v>45427</v>
      </c>
      <c r="C2425" s="1" t="n">
        <v>46089</v>
      </c>
      <c r="D2425" t="inlineStr">
        <is>
          <t>STOCKHOLMS LÄN</t>
        </is>
      </c>
      <c r="E2425" t="inlineStr">
        <is>
          <t>SIGTUNA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35961-2024</t>
        </is>
      </c>
      <c r="B2426" s="1" t="n">
        <v>45533</v>
      </c>
      <c r="C2426" s="1" t="n">
        <v>46089</v>
      </c>
      <c r="D2426" t="inlineStr">
        <is>
          <t>STOCKHOLMS LÄN</t>
        </is>
      </c>
      <c r="E2426" t="inlineStr">
        <is>
          <t>SIGTUNA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16142-2024</t>
        </is>
      </c>
      <c r="B2427" s="1" t="n">
        <v>45406</v>
      </c>
      <c r="C2427" s="1" t="n">
        <v>46089</v>
      </c>
      <c r="D2427" t="inlineStr">
        <is>
          <t>STOCKHOLMS LÄN</t>
        </is>
      </c>
      <c r="E2427" t="inlineStr">
        <is>
          <t>BOTKYRKA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2062-2025</t>
        </is>
      </c>
      <c r="B2428" s="1" t="n">
        <v>45671</v>
      </c>
      <c r="C2428" s="1" t="n">
        <v>46089</v>
      </c>
      <c r="D2428" t="inlineStr">
        <is>
          <t>STOCKHOLMS LÄN</t>
        </is>
      </c>
      <c r="E2428" t="inlineStr">
        <is>
          <t>UPPLANDS-BRO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22416-2025</t>
        </is>
      </c>
      <c r="B2429" s="1" t="n">
        <v>45786.55645833333</v>
      </c>
      <c r="C2429" s="1" t="n">
        <v>46089</v>
      </c>
      <c r="D2429" t="inlineStr">
        <is>
          <t>STOCKHOLMS LÄN</t>
        </is>
      </c>
      <c r="E2429" t="inlineStr">
        <is>
          <t>NORRTÄLJE</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33892-2022</t>
        </is>
      </c>
      <c r="B2430" s="1" t="n">
        <v>44790.60921296296</v>
      </c>
      <c r="C2430" s="1" t="n">
        <v>46089</v>
      </c>
      <c r="D2430" t="inlineStr">
        <is>
          <t>STOCKHOLMS LÄN</t>
        </is>
      </c>
      <c r="E2430" t="inlineStr">
        <is>
          <t>SÖDERTÄLJE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47977-2022</t>
        </is>
      </c>
      <c r="B2431" s="1" t="n">
        <v>44855</v>
      </c>
      <c r="C2431" s="1" t="n">
        <v>46089</v>
      </c>
      <c r="D2431" t="inlineStr">
        <is>
          <t>STOCKHOLMS LÄN</t>
        </is>
      </c>
      <c r="E2431" t="inlineStr">
        <is>
          <t>SÖDERTÄLJE</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19464-2023</t>
        </is>
      </c>
      <c r="B2432" s="1" t="n">
        <v>45050</v>
      </c>
      <c r="C2432" s="1" t="n">
        <v>46089</v>
      </c>
      <c r="D2432" t="inlineStr">
        <is>
          <t>STOCKHOLMS LÄN</t>
        </is>
      </c>
      <c r="E2432" t="inlineStr">
        <is>
          <t>TÄBY</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58785-2024</t>
        </is>
      </c>
      <c r="B2433" s="1" t="n">
        <v>45635.88849537037</v>
      </c>
      <c r="C2433" s="1" t="n">
        <v>46089</v>
      </c>
      <c r="D2433" t="inlineStr">
        <is>
          <t>STOCKHOLMS LÄN</t>
        </is>
      </c>
      <c r="E2433" t="inlineStr">
        <is>
          <t>NORRTÄLJE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22730-2025</t>
        </is>
      </c>
      <c r="B2434" s="1" t="n">
        <v>45789.57819444445</v>
      </c>
      <c r="C2434" s="1" t="n">
        <v>46089</v>
      </c>
      <c r="D2434" t="inlineStr">
        <is>
          <t>STOCKHOLMS LÄN</t>
        </is>
      </c>
      <c r="E2434" t="inlineStr">
        <is>
          <t>NYNÄSHAMN</t>
        </is>
      </c>
      <c r="F2434" t="inlineStr">
        <is>
          <t>Kommuner</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2182-2022</t>
        </is>
      </c>
      <c r="B2435" s="1" t="n">
        <v>44578</v>
      </c>
      <c r="C2435" s="1" t="n">
        <v>46089</v>
      </c>
      <c r="D2435" t="inlineStr">
        <is>
          <t>STOCKHOLMS LÄN</t>
        </is>
      </c>
      <c r="E2435" t="inlineStr">
        <is>
          <t>NORRTÄLJE</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13268-2025</t>
        </is>
      </c>
      <c r="B2436" s="1" t="n">
        <v>45735</v>
      </c>
      <c r="C2436" s="1" t="n">
        <v>46089</v>
      </c>
      <c r="D2436" t="inlineStr">
        <is>
          <t>STOCKHOLMS LÄN</t>
        </is>
      </c>
      <c r="E2436" t="inlineStr">
        <is>
          <t>NORRTÄLJE</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8414-2025</t>
        </is>
      </c>
      <c r="B2437" s="1" t="n">
        <v>45709.39361111111</v>
      </c>
      <c r="C2437" s="1" t="n">
        <v>46089</v>
      </c>
      <c r="D2437" t="inlineStr">
        <is>
          <t>STOCKHOLMS LÄN</t>
        </is>
      </c>
      <c r="E2437" t="inlineStr">
        <is>
          <t>NORRTÄLJE</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22402-2025</t>
        </is>
      </c>
      <c r="B2438" s="1" t="n">
        <v>45786.53287037037</v>
      </c>
      <c r="C2438" s="1" t="n">
        <v>46089</v>
      </c>
      <c r="D2438" t="inlineStr">
        <is>
          <t>STOCKHOLMS LÄN</t>
        </is>
      </c>
      <c r="E2438" t="inlineStr">
        <is>
          <t>SIGTUNA</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36625-2024</t>
        </is>
      </c>
      <c r="B2439" s="1" t="n">
        <v>45537</v>
      </c>
      <c r="C2439" s="1" t="n">
        <v>46089</v>
      </c>
      <c r="D2439" t="inlineStr">
        <is>
          <t>STOCKHOLMS LÄN</t>
        </is>
      </c>
      <c r="E2439" t="inlineStr">
        <is>
          <t>NORRTÄLJE</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46381-2023</t>
        </is>
      </c>
      <c r="B2440" s="1" t="n">
        <v>45193</v>
      </c>
      <c r="C2440" s="1" t="n">
        <v>46089</v>
      </c>
      <c r="D2440" t="inlineStr">
        <is>
          <t>STOCKHOLMS LÄN</t>
        </is>
      </c>
      <c r="E2440" t="inlineStr">
        <is>
          <t>VALLENTUNA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23009-2024</t>
        </is>
      </c>
      <c r="B2441" s="1" t="n">
        <v>45450.34506944445</v>
      </c>
      <c r="C2441" s="1" t="n">
        <v>46089</v>
      </c>
      <c r="D2441" t="inlineStr">
        <is>
          <t>STOCKHOLMS LÄN</t>
        </is>
      </c>
      <c r="E2441" t="inlineStr">
        <is>
          <t>VALLENTUNA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61027-2023</t>
        </is>
      </c>
      <c r="B2442" s="1" t="n">
        <v>45261</v>
      </c>
      <c r="C2442" s="1" t="n">
        <v>46089</v>
      </c>
      <c r="D2442" t="inlineStr">
        <is>
          <t>STOCKHOLMS LÄN</t>
        </is>
      </c>
      <c r="E2442" t="inlineStr">
        <is>
          <t>VALLENTUNA</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11876-2024</t>
        </is>
      </c>
      <c r="B2443" s="1" t="n">
        <v>45376.47072916666</v>
      </c>
      <c r="C2443" s="1" t="n">
        <v>46089</v>
      </c>
      <c r="D2443" t="inlineStr">
        <is>
          <t>STOCKHOLMS LÄN</t>
        </is>
      </c>
      <c r="E2443" t="inlineStr">
        <is>
          <t>BOTKYRKA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44891-2023</t>
        </is>
      </c>
      <c r="B2444" s="1" t="n">
        <v>45187</v>
      </c>
      <c r="C2444" s="1" t="n">
        <v>46089</v>
      </c>
      <c r="D2444" t="inlineStr">
        <is>
          <t>STOCKHOLMS LÄN</t>
        </is>
      </c>
      <c r="E2444" t="inlineStr">
        <is>
          <t>NORRTÄLJE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12902-2024</t>
        </is>
      </c>
      <c r="B2445" s="1" t="n">
        <v>45385.38146990741</v>
      </c>
      <c r="C2445" s="1" t="n">
        <v>46089</v>
      </c>
      <c r="D2445" t="inlineStr">
        <is>
          <t>STOCKHOLMS LÄN</t>
        </is>
      </c>
      <c r="E2445" t="inlineStr">
        <is>
          <t>NORRTÄLJE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44032-2024</t>
        </is>
      </c>
      <c r="B2446" s="1" t="n">
        <v>45572.57828703704</v>
      </c>
      <c r="C2446" s="1" t="n">
        <v>46089</v>
      </c>
      <c r="D2446" t="inlineStr">
        <is>
          <t>STOCKHOLMS LÄN</t>
        </is>
      </c>
      <c r="E2446" t="inlineStr">
        <is>
          <t>NORRTÄLJE</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24563-2024</t>
        </is>
      </c>
      <c r="B2447" s="1" t="n">
        <v>45460.44347222222</v>
      </c>
      <c r="C2447" s="1" t="n">
        <v>46089</v>
      </c>
      <c r="D2447" t="inlineStr">
        <is>
          <t>STOCKHOLMS LÄN</t>
        </is>
      </c>
      <c r="E2447" t="inlineStr">
        <is>
          <t>NORRTÄLJE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39237-2024</t>
        </is>
      </c>
      <c r="B2448" s="1" t="n">
        <v>45549</v>
      </c>
      <c r="C2448" s="1" t="n">
        <v>46089</v>
      </c>
      <c r="D2448" t="inlineStr">
        <is>
          <t>STOCKHOLMS LÄN</t>
        </is>
      </c>
      <c r="E2448" t="inlineStr">
        <is>
          <t>NORRTÄLJE</t>
        </is>
      </c>
      <c r="G2448" t="n">
        <v>13.3</v>
      </c>
      <c r="H2448" t="n">
        <v>0</v>
      </c>
      <c r="I2448" t="n">
        <v>0</v>
      </c>
      <c r="J2448" t="n">
        <v>0</v>
      </c>
      <c r="K2448" t="n">
        <v>0</v>
      </c>
      <c r="L2448" t="n">
        <v>0</v>
      </c>
      <c r="M2448" t="n">
        <v>0</v>
      </c>
      <c r="N2448" t="n">
        <v>0</v>
      </c>
      <c r="O2448" t="n">
        <v>0</v>
      </c>
      <c r="P2448" t="n">
        <v>0</v>
      </c>
      <c r="Q2448" t="n">
        <v>0</v>
      </c>
      <c r="R2448" s="2" t="inlineStr"/>
    </row>
    <row r="2449" ht="15" customHeight="1">
      <c r="A2449" t="inlineStr">
        <is>
          <t>A 45746-2024</t>
        </is>
      </c>
      <c r="B2449" s="1" t="n">
        <v>45579</v>
      </c>
      <c r="C2449" s="1" t="n">
        <v>46089</v>
      </c>
      <c r="D2449" t="inlineStr">
        <is>
          <t>STOCKHOLMS LÄN</t>
        </is>
      </c>
      <c r="E2449" t="inlineStr">
        <is>
          <t>NORRTÄLJE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2177-2024</t>
        </is>
      </c>
      <c r="B2450" s="1" t="n">
        <v>45309.64600694444</v>
      </c>
      <c r="C2450" s="1" t="n">
        <v>46089</v>
      </c>
      <c r="D2450" t="inlineStr">
        <is>
          <t>STOCKHOLMS LÄN</t>
        </is>
      </c>
      <c r="E2450" t="inlineStr">
        <is>
          <t>NYKVARN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8400-2024</t>
        </is>
      </c>
      <c r="B2451" s="1" t="n">
        <v>45352.74090277778</v>
      </c>
      <c r="C2451" s="1" t="n">
        <v>46089</v>
      </c>
      <c r="D2451" t="inlineStr">
        <is>
          <t>STOCKHOLMS LÄN</t>
        </is>
      </c>
      <c r="E2451" t="inlineStr">
        <is>
          <t>NORRTÄLJE</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17979-2024</t>
        </is>
      </c>
      <c r="B2452" s="1" t="n">
        <v>45419.86915509259</v>
      </c>
      <c r="C2452" s="1" t="n">
        <v>46089</v>
      </c>
      <c r="D2452" t="inlineStr">
        <is>
          <t>STOCKHOLMS LÄN</t>
        </is>
      </c>
      <c r="E2452" t="inlineStr">
        <is>
          <t>SÖDERTÄLJE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22721-2025</t>
        </is>
      </c>
      <c r="B2453" s="1" t="n">
        <v>45789.57309027778</v>
      </c>
      <c r="C2453" s="1" t="n">
        <v>46089</v>
      </c>
      <c r="D2453" t="inlineStr">
        <is>
          <t>STOCKHOLMS LÄN</t>
        </is>
      </c>
      <c r="E2453" t="inlineStr">
        <is>
          <t>NYNÄSHAMN</t>
        </is>
      </c>
      <c r="F2453" t="inlineStr">
        <is>
          <t>Kommuner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22740-2025</t>
        </is>
      </c>
      <c r="B2454" s="1" t="n">
        <v>45789.59407407408</v>
      </c>
      <c r="C2454" s="1" t="n">
        <v>46089</v>
      </c>
      <c r="D2454" t="inlineStr">
        <is>
          <t>STOCKHOLMS LÄN</t>
        </is>
      </c>
      <c r="E2454" t="inlineStr">
        <is>
          <t>NYNÄSHAMN</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19210-2024</t>
        </is>
      </c>
      <c r="B2455" s="1" t="n">
        <v>45428.54665509259</v>
      </c>
      <c r="C2455" s="1" t="n">
        <v>46089</v>
      </c>
      <c r="D2455" t="inlineStr">
        <is>
          <t>STOCKHOLMS LÄN</t>
        </is>
      </c>
      <c r="E2455" t="inlineStr">
        <is>
          <t>SÖDERTÄLJE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48375-2024</t>
        </is>
      </c>
      <c r="B2456" s="1" t="n">
        <v>45590.58184027778</v>
      </c>
      <c r="C2456" s="1" t="n">
        <v>46089</v>
      </c>
      <c r="D2456" t="inlineStr">
        <is>
          <t>STOCKHOLMS LÄN</t>
        </is>
      </c>
      <c r="E2456" t="inlineStr">
        <is>
          <t>SIGTUNA</t>
        </is>
      </c>
      <c r="F2456" t="inlineStr">
        <is>
          <t>Allmännings- och besparingsskogar</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23284-2025</t>
        </is>
      </c>
      <c r="B2457" s="1" t="n">
        <v>45791.57525462963</v>
      </c>
      <c r="C2457" s="1" t="n">
        <v>46089</v>
      </c>
      <c r="D2457" t="inlineStr">
        <is>
          <t>STOCKHOLMS LÄN</t>
        </is>
      </c>
      <c r="E2457" t="inlineStr">
        <is>
          <t>NYKVARN</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23615-2025</t>
        </is>
      </c>
      <c r="B2458" s="1" t="n">
        <v>45792.66532407407</v>
      </c>
      <c r="C2458" s="1" t="n">
        <v>46089</v>
      </c>
      <c r="D2458" t="inlineStr">
        <is>
          <t>STOCKHOLMS LÄN</t>
        </is>
      </c>
      <c r="E2458" t="inlineStr">
        <is>
          <t>UPPLANDS-BRO</t>
        </is>
      </c>
      <c r="G2458" t="n">
        <v>1.3</v>
      </c>
      <c r="H2458" t="n">
        <v>0</v>
      </c>
      <c r="I2458" t="n">
        <v>0</v>
      </c>
      <c r="J2458" t="n">
        <v>0</v>
      </c>
      <c r="K2458" t="n">
        <v>0</v>
      </c>
      <c r="L2458" t="n">
        <v>0</v>
      </c>
      <c r="M2458" t="n">
        <v>0</v>
      </c>
      <c r="N2458" t="n">
        <v>0</v>
      </c>
      <c r="O2458" t="n">
        <v>0</v>
      </c>
      <c r="P2458" t="n">
        <v>0</v>
      </c>
      <c r="Q2458" t="n">
        <v>0</v>
      </c>
      <c r="R2458" s="2" t="inlineStr"/>
    </row>
    <row r="2459">
      <c r="A2459" t="inlineStr">
        <is>
          <t>A 23655-2025</t>
        </is>
      </c>
      <c r="B2459" s="1" t="n">
        <v>45792</v>
      </c>
      <c r="C2459" s="1" t="n">
        <v>46089</v>
      </c>
      <c r="D2459" t="inlineStr">
        <is>
          <t>STOCKHOLMS LÄN</t>
        </is>
      </c>
      <c r="E2459" t="inlineStr">
        <is>
          <t>NYKVARN</t>
        </is>
      </c>
      <c r="F2459" t="inlineStr">
        <is>
          <t>Sveaskog</t>
        </is>
      </c>
      <c r="G2459" t="n">
        <v>1.8</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2026-03-08T11:15:24Z</dcterms:created>
  <dcterms:modified xmlns:dcterms="http://purl.org/dc/terms/" xmlns:xsi="http://www.w3.org/2001/XMLSchema-instance" xsi:type="dcterms:W3CDTF">2026-03-08T11:15:27Z</dcterms:modified>
</cp:coreProperties>
</file>
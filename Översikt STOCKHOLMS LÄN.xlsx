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45350</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45350</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45350</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45350</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45350</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45350</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45350</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45350</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45350</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45350</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45350</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45350</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45350</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45350</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45350</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45350</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45350</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45350</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45350</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45350</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45350</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45350</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45350</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45350</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45350</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45350</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45350</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45350</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45350</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45350</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45350</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45350</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45350</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45350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45350</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45350</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45350</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45350</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45350</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45350</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45350</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45350</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45350</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45350</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45350</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45350</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45350</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45350</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45350</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45350</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45350</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45350</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45350</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45350</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45350</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45350</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45350</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45350</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45350</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45350</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45350</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45350</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45350</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45350</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45350</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45350</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45350</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45350</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45350</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45350</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45350</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45350</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45350</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45350</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45350</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45350</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45350</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45350</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45350</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45350</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45350</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45350</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45350</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45350</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45350</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45350</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45350</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45350</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45350</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45350</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45350</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45350</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45350</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45350</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45350</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45350</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45350</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45350</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45350</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45350</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45350</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45350</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45350</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45350</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45350</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45350</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45350</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45350</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45350</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45350</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45350</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45350</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45350</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45350</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45350</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45350</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45350</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45350</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45350</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45350</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45350</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45350</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45350</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45350</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45350</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45350</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45350</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45350</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45350</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45350</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45350</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45350</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45350</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45350</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45350</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45350</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45350</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45350</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45350</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45350</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45350</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45350</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45350</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45350</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45350</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45350</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45350</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45350</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45350</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45350</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45350</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45350</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45350</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45350</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45350</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45350</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45350</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45350</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45350</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45350</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45350</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45350</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45350</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45350</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45350</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45350</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45350</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45350</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45350</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45350</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45350</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45350</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45350</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45350</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45350</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45350</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45350</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45350</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45350</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45350</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45350</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45350</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45350</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45350</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45350</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45350</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45350</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45350</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45350</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45350</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45350</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45350</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45350</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45350</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45350</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45350</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45350</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45350</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45350</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45350</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45350</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45350</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45350</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45350</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45350</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45350</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45350</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45350</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45350</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45350</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45350</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45350</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45350</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45350</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45350</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45350</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45350</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45350</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45350</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45350</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45350</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45350</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45350</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45350</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45350</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45350</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45350</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45350</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45350</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45350</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45350</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45350</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45350</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45350</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45350</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45350</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45350</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45350</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45350</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45350</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45350</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45350</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45350</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45350</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45350</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34068-2022</t>
        </is>
      </c>
      <c r="B250" s="1" t="n">
        <v>44791</v>
      </c>
      <c r="C250" s="1" t="n">
        <v>45350</v>
      </c>
      <c r="D250" t="inlineStr">
        <is>
          <t>STOCKHOLMS LÄN</t>
        </is>
      </c>
      <c r="E250" t="inlineStr">
        <is>
          <t>SIGTUNA</t>
        </is>
      </c>
      <c r="G250" t="n">
        <v>5.8</v>
      </c>
      <c r="H250" t="n">
        <v>1</v>
      </c>
      <c r="I250" t="n">
        <v>0</v>
      </c>
      <c r="J250" t="n">
        <v>0</v>
      </c>
      <c r="K250" t="n">
        <v>0</v>
      </c>
      <c r="L250" t="n">
        <v>1</v>
      </c>
      <c r="M250" t="n">
        <v>0</v>
      </c>
      <c r="N250" t="n">
        <v>0</v>
      </c>
      <c r="O250" t="n">
        <v>1</v>
      </c>
      <c r="P250" t="n">
        <v>1</v>
      </c>
      <c r="Q250" t="n">
        <v>2</v>
      </c>
      <c r="R250" s="2" t="inlineStr">
        <is>
          <t>Ask
Gullviva</t>
        </is>
      </c>
      <c r="S250">
        <f>HYPERLINK("https://klasma.github.io/Logging_0191/artfynd/A 34068-2022 artfynd.xlsx", "A 34068-2022")</f>
        <v/>
      </c>
      <c r="T250">
        <f>HYPERLINK("https://klasma.github.io/Logging_0191/kartor/A 34068-2022 karta.png", "A 34068-2022")</f>
        <v/>
      </c>
      <c r="V250">
        <f>HYPERLINK("https://klasma.github.io/Logging_0191/klagomål/A 34068-2022 FSC-klagomål.docx", "A 34068-2022")</f>
        <v/>
      </c>
      <c r="W250">
        <f>HYPERLINK("https://klasma.github.io/Logging_0191/klagomålsmail/A 34068-2022 FSC-klagomål mail.docx", "A 34068-2022")</f>
        <v/>
      </c>
      <c r="X250">
        <f>HYPERLINK("https://klasma.github.io/Logging_0191/tillsyn/A 34068-2022 tillsynsbegäran.docx", "A 34068-2022")</f>
        <v/>
      </c>
      <c r="Y250">
        <f>HYPERLINK("https://klasma.github.io/Logging_0191/tillsynsmail/A 34068-2022 tillsynsbegäran mail.docx", "A 34068-2022")</f>
        <v/>
      </c>
    </row>
    <row r="251" ht="15" customHeight="1">
      <c r="A251" t="inlineStr">
        <is>
          <t>A 52046-2022</t>
        </is>
      </c>
      <c r="B251" s="1" t="n">
        <v>44868</v>
      </c>
      <c r="C251" s="1" t="n">
        <v>45350</v>
      </c>
      <c r="D251" t="inlineStr">
        <is>
          <t>STOCKHOLMS LÄN</t>
        </is>
      </c>
      <c r="E251" t="inlineStr">
        <is>
          <t>SÖDERTÄLJE</t>
        </is>
      </c>
      <c r="F251" t="inlineStr">
        <is>
          <t>Kommuner</t>
        </is>
      </c>
      <c r="G251" t="n">
        <v>22.9</v>
      </c>
      <c r="H251" t="n">
        <v>1</v>
      </c>
      <c r="I251" t="n">
        <v>1</v>
      </c>
      <c r="J251" t="n">
        <v>0</v>
      </c>
      <c r="K251" t="n">
        <v>0</v>
      </c>
      <c r="L251" t="n">
        <v>0</v>
      </c>
      <c r="M251" t="n">
        <v>0</v>
      </c>
      <c r="N251" t="n">
        <v>0</v>
      </c>
      <c r="O251" t="n">
        <v>0</v>
      </c>
      <c r="P251" t="n">
        <v>0</v>
      </c>
      <c r="Q251" t="n">
        <v>2</v>
      </c>
      <c r="R251" s="2" t="inlineStr">
        <is>
          <t>Tjockfotad fingersvamp
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52124-2022</t>
        </is>
      </c>
      <c r="B252" s="1" t="n">
        <v>44868</v>
      </c>
      <c r="C252" s="1" t="n">
        <v>45350</v>
      </c>
      <c r="D252" t="inlineStr">
        <is>
          <t>STOCKHOLMS LÄN</t>
        </is>
      </c>
      <c r="E252" t="inlineStr">
        <is>
          <t>NORRTÄLJE</t>
        </is>
      </c>
      <c r="G252" t="n">
        <v>4.8</v>
      </c>
      <c r="H252" t="n">
        <v>1</v>
      </c>
      <c r="I252" t="n">
        <v>0</v>
      </c>
      <c r="J252" t="n">
        <v>1</v>
      </c>
      <c r="K252" t="n">
        <v>0</v>
      </c>
      <c r="L252" t="n">
        <v>0</v>
      </c>
      <c r="M252" t="n">
        <v>0</v>
      </c>
      <c r="N252" t="n">
        <v>0</v>
      </c>
      <c r="O252" t="n">
        <v>1</v>
      </c>
      <c r="P252" t="n">
        <v>0</v>
      </c>
      <c r="Q252" t="n">
        <v>2</v>
      </c>
      <c r="R252" s="2" t="inlineStr">
        <is>
          <t>Kandelabersvamp
Blåsippa</t>
        </is>
      </c>
      <c r="S252">
        <f>HYPERLINK("https://klasma.github.io/Logging_0188/artfynd/A 52124-2022 artfynd.xlsx", "A 52124-2022")</f>
        <v/>
      </c>
      <c r="T252">
        <f>HYPERLINK("https://klasma.github.io/Logging_0188/kartor/A 52124-2022 karta.png", "A 52124-2022")</f>
        <v/>
      </c>
      <c r="V252">
        <f>HYPERLINK("https://klasma.github.io/Logging_0188/klagomål/A 52124-2022 FSC-klagomål.docx", "A 52124-2022")</f>
        <v/>
      </c>
      <c r="W252">
        <f>HYPERLINK("https://klasma.github.io/Logging_0188/klagomålsmail/A 52124-2022 FSC-klagomål mail.docx", "A 52124-2022")</f>
        <v/>
      </c>
      <c r="X252">
        <f>HYPERLINK("https://klasma.github.io/Logging_0188/tillsyn/A 52124-2022 tillsynsbegäran.docx", "A 52124-2022")</f>
        <v/>
      </c>
      <c r="Y252">
        <f>HYPERLINK("https://klasma.github.io/Logging_0188/tillsynsmail/A 52124-2022 tillsynsbegäran mail.docx", "A 52124-2022")</f>
        <v/>
      </c>
    </row>
    <row r="253" ht="15" customHeight="1">
      <c r="A253" t="inlineStr">
        <is>
          <t>A 51980-2022</t>
        </is>
      </c>
      <c r="B253" s="1" t="n">
        <v>44872</v>
      </c>
      <c r="C253" s="1" t="n">
        <v>45350</v>
      </c>
      <c r="D253" t="inlineStr">
        <is>
          <t>STOCKHOLMS LÄN</t>
        </is>
      </c>
      <c r="E253" t="inlineStr">
        <is>
          <t>NORRTÄLJE</t>
        </is>
      </c>
      <c r="G253" t="n">
        <v>7.9</v>
      </c>
      <c r="H253" t="n">
        <v>1</v>
      </c>
      <c r="I253" t="n">
        <v>2</v>
      </c>
      <c r="J253" t="n">
        <v>0</v>
      </c>
      <c r="K253" t="n">
        <v>0</v>
      </c>
      <c r="L253" t="n">
        <v>0</v>
      </c>
      <c r="M253" t="n">
        <v>0</v>
      </c>
      <c r="N253" t="n">
        <v>0</v>
      </c>
      <c r="O253" t="n">
        <v>0</v>
      </c>
      <c r="P253" t="n">
        <v>0</v>
      </c>
      <c r="Q253" t="n">
        <v>2</v>
      </c>
      <c r="R253" s="2" t="inlineStr">
        <is>
          <t>Rödgul trumpetsvamp
Skogsknipprot</t>
        </is>
      </c>
      <c r="S253">
        <f>HYPERLINK("https://klasma.github.io/Logging_0188/artfynd/A 51980-2022 artfynd.xlsx", "A 51980-2022")</f>
        <v/>
      </c>
      <c r="T253">
        <f>HYPERLINK("https://klasma.github.io/Logging_0188/kartor/A 51980-2022 karta.png", "A 51980-2022")</f>
        <v/>
      </c>
      <c r="V253">
        <f>HYPERLINK("https://klasma.github.io/Logging_0188/klagomål/A 51980-2022 FSC-klagomål.docx", "A 51980-2022")</f>
        <v/>
      </c>
      <c r="W253">
        <f>HYPERLINK("https://klasma.github.io/Logging_0188/klagomålsmail/A 51980-2022 FSC-klagomål mail.docx", "A 51980-2022")</f>
        <v/>
      </c>
      <c r="X253">
        <f>HYPERLINK("https://klasma.github.io/Logging_0188/tillsyn/A 51980-2022 tillsynsbegäran.docx", "A 51980-2022")</f>
        <v/>
      </c>
      <c r="Y253">
        <f>HYPERLINK("https://klasma.github.io/Logging_0188/tillsynsmail/A 51980-2022 tillsynsbegäran mail.docx", "A 51980-2022")</f>
        <v/>
      </c>
    </row>
    <row r="254" ht="15" customHeight="1">
      <c r="A254" t="inlineStr">
        <is>
          <t>A 61302-2022</t>
        </is>
      </c>
      <c r="B254" s="1" t="n">
        <v>44915</v>
      </c>
      <c r="C254" s="1" t="n">
        <v>45350</v>
      </c>
      <c r="D254" t="inlineStr">
        <is>
          <t>STOCKHOLMS LÄN</t>
        </is>
      </c>
      <c r="E254" t="inlineStr">
        <is>
          <t>SALEM</t>
        </is>
      </c>
      <c r="F254" t="inlineStr">
        <is>
          <t>Kommuner</t>
        </is>
      </c>
      <c r="G254" t="n">
        <v>14.8</v>
      </c>
      <c r="H254" t="n">
        <v>0</v>
      </c>
      <c r="I254" t="n">
        <v>2</v>
      </c>
      <c r="J254" t="n">
        <v>0</v>
      </c>
      <c r="K254" t="n">
        <v>0</v>
      </c>
      <c r="L254" t="n">
        <v>0</v>
      </c>
      <c r="M254" t="n">
        <v>0</v>
      </c>
      <c r="N254" t="n">
        <v>0</v>
      </c>
      <c r="O254" t="n">
        <v>0</v>
      </c>
      <c r="P254" t="n">
        <v>0</v>
      </c>
      <c r="Q254" t="n">
        <v>2</v>
      </c>
      <c r="R254" s="2" t="inlineStr">
        <is>
          <t>Trådticka
Zontaggsvamp</t>
        </is>
      </c>
      <c r="S254">
        <f>HYPERLINK("https://klasma.github.io/Logging_0128/artfynd/A 61302-2022 artfynd.xlsx", "A 61302-2022")</f>
        <v/>
      </c>
      <c r="T254">
        <f>HYPERLINK("https://klasma.github.io/Logging_0128/kartor/A 61302-2022 karta.png", "A 61302-2022")</f>
        <v/>
      </c>
      <c r="V254">
        <f>HYPERLINK("https://klasma.github.io/Logging_0128/klagomål/A 61302-2022 FSC-klagomål.docx", "A 61302-2022")</f>
        <v/>
      </c>
      <c r="W254">
        <f>HYPERLINK("https://klasma.github.io/Logging_0128/klagomålsmail/A 61302-2022 FSC-klagomål mail.docx", "A 61302-2022")</f>
        <v/>
      </c>
      <c r="X254">
        <f>HYPERLINK("https://klasma.github.io/Logging_0128/tillsyn/A 61302-2022 tillsynsbegäran.docx", "A 61302-2022")</f>
        <v/>
      </c>
      <c r="Y254">
        <f>HYPERLINK("https://klasma.github.io/Logging_0128/tillsynsmail/A 61302-2022 tillsynsbegäran mail.docx", "A 61302-2022")</f>
        <v/>
      </c>
    </row>
    <row r="255" ht="15" customHeight="1">
      <c r="A255" t="inlineStr">
        <is>
          <t>A 61363-2022</t>
        </is>
      </c>
      <c r="B255" s="1" t="n">
        <v>44915</v>
      </c>
      <c r="C255" s="1" t="n">
        <v>45350</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45350</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45350</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45350</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45350</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45350</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45350</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45350</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45350</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24264-2023</t>
        </is>
      </c>
      <c r="B264" s="1" t="n">
        <v>45076</v>
      </c>
      <c r="C264" s="1" t="n">
        <v>45350</v>
      </c>
      <c r="D264" t="inlineStr">
        <is>
          <t>STOCKHOLMS LÄN</t>
        </is>
      </c>
      <c r="E264" t="inlineStr">
        <is>
          <t>HUDDINGE</t>
        </is>
      </c>
      <c r="G264" t="n">
        <v>7.3</v>
      </c>
      <c r="H264" t="n">
        <v>0</v>
      </c>
      <c r="I264" t="n">
        <v>0</v>
      </c>
      <c r="J264" t="n">
        <v>2</v>
      </c>
      <c r="K264" t="n">
        <v>0</v>
      </c>
      <c r="L264" t="n">
        <v>0</v>
      </c>
      <c r="M264" t="n">
        <v>0</v>
      </c>
      <c r="N264" t="n">
        <v>0</v>
      </c>
      <c r="O264" t="n">
        <v>2</v>
      </c>
      <c r="P264" t="n">
        <v>0</v>
      </c>
      <c r="Q264" t="n">
        <v>2</v>
      </c>
      <c r="R264" s="2" t="inlineStr">
        <is>
          <t>Tallticka
Ullticka</t>
        </is>
      </c>
      <c r="S264">
        <f>HYPERLINK("https://klasma.github.io/Logging_0126/artfynd/A 24264-2023 artfynd.xlsx", "A 24264-2023")</f>
        <v/>
      </c>
      <c r="T264">
        <f>HYPERLINK("https://klasma.github.io/Logging_0126/kartor/A 24264-2023 karta.png", "A 24264-2023")</f>
        <v/>
      </c>
      <c r="V264">
        <f>HYPERLINK("https://klasma.github.io/Logging_0126/klagomål/A 24264-2023 FSC-klagomål.docx", "A 24264-2023")</f>
        <v/>
      </c>
      <c r="W264">
        <f>HYPERLINK("https://klasma.github.io/Logging_0126/klagomålsmail/A 24264-2023 FSC-klagomål mail.docx", "A 24264-2023")</f>
        <v/>
      </c>
      <c r="X264">
        <f>HYPERLINK("https://klasma.github.io/Logging_0126/tillsyn/A 24264-2023 tillsynsbegäran.docx", "A 24264-2023")</f>
        <v/>
      </c>
      <c r="Y264">
        <f>HYPERLINK("https://klasma.github.io/Logging_0126/tillsynsmail/A 24264-2023 tillsynsbegäran mail.docx", "A 24264-2023")</f>
        <v/>
      </c>
    </row>
    <row r="265" ht="15" customHeight="1">
      <c r="A265" t="inlineStr">
        <is>
          <t>A 23861-2023</t>
        </is>
      </c>
      <c r="B265" s="1" t="n">
        <v>45078</v>
      </c>
      <c r="C265" s="1" t="n">
        <v>45350</v>
      </c>
      <c r="D265" t="inlineStr">
        <is>
          <t>STOCKHOLMS LÄN</t>
        </is>
      </c>
      <c r="E265" t="inlineStr">
        <is>
          <t>NORRTÄLJE</t>
        </is>
      </c>
      <c r="G265" t="n">
        <v>3.3</v>
      </c>
      <c r="H265" t="n">
        <v>1</v>
      </c>
      <c r="I265" t="n">
        <v>1</v>
      </c>
      <c r="J265" t="n">
        <v>0</v>
      </c>
      <c r="K265" t="n">
        <v>0</v>
      </c>
      <c r="L265" t="n">
        <v>0</v>
      </c>
      <c r="M265" t="n">
        <v>0</v>
      </c>
      <c r="N265" t="n">
        <v>0</v>
      </c>
      <c r="O265" t="n">
        <v>0</v>
      </c>
      <c r="P265" t="n">
        <v>0</v>
      </c>
      <c r="Q265" t="n">
        <v>2</v>
      </c>
      <c r="R265" s="2" t="inlineStr">
        <is>
          <t>Tibast
Blåsippa</t>
        </is>
      </c>
      <c r="S265">
        <f>HYPERLINK("https://klasma.github.io/Logging_0188/artfynd/A 23861-2023 artfynd.xlsx", "A 23861-2023")</f>
        <v/>
      </c>
      <c r="T265">
        <f>HYPERLINK("https://klasma.github.io/Logging_0188/kartor/A 23861-2023 karta.png", "A 23861-2023")</f>
        <v/>
      </c>
      <c r="V265">
        <f>HYPERLINK("https://klasma.github.io/Logging_0188/klagomål/A 23861-2023 FSC-klagomål.docx", "A 23861-2023")</f>
        <v/>
      </c>
      <c r="W265">
        <f>HYPERLINK("https://klasma.github.io/Logging_0188/klagomålsmail/A 23861-2023 FSC-klagomål mail.docx", "A 23861-2023")</f>
        <v/>
      </c>
      <c r="X265">
        <f>HYPERLINK("https://klasma.github.io/Logging_0188/tillsyn/A 23861-2023 tillsynsbegäran.docx", "A 23861-2023")</f>
        <v/>
      </c>
      <c r="Y265">
        <f>HYPERLINK("https://klasma.github.io/Logging_0188/tillsynsmail/A 23861-2023 tillsynsbegäran mail.docx", "A 23861-2023")</f>
        <v/>
      </c>
    </row>
    <row r="266" ht="15" customHeight="1">
      <c r="A266" t="inlineStr">
        <is>
          <t>A 32317-2023</t>
        </is>
      </c>
      <c r="B266" s="1" t="n">
        <v>45120</v>
      </c>
      <c r="C266" s="1" t="n">
        <v>45350</v>
      </c>
      <c r="D266" t="inlineStr">
        <is>
          <t>STOCKHOLMS LÄN</t>
        </is>
      </c>
      <c r="E266" t="inlineStr">
        <is>
          <t>VÄRMDÖ</t>
        </is>
      </c>
      <c r="G266" t="n">
        <v>21.2</v>
      </c>
      <c r="H266" t="n">
        <v>2</v>
      </c>
      <c r="I266" t="n">
        <v>0</v>
      </c>
      <c r="J266" t="n">
        <v>0</v>
      </c>
      <c r="K266" t="n">
        <v>0</v>
      </c>
      <c r="L266" t="n">
        <v>0</v>
      </c>
      <c r="M266" t="n">
        <v>0</v>
      </c>
      <c r="N266" t="n">
        <v>0</v>
      </c>
      <c r="O266" t="n">
        <v>0</v>
      </c>
      <c r="P266" t="n">
        <v>0</v>
      </c>
      <c r="Q266" t="n">
        <v>2</v>
      </c>
      <c r="R266" s="2" t="inlineStr">
        <is>
          <t>Adam och eva
Gullviva</t>
        </is>
      </c>
      <c r="S266">
        <f>HYPERLINK("https://klasma.github.io/Logging_0120/artfynd/A 32317-2023 artfynd.xlsx", "A 32317-2023")</f>
        <v/>
      </c>
      <c r="T266">
        <f>HYPERLINK("https://klasma.github.io/Logging_0120/kartor/A 32317-2023 karta.png", "A 32317-2023")</f>
        <v/>
      </c>
      <c r="V266">
        <f>HYPERLINK("https://klasma.github.io/Logging_0120/klagomål/A 32317-2023 FSC-klagomål.docx", "A 32317-2023")</f>
        <v/>
      </c>
      <c r="W266">
        <f>HYPERLINK("https://klasma.github.io/Logging_0120/klagomålsmail/A 32317-2023 FSC-klagomål mail.docx", "A 32317-2023")</f>
        <v/>
      </c>
      <c r="X266">
        <f>HYPERLINK("https://klasma.github.io/Logging_0120/tillsyn/A 32317-2023 tillsynsbegäran.docx", "A 32317-2023")</f>
        <v/>
      </c>
      <c r="Y266">
        <f>HYPERLINK("https://klasma.github.io/Logging_0120/tillsynsmail/A 32317-2023 tillsynsbegäran mail.docx", "A 32317-2023")</f>
        <v/>
      </c>
    </row>
    <row r="267" ht="15" customHeight="1">
      <c r="A267" t="inlineStr">
        <is>
          <t>A 33165-2023</t>
        </is>
      </c>
      <c r="B267" s="1" t="n">
        <v>45126</v>
      </c>
      <c r="C267" s="1" t="n">
        <v>45350</v>
      </c>
      <c r="D267" t="inlineStr">
        <is>
          <t>STOCKHOLMS LÄN</t>
        </is>
      </c>
      <c r="E267" t="inlineStr">
        <is>
          <t>VÄRMDÖ</t>
        </is>
      </c>
      <c r="G267" t="n">
        <v>9.1</v>
      </c>
      <c r="H267" t="n">
        <v>0</v>
      </c>
      <c r="I267" t="n">
        <v>0</v>
      </c>
      <c r="J267" t="n">
        <v>0</v>
      </c>
      <c r="K267" t="n">
        <v>1</v>
      </c>
      <c r="L267" t="n">
        <v>1</v>
      </c>
      <c r="M267" t="n">
        <v>0</v>
      </c>
      <c r="N267" t="n">
        <v>0</v>
      </c>
      <c r="O267" t="n">
        <v>2</v>
      </c>
      <c r="P267" t="n">
        <v>2</v>
      </c>
      <c r="Q267" t="n">
        <v>2</v>
      </c>
      <c r="R267" s="2" t="inlineStr">
        <is>
          <t>Ask
Mörk kraterlav</t>
        </is>
      </c>
      <c r="S267">
        <f>HYPERLINK("https://klasma.github.io/Logging_0120/artfynd/A 33165-2023 artfynd.xlsx", "A 33165-2023")</f>
        <v/>
      </c>
      <c r="T267">
        <f>HYPERLINK("https://klasma.github.io/Logging_0120/kartor/A 33165-2023 karta.png", "A 33165-2023")</f>
        <v/>
      </c>
      <c r="V267">
        <f>HYPERLINK("https://klasma.github.io/Logging_0120/klagomål/A 33165-2023 FSC-klagomål.docx", "A 33165-2023")</f>
        <v/>
      </c>
      <c r="W267">
        <f>HYPERLINK("https://klasma.github.io/Logging_0120/klagomålsmail/A 33165-2023 FSC-klagomål mail.docx", "A 33165-2023")</f>
        <v/>
      </c>
      <c r="X267">
        <f>HYPERLINK("https://klasma.github.io/Logging_0120/tillsyn/A 33165-2023 tillsynsbegäran.docx", "A 33165-2023")</f>
        <v/>
      </c>
      <c r="Y267">
        <f>HYPERLINK("https://klasma.github.io/Logging_0120/tillsynsmail/A 33165-2023 tillsynsbegäran mail.docx", "A 33165-2023")</f>
        <v/>
      </c>
    </row>
    <row r="268" ht="15" customHeight="1">
      <c r="A268" t="inlineStr">
        <is>
          <t>A 33287-2023</t>
        </is>
      </c>
      <c r="B268" s="1" t="n">
        <v>45127</v>
      </c>
      <c r="C268" s="1" t="n">
        <v>45350</v>
      </c>
      <c r="D268" t="inlineStr">
        <is>
          <t>STOCKHOLMS LÄN</t>
        </is>
      </c>
      <c r="E268" t="inlineStr">
        <is>
          <t>NORRTÄLJE</t>
        </is>
      </c>
      <c r="F268" t="inlineStr">
        <is>
          <t>Holmen skog AB</t>
        </is>
      </c>
      <c r="G268" t="n">
        <v>3.3</v>
      </c>
      <c r="H268" t="n">
        <v>0</v>
      </c>
      <c r="I268" t="n">
        <v>0</v>
      </c>
      <c r="J268" t="n">
        <v>2</v>
      </c>
      <c r="K268" t="n">
        <v>0</v>
      </c>
      <c r="L268" t="n">
        <v>0</v>
      </c>
      <c r="M268" t="n">
        <v>0</v>
      </c>
      <c r="N268" t="n">
        <v>0</v>
      </c>
      <c r="O268" t="n">
        <v>2</v>
      </c>
      <c r="P268" t="n">
        <v>0</v>
      </c>
      <c r="Q268" t="n">
        <v>2</v>
      </c>
      <c r="R268" s="2" t="inlineStr">
        <is>
          <t>Smalsprötad bastardsvärmare
Violettkantad guldvinge</t>
        </is>
      </c>
      <c r="S268">
        <f>HYPERLINK("https://klasma.github.io/Logging_0188/artfynd/A 33287-2023 artfynd.xlsx", "A 33287-2023")</f>
        <v/>
      </c>
      <c r="T268">
        <f>HYPERLINK("https://klasma.github.io/Logging_0188/kartor/A 33287-2023 karta.png", "A 33287-2023")</f>
        <v/>
      </c>
      <c r="V268">
        <f>HYPERLINK("https://klasma.github.io/Logging_0188/klagomål/A 33287-2023 FSC-klagomål.docx", "A 33287-2023")</f>
        <v/>
      </c>
      <c r="W268">
        <f>HYPERLINK("https://klasma.github.io/Logging_0188/klagomålsmail/A 33287-2023 FSC-klagomål mail.docx", "A 33287-2023")</f>
        <v/>
      </c>
      <c r="X268">
        <f>HYPERLINK("https://klasma.github.io/Logging_0188/tillsyn/A 33287-2023 tillsynsbegäran.docx", "A 33287-2023")</f>
        <v/>
      </c>
      <c r="Y268">
        <f>HYPERLINK("https://klasma.github.io/Logging_0188/tillsynsmail/A 33287-2023 tillsynsbegäran mail.docx", "A 33287-2023")</f>
        <v/>
      </c>
    </row>
    <row r="269" ht="15" customHeight="1">
      <c r="A269" t="inlineStr">
        <is>
          <t>A 35937-2023</t>
        </is>
      </c>
      <c r="B269" s="1" t="n">
        <v>45148</v>
      </c>
      <c r="C269" s="1" t="n">
        <v>45350</v>
      </c>
      <c r="D269" t="inlineStr">
        <is>
          <t>STOCKHOLMS LÄN</t>
        </is>
      </c>
      <c r="E269" t="inlineStr">
        <is>
          <t>SÖDERTÄLJE</t>
        </is>
      </c>
      <c r="G269" t="n">
        <v>3</v>
      </c>
      <c r="H269" t="n">
        <v>0</v>
      </c>
      <c r="I269" t="n">
        <v>0</v>
      </c>
      <c r="J269" t="n">
        <v>0</v>
      </c>
      <c r="K269" t="n">
        <v>0</v>
      </c>
      <c r="L269" t="n">
        <v>1</v>
      </c>
      <c r="M269" t="n">
        <v>1</v>
      </c>
      <c r="N269" t="n">
        <v>0</v>
      </c>
      <c r="O269" t="n">
        <v>2</v>
      </c>
      <c r="P269" t="n">
        <v>2</v>
      </c>
      <c r="Q269" t="n">
        <v>2</v>
      </c>
      <c r="R269" s="2" t="inlineStr">
        <is>
          <t>Skogsalm
Ask</t>
        </is>
      </c>
      <c r="S269">
        <f>HYPERLINK("https://klasma.github.io/Logging_0181/artfynd/A 35937-2023 artfynd.xlsx", "A 35937-2023")</f>
        <v/>
      </c>
      <c r="T269">
        <f>HYPERLINK("https://klasma.github.io/Logging_0181/kartor/A 35937-2023 karta.png", "A 35937-2023")</f>
        <v/>
      </c>
      <c r="V269">
        <f>HYPERLINK("https://klasma.github.io/Logging_0181/klagomål/A 35937-2023 FSC-klagomål.docx", "A 35937-2023")</f>
        <v/>
      </c>
      <c r="W269">
        <f>HYPERLINK("https://klasma.github.io/Logging_0181/klagomålsmail/A 35937-2023 FSC-klagomål mail.docx", "A 35937-2023")</f>
        <v/>
      </c>
      <c r="X269">
        <f>HYPERLINK("https://klasma.github.io/Logging_0181/tillsyn/A 35937-2023 tillsynsbegäran.docx", "A 35937-2023")</f>
        <v/>
      </c>
      <c r="Y269">
        <f>HYPERLINK("https://klasma.github.io/Logging_0181/tillsynsmail/A 35937-2023 tillsynsbegäran mail.docx", "A 35937-2023")</f>
        <v/>
      </c>
    </row>
    <row r="270" ht="15" customHeight="1">
      <c r="A270" t="inlineStr">
        <is>
          <t>A 40444-2023</t>
        </is>
      </c>
      <c r="B270" s="1" t="n">
        <v>45170</v>
      </c>
      <c r="C270" s="1" t="n">
        <v>45350</v>
      </c>
      <c r="D270" t="inlineStr">
        <is>
          <t>STOCKHOLMS LÄN</t>
        </is>
      </c>
      <c r="E270" t="inlineStr">
        <is>
          <t>BOTKYRKA</t>
        </is>
      </c>
      <c r="F270" t="inlineStr">
        <is>
          <t>Övriga Aktiebolag</t>
        </is>
      </c>
      <c r="G270" t="n">
        <v>0.6</v>
      </c>
      <c r="H270" t="n">
        <v>2</v>
      </c>
      <c r="I270" t="n">
        <v>0</v>
      </c>
      <c r="J270" t="n">
        <v>1</v>
      </c>
      <c r="K270" t="n">
        <v>0</v>
      </c>
      <c r="L270" t="n">
        <v>0</v>
      </c>
      <c r="M270" t="n">
        <v>0</v>
      </c>
      <c r="N270" t="n">
        <v>0</v>
      </c>
      <c r="O270" t="n">
        <v>1</v>
      </c>
      <c r="P270" t="n">
        <v>0</v>
      </c>
      <c r="Q270" t="n">
        <v>2</v>
      </c>
      <c r="R270" s="2" t="inlineStr">
        <is>
          <t>Gulsparv
Kopparödla</t>
        </is>
      </c>
      <c r="S270">
        <f>HYPERLINK("https://klasma.github.io/Logging_0127/artfynd/A 40444-2023 artfynd.xlsx", "A 40444-2023")</f>
        <v/>
      </c>
      <c r="T270">
        <f>HYPERLINK("https://klasma.github.io/Logging_0127/kartor/A 40444-2023 karta.png", "A 40444-2023")</f>
        <v/>
      </c>
      <c r="V270">
        <f>HYPERLINK("https://klasma.github.io/Logging_0127/klagomål/A 40444-2023 FSC-klagomål.docx", "A 40444-2023")</f>
        <v/>
      </c>
      <c r="W270">
        <f>HYPERLINK("https://klasma.github.io/Logging_0127/klagomålsmail/A 40444-2023 FSC-klagomål mail.docx", "A 40444-2023")</f>
        <v/>
      </c>
      <c r="X270">
        <f>HYPERLINK("https://klasma.github.io/Logging_0127/tillsyn/A 40444-2023 tillsynsbegäran.docx", "A 40444-2023")</f>
        <v/>
      </c>
      <c r="Y270">
        <f>HYPERLINK("https://klasma.github.io/Logging_0127/tillsynsmail/A 40444-2023 tillsynsbegäran mail.docx", "A 40444-2023")</f>
        <v/>
      </c>
    </row>
    <row r="271" ht="15" customHeight="1">
      <c r="A271" t="inlineStr">
        <is>
          <t>A 41021-2023</t>
        </is>
      </c>
      <c r="B271" s="1" t="n">
        <v>45173</v>
      </c>
      <c r="C271" s="1" t="n">
        <v>45350</v>
      </c>
      <c r="D271" t="inlineStr">
        <is>
          <t>STOCKHOLMS LÄN</t>
        </is>
      </c>
      <c r="E271" t="inlineStr">
        <is>
          <t>VALLENTUNA</t>
        </is>
      </c>
      <c r="G271" t="n">
        <v>3</v>
      </c>
      <c r="H271" t="n">
        <v>0</v>
      </c>
      <c r="I271" t="n">
        <v>1</v>
      </c>
      <c r="J271" t="n">
        <v>1</v>
      </c>
      <c r="K271" t="n">
        <v>0</v>
      </c>
      <c r="L271" t="n">
        <v>0</v>
      </c>
      <c r="M271" t="n">
        <v>0</v>
      </c>
      <c r="N271" t="n">
        <v>0</v>
      </c>
      <c r="O271" t="n">
        <v>1</v>
      </c>
      <c r="P271" t="n">
        <v>0</v>
      </c>
      <c r="Q271" t="n">
        <v>2</v>
      </c>
      <c r="R271" s="2" t="inlineStr">
        <is>
          <t>Orange taggsvamp
Fjällig taggsvamp s.str.</t>
        </is>
      </c>
      <c r="S271">
        <f>HYPERLINK("https://klasma.github.io/Logging_0115/artfynd/A 41021-2023 artfynd.xlsx", "A 41021-2023")</f>
        <v/>
      </c>
      <c r="T271">
        <f>HYPERLINK("https://klasma.github.io/Logging_0115/kartor/A 41021-2023 karta.png", "A 41021-2023")</f>
        <v/>
      </c>
      <c r="V271">
        <f>HYPERLINK("https://klasma.github.io/Logging_0115/klagomål/A 41021-2023 FSC-klagomål.docx", "A 41021-2023")</f>
        <v/>
      </c>
      <c r="W271">
        <f>HYPERLINK("https://klasma.github.io/Logging_0115/klagomålsmail/A 41021-2023 FSC-klagomål mail.docx", "A 41021-2023")</f>
        <v/>
      </c>
      <c r="X271">
        <f>HYPERLINK("https://klasma.github.io/Logging_0115/tillsyn/A 41021-2023 tillsynsbegäran.docx", "A 41021-2023")</f>
        <v/>
      </c>
      <c r="Y271">
        <f>HYPERLINK("https://klasma.github.io/Logging_0115/tillsynsmail/A 41021-2023 tillsynsbegäran mail.docx", "A 41021-2023")</f>
        <v/>
      </c>
    </row>
    <row r="272" ht="15" customHeight="1">
      <c r="A272" t="inlineStr">
        <is>
          <t>A 43525-2023</t>
        </is>
      </c>
      <c r="B272" s="1" t="n">
        <v>45184</v>
      </c>
      <c r="C272" s="1" t="n">
        <v>45350</v>
      </c>
      <c r="D272" t="inlineStr">
        <is>
          <t>STOCKHOLMS LÄN</t>
        </is>
      </c>
      <c r="E272" t="inlineStr">
        <is>
          <t>SÖDERTÄLJE</t>
        </is>
      </c>
      <c r="F272" t="inlineStr">
        <is>
          <t>Sveaskog</t>
        </is>
      </c>
      <c r="G272" t="n">
        <v>3.7</v>
      </c>
      <c r="H272" t="n">
        <v>1</v>
      </c>
      <c r="I272" t="n">
        <v>0</v>
      </c>
      <c r="J272" t="n">
        <v>1</v>
      </c>
      <c r="K272" t="n">
        <v>0</v>
      </c>
      <c r="L272" t="n">
        <v>0</v>
      </c>
      <c r="M272" t="n">
        <v>0</v>
      </c>
      <c r="N272" t="n">
        <v>0</v>
      </c>
      <c r="O272" t="n">
        <v>1</v>
      </c>
      <c r="P272" t="n">
        <v>0</v>
      </c>
      <c r="Q272" t="n">
        <v>2</v>
      </c>
      <c r="R272" s="2" t="inlineStr">
        <is>
          <t>Slåtterfibbla
Fläcknycklar</t>
        </is>
      </c>
      <c r="S272">
        <f>HYPERLINK("https://klasma.github.io/Logging_0181/artfynd/A 43525-2023 artfynd.xlsx", "A 43525-2023")</f>
        <v/>
      </c>
      <c r="T272">
        <f>HYPERLINK("https://klasma.github.io/Logging_0181/kartor/A 43525-2023 karta.png", "A 43525-2023")</f>
        <v/>
      </c>
      <c r="V272">
        <f>HYPERLINK("https://klasma.github.io/Logging_0181/klagomål/A 43525-2023 FSC-klagomål.docx", "A 43525-2023")</f>
        <v/>
      </c>
      <c r="W272">
        <f>HYPERLINK("https://klasma.github.io/Logging_0181/klagomålsmail/A 43525-2023 FSC-klagomål mail.docx", "A 43525-2023")</f>
        <v/>
      </c>
      <c r="X272">
        <f>HYPERLINK("https://klasma.github.io/Logging_0181/tillsyn/A 43525-2023 tillsynsbegäran.docx", "A 43525-2023")</f>
        <v/>
      </c>
      <c r="Y272">
        <f>HYPERLINK("https://klasma.github.io/Logging_0181/tillsynsmail/A 43525-2023 tillsynsbegäran mail.docx", "A 43525-2023")</f>
        <v/>
      </c>
    </row>
    <row r="273" ht="15" customHeight="1">
      <c r="A273" t="inlineStr">
        <is>
          <t>A 46953-2023</t>
        </is>
      </c>
      <c r="B273" s="1" t="n">
        <v>45195</v>
      </c>
      <c r="C273" s="1" t="n">
        <v>45350</v>
      </c>
      <c r="D273" t="inlineStr">
        <is>
          <t>STOCKHOLMS LÄN</t>
        </is>
      </c>
      <c r="E273" t="inlineStr">
        <is>
          <t>BOTKYRKA</t>
        </is>
      </c>
      <c r="G273" t="n">
        <v>4.6</v>
      </c>
      <c r="H273" t="n">
        <v>0</v>
      </c>
      <c r="I273" t="n">
        <v>2</v>
      </c>
      <c r="J273" t="n">
        <v>0</v>
      </c>
      <c r="K273" t="n">
        <v>0</v>
      </c>
      <c r="L273" t="n">
        <v>0</v>
      </c>
      <c r="M273" t="n">
        <v>0</v>
      </c>
      <c r="N273" t="n">
        <v>0</v>
      </c>
      <c r="O273" t="n">
        <v>0</v>
      </c>
      <c r="P273" t="n">
        <v>0</v>
      </c>
      <c r="Q273" t="n">
        <v>2</v>
      </c>
      <c r="R273" s="2" t="inlineStr">
        <is>
          <t>Rödgul trumpetsvamp
Sotriska</t>
        </is>
      </c>
      <c r="S273">
        <f>HYPERLINK("https://klasma.github.io/Logging_0127/artfynd/A 46953-2023 artfynd.xlsx", "A 46953-2023")</f>
        <v/>
      </c>
      <c r="T273">
        <f>HYPERLINK("https://klasma.github.io/Logging_0127/kartor/A 46953-2023 karta.png", "A 46953-2023")</f>
        <v/>
      </c>
      <c r="V273">
        <f>HYPERLINK("https://klasma.github.io/Logging_0127/klagomål/A 46953-2023 FSC-klagomål.docx", "A 46953-2023")</f>
        <v/>
      </c>
      <c r="W273">
        <f>HYPERLINK("https://klasma.github.io/Logging_0127/klagomålsmail/A 46953-2023 FSC-klagomål mail.docx", "A 46953-2023")</f>
        <v/>
      </c>
      <c r="X273">
        <f>HYPERLINK("https://klasma.github.io/Logging_0127/tillsyn/A 46953-2023 tillsynsbegäran.docx", "A 46953-2023")</f>
        <v/>
      </c>
      <c r="Y273">
        <f>HYPERLINK("https://klasma.github.io/Logging_0127/tillsynsmail/A 46953-2023 tillsynsbegäran mail.docx", "A 46953-2023")</f>
        <v/>
      </c>
    </row>
    <row r="274" ht="15" customHeight="1">
      <c r="A274" t="inlineStr">
        <is>
          <t>A 47098-2023</t>
        </is>
      </c>
      <c r="B274" s="1" t="n">
        <v>45196</v>
      </c>
      <c r="C274" s="1" t="n">
        <v>45350</v>
      </c>
      <c r="D274" t="inlineStr">
        <is>
          <t>STOCKHOLMS LÄN</t>
        </is>
      </c>
      <c r="E274" t="inlineStr">
        <is>
          <t>NYNÄSHAMN</t>
        </is>
      </c>
      <c r="G274" t="n">
        <v>8</v>
      </c>
      <c r="H274" t="n">
        <v>0</v>
      </c>
      <c r="I274" t="n">
        <v>2</v>
      </c>
      <c r="J274" t="n">
        <v>0</v>
      </c>
      <c r="K274" t="n">
        <v>0</v>
      </c>
      <c r="L274" t="n">
        <v>0</v>
      </c>
      <c r="M274" t="n">
        <v>0</v>
      </c>
      <c r="N274" t="n">
        <v>0</v>
      </c>
      <c r="O274" t="n">
        <v>0</v>
      </c>
      <c r="P274" t="n">
        <v>0</v>
      </c>
      <c r="Q274" t="n">
        <v>2</v>
      </c>
      <c r="R274" s="2" t="inlineStr">
        <is>
          <t>Hasselticka
Myskmadra</t>
        </is>
      </c>
      <c r="S274">
        <f>HYPERLINK("https://klasma.github.io/Logging_0192/artfynd/A 47098-2023 artfynd.xlsx", "A 47098-2023")</f>
        <v/>
      </c>
      <c r="T274">
        <f>HYPERLINK("https://klasma.github.io/Logging_0192/kartor/A 47098-2023 karta.png", "A 47098-2023")</f>
        <v/>
      </c>
      <c r="V274">
        <f>HYPERLINK("https://klasma.github.io/Logging_0192/klagomål/A 47098-2023 FSC-klagomål.docx", "A 47098-2023")</f>
        <v/>
      </c>
      <c r="W274">
        <f>HYPERLINK("https://klasma.github.io/Logging_0192/klagomålsmail/A 47098-2023 FSC-klagomål mail.docx", "A 47098-2023")</f>
        <v/>
      </c>
      <c r="X274">
        <f>HYPERLINK("https://klasma.github.io/Logging_0192/tillsyn/A 47098-2023 tillsynsbegäran.docx", "A 47098-2023")</f>
        <v/>
      </c>
      <c r="Y274">
        <f>HYPERLINK("https://klasma.github.io/Logging_0192/tillsynsmail/A 47098-2023 tillsynsbegäran mail.docx", "A 47098-2023")</f>
        <v/>
      </c>
    </row>
    <row r="275" ht="15" customHeight="1">
      <c r="A275" t="inlineStr">
        <is>
          <t>A 49523-2023</t>
        </is>
      </c>
      <c r="B275" s="1" t="n">
        <v>45211</v>
      </c>
      <c r="C275" s="1" t="n">
        <v>45350</v>
      </c>
      <c r="D275" t="inlineStr">
        <is>
          <t>STOCKHOLMS LÄN</t>
        </is>
      </c>
      <c r="E275" t="inlineStr">
        <is>
          <t>NYNÄSHAMN</t>
        </is>
      </c>
      <c r="G275" t="n">
        <v>2.2</v>
      </c>
      <c r="H275" t="n">
        <v>0</v>
      </c>
      <c r="I275" t="n">
        <v>2</v>
      </c>
      <c r="J275" t="n">
        <v>0</v>
      </c>
      <c r="K275" t="n">
        <v>0</v>
      </c>
      <c r="L275" t="n">
        <v>0</v>
      </c>
      <c r="M275" t="n">
        <v>0</v>
      </c>
      <c r="N275" t="n">
        <v>0</v>
      </c>
      <c r="O275" t="n">
        <v>0</v>
      </c>
      <c r="P275" t="n">
        <v>0</v>
      </c>
      <c r="Q275" t="n">
        <v>2</v>
      </c>
      <c r="R275" s="2" t="inlineStr">
        <is>
          <t>Grönpyrola
Västlig hakmossa</t>
        </is>
      </c>
      <c r="S275">
        <f>HYPERLINK("https://klasma.github.io/Logging_0192/artfynd/A 49523-2023 artfynd.xlsx", "A 49523-2023")</f>
        <v/>
      </c>
      <c r="T275">
        <f>HYPERLINK("https://klasma.github.io/Logging_0192/kartor/A 49523-2023 karta.png", "A 49523-2023")</f>
        <v/>
      </c>
      <c r="V275">
        <f>HYPERLINK("https://klasma.github.io/Logging_0192/klagomål/A 49523-2023 FSC-klagomål.docx", "A 49523-2023")</f>
        <v/>
      </c>
      <c r="W275">
        <f>HYPERLINK("https://klasma.github.io/Logging_0192/klagomålsmail/A 49523-2023 FSC-klagomål mail.docx", "A 49523-2023")</f>
        <v/>
      </c>
      <c r="X275">
        <f>HYPERLINK("https://klasma.github.io/Logging_0192/tillsyn/A 49523-2023 tillsynsbegäran.docx", "A 49523-2023")</f>
        <v/>
      </c>
      <c r="Y275">
        <f>HYPERLINK("https://klasma.github.io/Logging_0192/tillsynsmail/A 49523-2023 tillsynsbegäran mail.docx", "A 49523-2023")</f>
        <v/>
      </c>
    </row>
    <row r="276" ht="15" customHeight="1">
      <c r="A276" t="inlineStr">
        <is>
          <t>A 51220-2023</t>
        </is>
      </c>
      <c r="B276" s="1" t="n">
        <v>45219</v>
      </c>
      <c r="C276" s="1" t="n">
        <v>45350</v>
      </c>
      <c r="D276" t="inlineStr">
        <is>
          <t>STOCKHOLMS LÄN</t>
        </is>
      </c>
      <c r="E276" t="inlineStr">
        <is>
          <t>NORRTÄLJE</t>
        </is>
      </c>
      <c r="G276" t="n">
        <v>7.7</v>
      </c>
      <c r="H276" t="n">
        <v>1</v>
      </c>
      <c r="I276" t="n">
        <v>0</v>
      </c>
      <c r="J276" t="n">
        <v>1</v>
      </c>
      <c r="K276" t="n">
        <v>0</v>
      </c>
      <c r="L276" t="n">
        <v>0</v>
      </c>
      <c r="M276" t="n">
        <v>0</v>
      </c>
      <c r="N276" t="n">
        <v>0</v>
      </c>
      <c r="O276" t="n">
        <v>1</v>
      </c>
      <c r="P276" t="n">
        <v>0</v>
      </c>
      <c r="Q276" t="n">
        <v>2</v>
      </c>
      <c r="R276" s="2" t="inlineStr">
        <is>
          <t>Ullticka
Blåsippa</t>
        </is>
      </c>
      <c r="S276">
        <f>HYPERLINK("https://klasma.github.io/Logging_0188/artfynd/A 51220-2023 artfynd.xlsx", "A 51220-2023")</f>
        <v/>
      </c>
      <c r="T276">
        <f>HYPERLINK("https://klasma.github.io/Logging_0188/kartor/A 51220-2023 karta.png", "A 51220-2023")</f>
        <v/>
      </c>
      <c r="V276">
        <f>HYPERLINK("https://klasma.github.io/Logging_0188/klagomål/A 51220-2023 FSC-klagomål.docx", "A 51220-2023")</f>
        <v/>
      </c>
      <c r="W276">
        <f>HYPERLINK("https://klasma.github.io/Logging_0188/klagomålsmail/A 51220-2023 FSC-klagomål mail.docx", "A 51220-2023")</f>
        <v/>
      </c>
      <c r="X276">
        <f>HYPERLINK("https://klasma.github.io/Logging_0188/tillsyn/A 51220-2023 tillsynsbegäran.docx", "A 51220-2023")</f>
        <v/>
      </c>
      <c r="Y276">
        <f>HYPERLINK("https://klasma.github.io/Logging_0188/tillsynsmail/A 51220-2023 tillsynsbegäran mail.docx", "A 51220-2023")</f>
        <v/>
      </c>
    </row>
    <row r="277" ht="15" customHeight="1">
      <c r="A277" t="inlineStr">
        <is>
          <t>A 52825-2023</t>
        </is>
      </c>
      <c r="B277" s="1" t="n">
        <v>45226</v>
      </c>
      <c r="C277" s="1" t="n">
        <v>45350</v>
      </c>
      <c r="D277" t="inlineStr">
        <is>
          <t>STOCKHOLMS LÄN</t>
        </is>
      </c>
      <c r="E277" t="inlineStr">
        <is>
          <t>NORRTÄLJE</t>
        </is>
      </c>
      <c r="G277" t="n">
        <v>1</v>
      </c>
      <c r="H277" t="n">
        <v>0</v>
      </c>
      <c r="I277" t="n">
        <v>2</v>
      </c>
      <c r="J277" t="n">
        <v>0</v>
      </c>
      <c r="K277" t="n">
        <v>0</v>
      </c>
      <c r="L277" t="n">
        <v>0</v>
      </c>
      <c r="M277" t="n">
        <v>0</v>
      </c>
      <c r="N277" t="n">
        <v>0</v>
      </c>
      <c r="O277" t="n">
        <v>0</v>
      </c>
      <c r="P277" t="n">
        <v>0</v>
      </c>
      <c r="Q277" t="n">
        <v>2</v>
      </c>
      <c r="R277" s="2" t="inlineStr">
        <is>
          <t>Fjällig taggsvamp s.str.
Strimspindling</t>
        </is>
      </c>
      <c r="S277">
        <f>HYPERLINK("https://klasma.github.io/Logging_0188/artfynd/A 52825-2023 artfynd.xlsx", "A 52825-2023")</f>
        <v/>
      </c>
      <c r="T277">
        <f>HYPERLINK("https://klasma.github.io/Logging_0188/kartor/A 52825-2023 karta.png", "A 52825-2023")</f>
        <v/>
      </c>
      <c r="V277">
        <f>HYPERLINK("https://klasma.github.io/Logging_0188/klagomål/A 52825-2023 FSC-klagomål.docx", "A 52825-2023")</f>
        <v/>
      </c>
      <c r="W277">
        <f>HYPERLINK("https://klasma.github.io/Logging_0188/klagomålsmail/A 52825-2023 FSC-klagomål mail.docx", "A 52825-2023")</f>
        <v/>
      </c>
      <c r="X277">
        <f>HYPERLINK("https://klasma.github.io/Logging_0188/tillsyn/A 52825-2023 tillsynsbegäran.docx", "A 52825-2023")</f>
        <v/>
      </c>
      <c r="Y277">
        <f>HYPERLINK("https://klasma.github.io/Logging_0188/tillsynsmail/A 52825-2023 tillsynsbegäran mail.docx", "A 52825-2023")</f>
        <v/>
      </c>
    </row>
    <row r="278" ht="15" customHeight="1">
      <c r="A278" t="inlineStr">
        <is>
          <t>A 60213-2023</t>
        </is>
      </c>
      <c r="B278" s="1" t="n">
        <v>45258</v>
      </c>
      <c r="C278" s="1" t="n">
        <v>45350</v>
      </c>
      <c r="D278" t="inlineStr">
        <is>
          <t>STOCKHOLMS LÄN</t>
        </is>
      </c>
      <c r="E278" t="inlineStr">
        <is>
          <t>HANINGE</t>
        </is>
      </c>
      <c r="G278" t="n">
        <v>3.4</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HYPERLINK("https://klasma.github.io/Logging_0136/artfynd/A 60213-2023 artfynd.xlsx", "A 60213-2023")</f>
        <v/>
      </c>
      <c r="T278">
        <f>HYPERLINK("https://klasma.github.io/Logging_0136/kartor/A 60213-2023 karta.png", "A 60213-2023")</f>
        <v/>
      </c>
      <c r="V278">
        <f>HYPERLINK("https://klasma.github.io/Logging_0136/klagomål/A 60213-2023 FSC-klagomål.docx", "A 60213-2023")</f>
        <v/>
      </c>
      <c r="W278">
        <f>HYPERLINK("https://klasma.github.io/Logging_0136/klagomålsmail/A 60213-2023 FSC-klagomål mail.docx", "A 60213-2023")</f>
        <v/>
      </c>
      <c r="X278">
        <f>HYPERLINK("https://klasma.github.io/Logging_0136/tillsyn/A 60213-2023 tillsynsbegäran.docx", "A 60213-2023")</f>
        <v/>
      </c>
      <c r="Y278">
        <f>HYPERLINK("https://klasma.github.io/Logging_0136/tillsynsmail/A 60213-2023 tillsynsbegäran mail.docx", "A 60213-2023")</f>
        <v/>
      </c>
    </row>
    <row r="279" ht="15" customHeight="1">
      <c r="A279" t="inlineStr">
        <is>
          <t>A 60375-2023</t>
        </is>
      </c>
      <c r="B279" s="1" t="n">
        <v>45259</v>
      </c>
      <c r="C279" s="1" t="n">
        <v>45350</v>
      </c>
      <c r="D279" t="inlineStr">
        <is>
          <t>STOCKHOLMS LÄN</t>
        </is>
      </c>
      <c r="E279" t="inlineStr">
        <is>
          <t>HANINGE</t>
        </is>
      </c>
      <c r="G279" t="n">
        <v>2.1</v>
      </c>
      <c r="H279" t="n">
        <v>0</v>
      </c>
      <c r="I279" t="n">
        <v>1</v>
      </c>
      <c r="J279" t="n">
        <v>1</v>
      </c>
      <c r="K279" t="n">
        <v>0</v>
      </c>
      <c r="L279" t="n">
        <v>0</v>
      </c>
      <c r="M279" t="n">
        <v>0</v>
      </c>
      <c r="N279" t="n">
        <v>0</v>
      </c>
      <c r="O279" t="n">
        <v>1</v>
      </c>
      <c r="P279" t="n">
        <v>0</v>
      </c>
      <c r="Q279" t="n">
        <v>2</v>
      </c>
      <c r="R279" s="2" t="inlineStr">
        <is>
          <t>Granticka
Granbarkgnagare</t>
        </is>
      </c>
      <c r="S279">
        <f>HYPERLINK("https://klasma.github.io/Logging_0136/artfynd/A 60375-2023 artfynd.xlsx", "A 60375-2023")</f>
        <v/>
      </c>
      <c r="T279">
        <f>HYPERLINK("https://klasma.github.io/Logging_0136/kartor/A 60375-2023 karta.png", "A 60375-2023")</f>
        <v/>
      </c>
      <c r="V279">
        <f>HYPERLINK("https://klasma.github.io/Logging_0136/klagomål/A 60375-2023 FSC-klagomål.docx", "A 60375-2023")</f>
        <v/>
      </c>
      <c r="W279">
        <f>HYPERLINK("https://klasma.github.io/Logging_0136/klagomålsmail/A 60375-2023 FSC-klagomål mail.docx", "A 60375-2023")</f>
        <v/>
      </c>
      <c r="X279">
        <f>HYPERLINK("https://klasma.github.io/Logging_0136/tillsyn/A 60375-2023 tillsynsbegäran.docx", "A 60375-2023")</f>
        <v/>
      </c>
      <c r="Y279">
        <f>HYPERLINK("https://klasma.github.io/Logging_0136/tillsynsmail/A 60375-2023 tillsynsbegäran mail.docx", "A 60375-2023")</f>
        <v/>
      </c>
    </row>
    <row r="280" ht="15" customHeight="1">
      <c r="A280" t="inlineStr">
        <is>
          <t>A 64189-2023</t>
        </is>
      </c>
      <c r="B280" s="1" t="n">
        <v>45279</v>
      </c>
      <c r="C280" s="1" t="n">
        <v>45350</v>
      </c>
      <c r="D280" t="inlineStr">
        <is>
          <t>STOCKHOLMS LÄN</t>
        </is>
      </c>
      <c r="E280" t="inlineStr">
        <is>
          <t>NYNÄSHAMN</t>
        </is>
      </c>
      <c r="G280" t="n">
        <v>1.5</v>
      </c>
      <c r="H280" t="n">
        <v>2</v>
      </c>
      <c r="I280" t="n">
        <v>0</v>
      </c>
      <c r="J280" t="n">
        <v>0</v>
      </c>
      <c r="K280" t="n">
        <v>0</v>
      </c>
      <c r="L280" t="n">
        <v>0</v>
      </c>
      <c r="M280" t="n">
        <v>0</v>
      </c>
      <c r="N280" t="n">
        <v>0</v>
      </c>
      <c r="O280" t="n">
        <v>0</v>
      </c>
      <c r="P280" t="n">
        <v>0</v>
      </c>
      <c r="Q280" t="n">
        <v>2</v>
      </c>
      <c r="R280" s="2" t="inlineStr">
        <is>
          <t>Blåsippa
Gullviva</t>
        </is>
      </c>
      <c r="S280">
        <f>HYPERLINK("https://klasma.github.io/Logging_0192/artfynd/A 64189-2023 artfynd.xlsx", "A 64189-2023")</f>
        <v/>
      </c>
      <c r="T280">
        <f>HYPERLINK("https://klasma.github.io/Logging_0192/kartor/A 64189-2023 karta.png", "A 64189-2023")</f>
        <v/>
      </c>
      <c r="V280">
        <f>HYPERLINK("https://klasma.github.io/Logging_0192/klagomål/A 64189-2023 FSC-klagomål.docx", "A 64189-2023")</f>
        <v/>
      </c>
      <c r="W280">
        <f>HYPERLINK("https://klasma.github.io/Logging_0192/klagomålsmail/A 64189-2023 FSC-klagomål mail.docx", "A 64189-2023")</f>
        <v/>
      </c>
      <c r="X280">
        <f>HYPERLINK("https://klasma.github.io/Logging_0192/tillsyn/A 64189-2023 tillsynsbegäran.docx", "A 64189-2023")</f>
        <v/>
      </c>
      <c r="Y280">
        <f>HYPERLINK("https://klasma.github.io/Logging_0192/tillsynsmail/A 64189-2023 tillsynsbegäran mail.docx", "A 64189-2023")</f>
        <v/>
      </c>
    </row>
    <row r="281" ht="15" customHeight="1">
      <c r="A281" t="inlineStr">
        <is>
          <t>A 1036-2024</t>
        </is>
      </c>
      <c r="B281" s="1" t="n">
        <v>45301</v>
      </c>
      <c r="C281" s="1" t="n">
        <v>45350</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45350</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41122-2018</t>
        </is>
      </c>
      <c r="B283" s="1" t="n">
        <v>43348</v>
      </c>
      <c r="C283" s="1" t="n">
        <v>45350</v>
      </c>
      <c r="D283" t="inlineStr">
        <is>
          <t>STOCKHOLMS LÄN</t>
        </is>
      </c>
      <c r="E283" t="inlineStr">
        <is>
          <t>SÖDERTÄLJE</t>
        </is>
      </c>
      <c r="G283" t="n">
        <v>1</v>
      </c>
      <c r="H283" t="n">
        <v>1</v>
      </c>
      <c r="I283" t="n">
        <v>0</v>
      </c>
      <c r="J283" t="n">
        <v>0</v>
      </c>
      <c r="K283" t="n">
        <v>0</v>
      </c>
      <c r="L283" t="n">
        <v>0</v>
      </c>
      <c r="M283" t="n">
        <v>0</v>
      </c>
      <c r="N283" t="n">
        <v>0</v>
      </c>
      <c r="O283" t="n">
        <v>0</v>
      </c>
      <c r="P283" t="n">
        <v>0</v>
      </c>
      <c r="Q283" t="n">
        <v>1</v>
      </c>
      <c r="R283" s="2" t="inlineStr">
        <is>
          <t>Blåsippa</t>
        </is>
      </c>
      <c r="S283">
        <f>HYPERLINK("https://klasma.github.io/Logging_0181/artfynd/A 41122-2018 artfynd.xlsx", "A 41122-2018")</f>
        <v/>
      </c>
      <c r="T283">
        <f>HYPERLINK("https://klasma.github.io/Logging_0181/kartor/A 41122-2018 karta.png", "A 41122-2018")</f>
        <v/>
      </c>
      <c r="V283">
        <f>HYPERLINK("https://klasma.github.io/Logging_0181/klagomål/A 41122-2018 FSC-klagomål.docx", "A 41122-2018")</f>
        <v/>
      </c>
      <c r="W283">
        <f>HYPERLINK("https://klasma.github.io/Logging_0181/klagomålsmail/A 41122-2018 FSC-klagomål mail.docx", "A 41122-2018")</f>
        <v/>
      </c>
      <c r="X283">
        <f>HYPERLINK("https://klasma.github.io/Logging_0181/tillsyn/A 41122-2018 tillsynsbegäran.docx", "A 41122-2018")</f>
        <v/>
      </c>
      <c r="Y283">
        <f>HYPERLINK("https://klasma.github.io/Logging_0181/tillsynsmail/A 41122-2018 tillsynsbegäran mail.docx", "A 41122-2018")</f>
        <v/>
      </c>
    </row>
    <row r="284" ht="15" customHeight="1">
      <c r="A284" t="inlineStr">
        <is>
          <t>A 57725-2018</t>
        </is>
      </c>
      <c r="B284" s="1" t="n">
        <v>43405</v>
      </c>
      <c r="C284" s="1" t="n">
        <v>45350</v>
      </c>
      <c r="D284" t="inlineStr">
        <is>
          <t>STOCKHOLMS LÄN</t>
        </is>
      </c>
      <c r="E284" t="inlineStr">
        <is>
          <t>BOTKYRKA</t>
        </is>
      </c>
      <c r="F284" t="inlineStr">
        <is>
          <t>Kommuner</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HYPERLINK("https://klasma.github.io/Logging_0127/artfynd/A 57725-2018 artfynd.xlsx", "A 57725-2018")</f>
        <v/>
      </c>
      <c r="T284">
        <f>HYPERLINK("https://klasma.github.io/Logging_0127/kartor/A 57725-2018 karta.png", "A 57725-2018")</f>
        <v/>
      </c>
      <c r="V284">
        <f>HYPERLINK("https://klasma.github.io/Logging_0127/klagomål/A 57725-2018 FSC-klagomål.docx", "A 57725-2018")</f>
        <v/>
      </c>
      <c r="W284">
        <f>HYPERLINK("https://klasma.github.io/Logging_0127/klagomålsmail/A 57725-2018 FSC-klagomål mail.docx", "A 57725-2018")</f>
        <v/>
      </c>
      <c r="X284">
        <f>HYPERLINK("https://klasma.github.io/Logging_0127/tillsyn/A 57725-2018 tillsynsbegäran.docx", "A 57725-2018")</f>
        <v/>
      </c>
      <c r="Y284">
        <f>HYPERLINK("https://klasma.github.io/Logging_0127/tillsynsmail/A 57725-2018 tillsynsbegäran mail.docx", "A 57725-2018")</f>
        <v/>
      </c>
    </row>
    <row r="285" ht="15" customHeight="1">
      <c r="A285" t="inlineStr">
        <is>
          <t>A 62482-2018</t>
        </is>
      </c>
      <c r="B285" s="1" t="n">
        <v>43415</v>
      </c>
      <c r="C285" s="1" t="n">
        <v>45350</v>
      </c>
      <c r="D285" t="inlineStr">
        <is>
          <t>STOCKHOLMS LÄN</t>
        </is>
      </c>
      <c r="E285" t="inlineStr">
        <is>
          <t>NORRTÄLJE</t>
        </is>
      </c>
      <c r="G285" t="n">
        <v>4.5</v>
      </c>
      <c r="H285" t="n">
        <v>0</v>
      </c>
      <c r="I285" t="n">
        <v>0</v>
      </c>
      <c r="J285" t="n">
        <v>1</v>
      </c>
      <c r="K285" t="n">
        <v>0</v>
      </c>
      <c r="L285" t="n">
        <v>0</v>
      </c>
      <c r="M285" t="n">
        <v>0</v>
      </c>
      <c r="N285" t="n">
        <v>0</v>
      </c>
      <c r="O285" t="n">
        <v>1</v>
      </c>
      <c r="P285" t="n">
        <v>0</v>
      </c>
      <c r="Q285" t="n">
        <v>1</v>
      </c>
      <c r="R285" s="2" t="inlineStr">
        <is>
          <t>Solvända</t>
        </is>
      </c>
      <c r="S285">
        <f>HYPERLINK("https://klasma.github.io/Logging_0188/artfynd/A 62482-2018 artfynd.xlsx", "A 62482-2018")</f>
        <v/>
      </c>
      <c r="T285">
        <f>HYPERLINK("https://klasma.github.io/Logging_0188/kartor/A 62482-2018 karta.png", "A 62482-2018")</f>
        <v/>
      </c>
      <c r="V285">
        <f>HYPERLINK("https://klasma.github.io/Logging_0188/klagomål/A 62482-2018 FSC-klagomål.docx", "A 62482-2018")</f>
        <v/>
      </c>
      <c r="W285">
        <f>HYPERLINK("https://klasma.github.io/Logging_0188/klagomålsmail/A 62482-2018 FSC-klagomål mail.docx", "A 62482-2018")</f>
        <v/>
      </c>
      <c r="X285">
        <f>HYPERLINK("https://klasma.github.io/Logging_0188/tillsyn/A 62482-2018 tillsynsbegäran.docx", "A 62482-2018")</f>
        <v/>
      </c>
      <c r="Y285">
        <f>HYPERLINK("https://klasma.github.io/Logging_0188/tillsynsmail/A 62482-2018 tillsynsbegäran mail.docx", "A 62482-2018")</f>
        <v/>
      </c>
    </row>
    <row r="286" ht="15" customHeight="1">
      <c r="A286" t="inlineStr">
        <is>
          <t>A 62403-2018</t>
        </is>
      </c>
      <c r="B286" s="1" t="n">
        <v>43416</v>
      </c>
      <c r="C286" s="1" t="n">
        <v>45350</v>
      </c>
      <c r="D286" t="inlineStr">
        <is>
          <t>STOCKHOLMS LÄN</t>
        </is>
      </c>
      <c r="E286" t="inlineStr">
        <is>
          <t>NORRTÄLJE</t>
        </is>
      </c>
      <c r="G286" t="n">
        <v>0.3</v>
      </c>
      <c r="H286" t="n">
        <v>0</v>
      </c>
      <c r="I286" t="n">
        <v>0</v>
      </c>
      <c r="J286" t="n">
        <v>1</v>
      </c>
      <c r="K286" t="n">
        <v>0</v>
      </c>
      <c r="L286" t="n">
        <v>0</v>
      </c>
      <c r="M286" t="n">
        <v>0</v>
      </c>
      <c r="N286" t="n">
        <v>0</v>
      </c>
      <c r="O286" t="n">
        <v>1</v>
      </c>
      <c r="P286" t="n">
        <v>0</v>
      </c>
      <c r="Q286" t="n">
        <v>1</v>
      </c>
      <c r="R286" s="2" t="inlineStr">
        <is>
          <t>Smalsprötad bastardsvärmare</t>
        </is>
      </c>
      <c r="S286">
        <f>HYPERLINK("https://klasma.github.io/Logging_0188/artfynd/A 62403-2018 artfynd.xlsx", "A 62403-2018")</f>
        <v/>
      </c>
      <c r="T286">
        <f>HYPERLINK("https://klasma.github.io/Logging_0188/kartor/A 62403-2018 karta.png", "A 62403-2018")</f>
        <v/>
      </c>
      <c r="V286">
        <f>HYPERLINK("https://klasma.github.io/Logging_0188/klagomål/A 62403-2018 FSC-klagomål.docx", "A 62403-2018")</f>
        <v/>
      </c>
      <c r="W286">
        <f>HYPERLINK("https://klasma.github.io/Logging_0188/klagomålsmail/A 62403-2018 FSC-klagomål mail.docx", "A 62403-2018")</f>
        <v/>
      </c>
      <c r="X286">
        <f>HYPERLINK("https://klasma.github.io/Logging_0188/tillsyn/A 62403-2018 tillsynsbegäran.docx", "A 62403-2018")</f>
        <v/>
      </c>
      <c r="Y286">
        <f>HYPERLINK("https://klasma.github.io/Logging_0188/tillsynsmail/A 62403-2018 tillsynsbegäran mail.docx", "A 62403-2018")</f>
        <v/>
      </c>
    </row>
    <row r="287" ht="15" customHeight="1">
      <c r="A287" t="inlineStr">
        <is>
          <t>A 63522-2018</t>
        </is>
      </c>
      <c r="B287" s="1" t="n">
        <v>43416</v>
      </c>
      <c r="C287" s="1" t="n">
        <v>45350</v>
      </c>
      <c r="D287" t="inlineStr">
        <is>
          <t>STOCKHOLMS LÄN</t>
        </is>
      </c>
      <c r="E287" t="inlineStr">
        <is>
          <t>ÖSTERÅKER</t>
        </is>
      </c>
      <c r="F287" t="inlineStr">
        <is>
          <t>Kyrkan</t>
        </is>
      </c>
      <c r="G287" t="n">
        <v>21.1</v>
      </c>
      <c r="H287" t="n">
        <v>0</v>
      </c>
      <c r="I287" t="n">
        <v>0</v>
      </c>
      <c r="J287" t="n">
        <v>1</v>
      </c>
      <c r="K287" t="n">
        <v>0</v>
      </c>
      <c r="L287" t="n">
        <v>0</v>
      </c>
      <c r="M287" t="n">
        <v>0</v>
      </c>
      <c r="N287" t="n">
        <v>0</v>
      </c>
      <c r="O287" t="n">
        <v>1</v>
      </c>
      <c r="P287" t="n">
        <v>0</v>
      </c>
      <c r="Q287" t="n">
        <v>1</v>
      </c>
      <c r="R287" s="2" t="inlineStr">
        <is>
          <t>Koralltaggsvamp</t>
        </is>
      </c>
      <c r="S287">
        <f>HYPERLINK("https://klasma.github.io/Logging_0117/artfynd/A 63522-2018 artfynd.xlsx", "A 63522-2018")</f>
        <v/>
      </c>
      <c r="T287">
        <f>HYPERLINK("https://klasma.github.io/Logging_0117/kartor/A 63522-2018 karta.png", "A 63522-2018")</f>
        <v/>
      </c>
      <c r="V287">
        <f>HYPERLINK("https://klasma.github.io/Logging_0117/klagomål/A 63522-2018 FSC-klagomål.docx", "A 63522-2018")</f>
        <v/>
      </c>
      <c r="W287">
        <f>HYPERLINK("https://klasma.github.io/Logging_0117/klagomålsmail/A 63522-2018 FSC-klagomål mail.docx", "A 63522-2018")</f>
        <v/>
      </c>
      <c r="X287">
        <f>HYPERLINK("https://klasma.github.io/Logging_0117/tillsyn/A 63522-2018 tillsynsbegäran.docx", "A 63522-2018")</f>
        <v/>
      </c>
      <c r="Y287">
        <f>HYPERLINK("https://klasma.github.io/Logging_0117/tillsynsmail/A 63522-2018 tillsynsbegäran mail.docx", "A 63522-2018")</f>
        <v/>
      </c>
    </row>
    <row r="288" ht="15" customHeight="1">
      <c r="A288" t="inlineStr">
        <is>
          <t>A 2207-2019</t>
        </is>
      </c>
      <c r="B288" s="1" t="n">
        <v>43475</v>
      </c>
      <c r="C288" s="1" t="n">
        <v>45350</v>
      </c>
      <c r="D288" t="inlineStr">
        <is>
          <t>STOCKHOLMS LÄN</t>
        </is>
      </c>
      <c r="E288" t="inlineStr">
        <is>
          <t>VÄRMDÖ</t>
        </is>
      </c>
      <c r="F288" t="inlineStr">
        <is>
          <t>Övriga Aktiebolag</t>
        </is>
      </c>
      <c r="G288" t="n">
        <v>2.2</v>
      </c>
      <c r="H288" t="n">
        <v>0</v>
      </c>
      <c r="I288" t="n">
        <v>1</v>
      </c>
      <c r="J288" t="n">
        <v>0</v>
      </c>
      <c r="K288" t="n">
        <v>0</v>
      </c>
      <c r="L288" t="n">
        <v>0</v>
      </c>
      <c r="M288" t="n">
        <v>0</v>
      </c>
      <c r="N288" t="n">
        <v>0</v>
      </c>
      <c r="O288" t="n">
        <v>0</v>
      </c>
      <c r="P288" t="n">
        <v>0</v>
      </c>
      <c r="Q288" t="n">
        <v>1</v>
      </c>
      <c r="R288" s="2" t="inlineStr">
        <is>
          <t>Brandticka</t>
        </is>
      </c>
      <c r="S288">
        <f>HYPERLINK("https://klasma.github.io/Logging_0120/artfynd/A 2207-2019 artfynd.xlsx", "A 2207-2019")</f>
        <v/>
      </c>
      <c r="T288">
        <f>HYPERLINK("https://klasma.github.io/Logging_0120/kartor/A 2207-2019 karta.png", "A 2207-2019")</f>
        <v/>
      </c>
      <c r="V288">
        <f>HYPERLINK("https://klasma.github.io/Logging_0120/klagomål/A 2207-2019 FSC-klagomål.docx", "A 2207-2019")</f>
        <v/>
      </c>
      <c r="W288">
        <f>HYPERLINK("https://klasma.github.io/Logging_0120/klagomålsmail/A 2207-2019 FSC-klagomål mail.docx", "A 2207-2019")</f>
        <v/>
      </c>
      <c r="X288">
        <f>HYPERLINK("https://klasma.github.io/Logging_0120/tillsyn/A 2207-2019 tillsynsbegäran.docx", "A 2207-2019")</f>
        <v/>
      </c>
      <c r="Y288">
        <f>HYPERLINK("https://klasma.github.io/Logging_0120/tillsynsmail/A 2207-2019 tillsynsbegäran mail.docx", "A 2207-2019")</f>
        <v/>
      </c>
    </row>
    <row r="289" ht="15" customHeight="1">
      <c r="A289" t="inlineStr">
        <is>
          <t>A 2647-2019</t>
        </is>
      </c>
      <c r="B289" s="1" t="n">
        <v>43478</v>
      </c>
      <c r="C289" s="1" t="n">
        <v>45350</v>
      </c>
      <c r="D289" t="inlineStr">
        <is>
          <t>STOCKHOLMS LÄN</t>
        </is>
      </c>
      <c r="E289" t="inlineStr">
        <is>
          <t>NORRTÄLJE</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HYPERLINK("https://klasma.github.io/Logging_0188/artfynd/A 2647-2019 artfynd.xlsx", "A 2647-2019")</f>
        <v/>
      </c>
      <c r="T289">
        <f>HYPERLINK("https://klasma.github.io/Logging_0188/kartor/A 2647-2019 karta.png", "A 2647-2019")</f>
        <v/>
      </c>
      <c r="V289">
        <f>HYPERLINK("https://klasma.github.io/Logging_0188/klagomål/A 2647-2019 FSC-klagomål.docx", "A 2647-2019")</f>
        <v/>
      </c>
      <c r="W289">
        <f>HYPERLINK("https://klasma.github.io/Logging_0188/klagomålsmail/A 2647-2019 FSC-klagomål mail.docx", "A 2647-2019")</f>
        <v/>
      </c>
      <c r="X289">
        <f>HYPERLINK("https://klasma.github.io/Logging_0188/tillsyn/A 2647-2019 tillsynsbegäran.docx", "A 2647-2019")</f>
        <v/>
      </c>
      <c r="Y289">
        <f>HYPERLINK("https://klasma.github.io/Logging_0188/tillsynsmail/A 2647-2019 tillsynsbegäran mail.docx", "A 2647-2019")</f>
        <v/>
      </c>
    </row>
    <row r="290" ht="15" customHeight="1">
      <c r="A290" t="inlineStr">
        <is>
          <t>A 3309-2019</t>
        </is>
      </c>
      <c r="B290" s="1" t="n">
        <v>43480</v>
      </c>
      <c r="C290" s="1" t="n">
        <v>45350</v>
      </c>
      <c r="D290" t="inlineStr">
        <is>
          <t>STOCKHOLMS LÄN</t>
        </is>
      </c>
      <c r="E290" t="inlineStr">
        <is>
          <t>NORRTÄLJE</t>
        </is>
      </c>
      <c r="G290" t="n">
        <v>12.6</v>
      </c>
      <c r="H290" t="n">
        <v>0</v>
      </c>
      <c r="I290" t="n">
        <v>1</v>
      </c>
      <c r="J290" t="n">
        <v>0</v>
      </c>
      <c r="K290" t="n">
        <v>0</v>
      </c>
      <c r="L290" t="n">
        <v>0</v>
      </c>
      <c r="M290" t="n">
        <v>0</v>
      </c>
      <c r="N290" t="n">
        <v>0</v>
      </c>
      <c r="O290" t="n">
        <v>0</v>
      </c>
      <c r="P290" t="n">
        <v>0</v>
      </c>
      <c r="Q290" t="n">
        <v>1</v>
      </c>
      <c r="R290" s="2" t="inlineStr">
        <is>
          <t>Granbräken</t>
        </is>
      </c>
      <c r="S290">
        <f>HYPERLINK("https://klasma.github.io/Logging_0188/artfynd/A 3309-2019 artfynd.xlsx", "A 3309-2019")</f>
        <v/>
      </c>
      <c r="T290">
        <f>HYPERLINK("https://klasma.github.io/Logging_0188/kartor/A 3309-2019 karta.png", "A 3309-2019")</f>
        <v/>
      </c>
      <c r="V290">
        <f>HYPERLINK("https://klasma.github.io/Logging_0188/klagomål/A 3309-2019 FSC-klagomål.docx", "A 3309-2019")</f>
        <v/>
      </c>
      <c r="W290">
        <f>HYPERLINK("https://klasma.github.io/Logging_0188/klagomålsmail/A 3309-2019 FSC-klagomål mail.docx", "A 3309-2019")</f>
        <v/>
      </c>
      <c r="X290">
        <f>HYPERLINK("https://klasma.github.io/Logging_0188/tillsyn/A 3309-2019 tillsynsbegäran.docx", "A 3309-2019")</f>
        <v/>
      </c>
      <c r="Y290">
        <f>HYPERLINK("https://klasma.github.io/Logging_0188/tillsynsmail/A 3309-2019 tillsynsbegäran mail.docx", "A 3309-2019")</f>
        <v/>
      </c>
    </row>
    <row r="291" ht="15" customHeight="1">
      <c r="A291" t="inlineStr">
        <is>
          <t>A 4067-2019</t>
        </is>
      </c>
      <c r="B291" s="1" t="n">
        <v>43482</v>
      </c>
      <c r="C291" s="1" t="n">
        <v>45350</v>
      </c>
      <c r="D291" t="inlineStr">
        <is>
          <t>STOCKHOLMS LÄN</t>
        </is>
      </c>
      <c r="E291" t="inlineStr">
        <is>
          <t>NORRTÄLJE</t>
        </is>
      </c>
      <c r="G291" t="n">
        <v>6</v>
      </c>
      <c r="H291" t="n">
        <v>0</v>
      </c>
      <c r="I291" t="n">
        <v>1</v>
      </c>
      <c r="J291" t="n">
        <v>0</v>
      </c>
      <c r="K291" t="n">
        <v>0</v>
      </c>
      <c r="L291" t="n">
        <v>0</v>
      </c>
      <c r="M291" t="n">
        <v>0</v>
      </c>
      <c r="N291" t="n">
        <v>0</v>
      </c>
      <c r="O291" t="n">
        <v>0</v>
      </c>
      <c r="P291" t="n">
        <v>0</v>
      </c>
      <c r="Q291" t="n">
        <v>1</v>
      </c>
      <c r="R291" s="2" t="inlineStr">
        <is>
          <t>Grovticka</t>
        </is>
      </c>
      <c r="S291">
        <f>HYPERLINK("https://klasma.github.io/Logging_0188/artfynd/A 4067-2019 artfynd.xlsx", "A 4067-2019")</f>
        <v/>
      </c>
      <c r="T291">
        <f>HYPERLINK("https://klasma.github.io/Logging_0188/kartor/A 4067-2019 karta.png", "A 4067-2019")</f>
        <v/>
      </c>
      <c r="V291">
        <f>HYPERLINK("https://klasma.github.io/Logging_0188/klagomål/A 4067-2019 FSC-klagomål.docx", "A 4067-2019")</f>
        <v/>
      </c>
      <c r="W291">
        <f>HYPERLINK("https://klasma.github.io/Logging_0188/klagomålsmail/A 4067-2019 FSC-klagomål mail.docx", "A 4067-2019")</f>
        <v/>
      </c>
      <c r="X291">
        <f>HYPERLINK("https://klasma.github.io/Logging_0188/tillsyn/A 4067-2019 tillsynsbegäran.docx", "A 4067-2019")</f>
        <v/>
      </c>
      <c r="Y291">
        <f>HYPERLINK("https://klasma.github.io/Logging_0188/tillsynsmail/A 4067-2019 tillsynsbegäran mail.docx", "A 4067-2019")</f>
        <v/>
      </c>
    </row>
    <row r="292" ht="15" customHeight="1">
      <c r="A292" t="inlineStr">
        <is>
          <t>A 4921-2019</t>
        </is>
      </c>
      <c r="B292" s="1" t="n">
        <v>43486</v>
      </c>
      <c r="C292" s="1" t="n">
        <v>45350</v>
      </c>
      <c r="D292" t="inlineStr">
        <is>
          <t>STOCKHOLMS LÄN</t>
        </is>
      </c>
      <c r="E292" t="inlineStr">
        <is>
          <t>VALLENTUNA</t>
        </is>
      </c>
      <c r="G292" t="n">
        <v>3.6</v>
      </c>
      <c r="H292" t="n">
        <v>1</v>
      </c>
      <c r="I292" t="n">
        <v>0</v>
      </c>
      <c r="J292" t="n">
        <v>0</v>
      </c>
      <c r="K292" t="n">
        <v>1</v>
      </c>
      <c r="L292" t="n">
        <v>0</v>
      </c>
      <c r="M292" t="n">
        <v>0</v>
      </c>
      <c r="N292" t="n">
        <v>0</v>
      </c>
      <c r="O292" t="n">
        <v>1</v>
      </c>
      <c r="P292" t="n">
        <v>1</v>
      </c>
      <c r="Q292" t="n">
        <v>1</v>
      </c>
      <c r="R292" s="2" t="inlineStr">
        <is>
          <t>Styvnate</t>
        </is>
      </c>
      <c r="S292">
        <f>HYPERLINK("https://klasma.github.io/Logging_0115/artfynd/A 4921-2019 artfynd.xlsx", "A 4921-2019")</f>
        <v/>
      </c>
      <c r="T292">
        <f>HYPERLINK("https://klasma.github.io/Logging_0115/kartor/A 4921-2019 karta.png", "A 4921-2019")</f>
        <v/>
      </c>
      <c r="V292">
        <f>HYPERLINK("https://klasma.github.io/Logging_0115/klagomål/A 4921-2019 FSC-klagomål.docx", "A 4921-2019")</f>
        <v/>
      </c>
      <c r="W292">
        <f>HYPERLINK("https://klasma.github.io/Logging_0115/klagomålsmail/A 4921-2019 FSC-klagomål mail.docx", "A 4921-2019")</f>
        <v/>
      </c>
      <c r="X292">
        <f>HYPERLINK("https://klasma.github.io/Logging_0115/tillsyn/A 4921-2019 tillsynsbegäran.docx", "A 4921-2019")</f>
        <v/>
      </c>
      <c r="Y292">
        <f>HYPERLINK("https://klasma.github.io/Logging_0115/tillsynsmail/A 4921-2019 tillsynsbegäran mail.docx", "A 4921-2019")</f>
        <v/>
      </c>
    </row>
    <row r="293" ht="15" customHeight="1">
      <c r="A293" t="inlineStr">
        <is>
          <t>A 4674-2019</t>
        </is>
      </c>
      <c r="B293" s="1" t="n">
        <v>43486</v>
      </c>
      <c r="C293" s="1" t="n">
        <v>45350</v>
      </c>
      <c r="D293" t="inlineStr">
        <is>
          <t>STOCKHOLMS LÄN</t>
        </is>
      </c>
      <c r="E293" t="inlineStr">
        <is>
          <t>VALLENTUNA</t>
        </is>
      </c>
      <c r="G293" t="n">
        <v>4.4</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4674-2019 artfynd.xlsx", "A 4674-2019")</f>
        <v/>
      </c>
      <c r="T293">
        <f>HYPERLINK("https://klasma.github.io/Logging_0115/kartor/A 4674-2019 karta.png", "A 4674-2019")</f>
        <v/>
      </c>
      <c r="V293">
        <f>HYPERLINK("https://klasma.github.io/Logging_0115/klagomål/A 4674-2019 FSC-klagomål.docx", "A 4674-2019")</f>
        <v/>
      </c>
      <c r="W293">
        <f>HYPERLINK("https://klasma.github.io/Logging_0115/klagomålsmail/A 4674-2019 FSC-klagomål mail.docx", "A 4674-2019")</f>
        <v/>
      </c>
      <c r="X293">
        <f>HYPERLINK("https://klasma.github.io/Logging_0115/tillsyn/A 4674-2019 tillsynsbegäran.docx", "A 4674-2019")</f>
        <v/>
      </c>
      <c r="Y293">
        <f>HYPERLINK("https://klasma.github.io/Logging_0115/tillsynsmail/A 4674-2019 tillsynsbegäran mail.docx", "A 4674-2019")</f>
        <v/>
      </c>
      <c r="Z293">
        <f>HYPERLINK("https://klasma.github.io/Logging_0115/fåglar/A 4674-2019 prioriterade fågelarter.docx", "A 4674-2019")</f>
        <v/>
      </c>
    </row>
    <row r="294" ht="15" customHeight="1">
      <c r="A294" t="inlineStr">
        <is>
          <t>A 5488-2019</t>
        </is>
      </c>
      <c r="B294" s="1" t="n">
        <v>43489</v>
      </c>
      <c r="C294" s="1" t="n">
        <v>45350</v>
      </c>
      <c r="D294" t="inlineStr">
        <is>
          <t>STOCKHOLMS LÄN</t>
        </is>
      </c>
      <c r="E294" t="inlineStr">
        <is>
          <t>NORRTÄLJE</t>
        </is>
      </c>
      <c r="G294" t="n">
        <v>5.5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5488-2019 artfynd.xlsx", "A 5488-2019")</f>
        <v/>
      </c>
      <c r="T294">
        <f>HYPERLINK("https://klasma.github.io/Logging_0188/kartor/A 5488-2019 karta.png", "A 5488-2019")</f>
        <v/>
      </c>
      <c r="V294">
        <f>HYPERLINK("https://klasma.github.io/Logging_0188/klagomål/A 5488-2019 FSC-klagomål.docx", "A 5488-2019")</f>
        <v/>
      </c>
      <c r="W294">
        <f>HYPERLINK("https://klasma.github.io/Logging_0188/klagomålsmail/A 5488-2019 FSC-klagomål mail.docx", "A 5488-2019")</f>
        <v/>
      </c>
      <c r="X294">
        <f>HYPERLINK("https://klasma.github.io/Logging_0188/tillsyn/A 5488-2019 tillsynsbegäran.docx", "A 5488-2019")</f>
        <v/>
      </c>
      <c r="Y294">
        <f>HYPERLINK("https://klasma.github.io/Logging_0188/tillsynsmail/A 5488-2019 tillsynsbegäran mail.docx", "A 5488-2019")</f>
        <v/>
      </c>
    </row>
    <row r="295" ht="15" customHeight="1">
      <c r="A295" t="inlineStr">
        <is>
          <t>A 5502-2019</t>
        </is>
      </c>
      <c r="B295" s="1" t="n">
        <v>43489</v>
      </c>
      <c r="C295" s="1" t="n">
        <v>45350</v>
      </c>
      <c r="D295" t="inlineStr">
        <is>
          <t>STOCKHOLMS LÄN</t>
        </is>
      </c>
      <c r="E295" t="inlineStr">
        <is>
          <t>NORRTÄLJE</t>
        </is>
      </c>
      <c r="G295" t="n">
        <v>37</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5502-2019 artfynd.xlsx", "A 5502-2019")</f>
        <v/>
      </c>
      <c r="T295">
        <f>HYPERLINK("https://klasma.github.io/Logging_0188/kartor/A 5502-2019 karta.png", "A 5502-2019")</f>
        <v/>
      </c>
      <c r="V295">
        <f>HYPERLINK("https://klasma.github.io/Logging_0188/klagomål/A 5502-2019 FSC-klagomål.docx", "A 5502-2019")</f>
        <v/>
      </c>
      <c r="W295">
        <f>HYPERLINK("https://klasma.github.io/Logging_0188/klagomålsmail/A 5502-2019 FSC-klagomål mail.docx", "A 5502-2019")</f>
        <v/>
      </c>
      <c r="X295">
        <f>HYPERLINK("https://klasma.github.io/Logging_0188/tillsyn/A 5502-2019 tillsynsbegäran.docx", "A 5502-2019")</f>
        <v/>
      </c>
      <c r="Y295">
        <f>HYPERLINK("https://klasma.github.io/Logging_0188/tillsynsmail/A 5502-2019 tillsynsbegäran mail.docx", "A 5502-2019")</f>
        <v/>
      </c>
    </row>
    <row r="296" ht="15" customHeight="1">
      <c r="A296" t="inlineStr">
        <is>
          <t>A 6523-2019</t>
        </is>
      </c>
      <c r="B296" s="1" t="n">
        <v>43494</v>
      </c>
      <c r="C296" s="1" t="n">
        <v>45350</v>
      </c>
      <c r="D296" t="inlineStr">
        <is>
          <t>STOCKHOLMS LÄN</t>
        </is>
      </c>
      <c r="E296" t="inlineStr">
        <is>
          <t>NORRTÄLJE</t>
        </is>
      </c>
      <c r="F296" t="inlineStr">
        <is>
          <t>Holmen skog AB</t>
        </is>
      </c>
      <c r="G296" t="n">
        <v>1.1</v>
      </c>
      <c r="H296" t="n">
        <v>1</v>
      </c>
      <c r="I296" t="n">
        <v>0</v>
      </c>
      <c r="J296" t="n">
        <v>0</v>
      </c>
      <c r="K296" t="n">
        <v>0</v>
      </c>
      <c r="L296" t="n">
        <v>1</v>
      </c>
      <c r="M296" t="n">
        <v>0</v>
      </c>
      <c r="N296" t="n">
        <v>0</v>
      </c>
      <c r="O296" t="n">
        <v>1</v>
      </c>
      <c r="P296" t="n">
        <v>1</v>
      </c>
      <c r="Q296" t="n">
        <v>1</v>
      </c>
      <c r="R296" s="2" t="inlineStr">
        <is>
          <t>Asknätfjäril</t>
        </is>
      </c>
      <c r="S296">
        <f>HYPERLINK("https://klasma.github.io/Logging_0188/artfynd/A 6523-2019 artfynd.xlsx", "A 6523-2019")</f>
        <v/>
      </c>
      <c r="T296">
        <f>HYPERLINK("https://klasma.github.io/Logging_0188/kartor/A 6523-2019 karta.png", "A 6523-2019")</f>
        <v/>
      </c>
      <c r="V296">
        <f>HYPERLINK("https://klasma.github.io/Logging_0188/klagomål/A 6523-2019 FSC-klagomål.docx", "A 6523-2019")</f>
        <v/>
      </c>
      <c r="W296">
        <f>HYPERLINK("https://klasma.github.io/Logging_0188/klagomålsmail/A 6523-2019 FSC-klagomål mail.docx", "A 6523-2019")</f>
        <v/>
      </c>
      <c r="X296">
        <f>HYPERLINK("https://klasma.github.io/Logging_0188/tillsyn/A 6523-2019 tillsynsbegäran.docx", "A 6523-2019")</f>
        <v/>
      </c>
      <c r="Y296">
        <f>HYPERLINK("https://klasma.github.io/Logging_0188/tillsynsmail/A 6523-2019 tillsynsbegäran mail.docx", "A 6523-2019")</f>
        <v/>
      </c>
    </row>
    <row r="297" ht="15" customHeight="1">
      <c r="A297" t="inlineStr">
        <is>
          <t>A 7739-2019</t>
        </is>
      </c>
      <c r="B297" s="1" t="n">
        <v>43500</v>
      </c>
      <c r="C297" s="1" t="n">
        <v>45350</v>
      </c>
      <c r="D297" t="inlineStr">
        <is>
          <t>STOCKHOLMS LÄN</t>
        </is>
      </c>
      <c r="E297" t="inlineStr">
        <is>
          <t>NORRTÄLJE</t>
        </is>
      </c>
      <c r="G297" t="n">
        <v>10.7</v>
      </c>
      <c r="H297" t="n">
        <v>0</v>
      </c>
      <c r="I297" t="n">
        <v>0</v>
      </c>
      <c r="J297" t="n">
        <v>1</v>
      </c>
      <c r="K297" t="n">
        <v>0</v>
      </c>
      <c r="L297" t="n">
        <v>0</v>
      </c>
      <c r="M297" t="n">
        <v>0</v>
      </c>
      <c r="N297" t="n">
        <v>0</v>
      </c>
      <c r="O297" t="n">
        <v>1</v>
      </c>
      <c r="P297" t="n">
        <v>0</v>
      </c>
      <c r="Q297" t="n">
        <v>1</v>
      </c>
      <c r="R297" s="2" t="inlineStr">
        <is>
          <t>Brunklöver</t>
        </is>
      </c>
      <c r="S297">
        <f>HYPERLINK("https://klasma.github.io/Logging_0188/artfynd/A 7739-2019 artfynd.xlsx", "A 7739-2019")</f>
        <v/>
      </c>
      <c r="T297">
        <f>HYPERLINK("https://klasma.github.io/Logging_0188/kartor/A 7739-2019 karta.png", "A 7739-2019")</f>
        <v/>
      </c>
      <c r="V297">
        <f>HYPERLINK("https://klasma.github.io/Logging_0188/klagomål/A 7739-2019 FSC-klagomål.docx", "A 7739-2019")</f>
        <v/>
      </c>
      <c r="W297">
        <f>HYPERLINK("https://klasma.github.io/Logging_0188/klagomålsmail/A 7739-2019 FSC-klagomål mail.docx", "A 7739-2019")</f>
        <v/>
      </c>
      <c r="X297">
        <f>HYPERLINK("https://klasma.github.io/Logging_0188/tillsyn/A 7739-2019 tillsynsbegäran.docx", "A 7739-2019")</f>
        <v/>
      </c>
      <c r="Y297">
        <f>HYPERLINK("https://klasma.github.io/Logging_0188/tillsynsmail/A 7739-2019 tillsynsbegäran mail.docx", "A 7739-2019")</f>
        <v/>
      </c>
    </row>
    <row r="298" ht="15" customHeight="1">
      <c r="A298" t="inlineStr">
        <is>
          <t>A 8742-2019</t>
        </is>
      </c>
      <c r="B298" s="1" t="n">
        <v>43503</v>
      </c>
      <c r="C298" s="1" t="n">
        <v>45350</v>
      </c>
      <c r="D298" t="inlineStr">
        <is>
          <t>STOCKHOLMS LÄN</t>
        </is>
      </c>
      <c r="E298" t="inlineStr">
        <is>
          <t>NORRTÄLJE</t>
        </is>
      </c>
      <c r="G298" t="n">
        <v>5.2</v>
      </c>
      <c r="H298" t="n">
        <v>0</v>
      </c>
      <c r="I298" t="n">
        <v>0</v>
      </c>
      <c r="J298" t="n">
        <v>0</v>
      </c>
      <c r="K298" t="n">
        <v>0</v>
      </c>
      <c r="L298" t="n">
        <v>1</v>
      </c>
      <c r="M298" t="n">
        <v>0</v>
      </c>
      <c r="N298" t="n">
        <v>0</v>
      </c>
      <c r="O298" t="n">
        <v>1</v>
      </c>
      <c r="P298" t="n">
        <v>1</v>
      </c>
      <c r="Q298" t="n">
        <v>1</v>
      </c>
      <c r="R298" s="2" t="inlineStr">
        <is>
          <t>Ask</t>
        </is>
      </c>
      <c r="S298">
        <f>HYPERLINK("https://klasma.github.io/Logging_0188/artfynd/A 8742-2019 artfynd.xlsx", "A 8742-2019")</f>
        <v/>
      </c>
      <c r="T298">
        <f>HYPERLINK("https://klasma.github.io/Logging_0188/kartor/A 8742-2019 karta.png", "A 8742-2019")</f>
        <v/>
      </c>
      <c r="V298">
        <f>HYPERLINK("https://klasma.github.io/Logging_0188/klagomål/A 8742-2019 FSC-klagomål.docx", "A 8742-2019")</f>
        <v/>
      </c>
      <c r="W298">
        <f>HYPERLINK("https://klasma.github.io/Logging_0188/klagomålsmail/A 8742-2019 FSC-klagomål mail.docx", "A 8742-2019")</f>
        <v/>
      </c>
      <c r="X298">
        <f>HYPERLINK("https://klasma.github.io/Logging_0188/tillsyn/A 8742-2019 tillsynsbegäran.docx", "A 8742-2019")</f>
        <v/>
      </c>
      <c r="Y298">
        <f>HYPERLINK("https://klasma.github.io/Logging_0188/tillsynsmail/A 8742-2019 tillsynsbegäran mail.docx", "A 8742-2019")</f>
        <v/>
      </c>
    </row>
    <row r="299" ht="15" customHeight="1">
      <c r="A299" t="inlineStr">
        <is>
          <t>A 9041-2019</t>
        </is>
      </c>
      <c r="B299" s="1" t="n">
        <v>43504</v>
      </c>
      <c r="C299" s="1" t="n">
        <v>45350</v>
      </c>
      <c r="D299" t="inlineStr">
        <is>
          <t>STOCKHOLMS LÄN</t>
        </is>
      </c>
      <c r="E299" t="inlineStr">
        <is>
          <t>NORRTÄLJE</t>
        </is>
      </c>
      <c r="F299" t="inlineStr">
        <is>
          <t>Holmen skog AB</t>
        </is>
      </c>
      <c r="G299" t="n">
        <v>3.5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9041-2019 artfynd.xlsx", "A 9041-2019")</f>
        <v/>
      </c>
      <c r="T299">
        <f>HYPERLINK("https://klasma.github.io/Logging_0188/kartor/A 9041-2019 karta.png", "A 9041-2019")</f>
        <v/>
      </c>
      <c r="V299">
        <f>HYPERLINK("https://klasma.github.io/Logging_0188/klagomål/A 9041-2019 FSC-klagomål.docx", "A 9041-2019")</f>
        <v/>
      </c>
      <c r="W299">
        <f>HYPERLINK("https://klasma.github.io/Logging_0188/klagomålsmail/A 9041-2019 FSC-klagomål mail.docx", "A 9041-2019")</f>
        <v/>
      </c>
      <c r="X299">
        <f>HYPERLINK("https://klasma.github.io/Logging_0188/tillsyn/A 9041-2019 tillsynsbegäran.docx", "A 9041-2019")</f>
        <v/>
      </c>
      <c r="Y299">
        <f>HYPERLINK("https://klasma.github.io/Logging_0188/tillsynsmail/A 9041-2019 tillsynsbegäran mail.docx", "A 9041-2019")</f>
        <v/>
      </c>
    </row>
    <row r="300" ht="15" customHeight="1">
      <c r="A300" t="inlineStr">
        <is>
          <t>A 9689-2019</t>
        </is>
      </c>
      <c r="B300" s="1" t="n">
        <v>43508</v>
      </c>
      <c r="C300" s="1" t="n">
        <v>45350</v>
      </c>
      <c r="D300" t="inlineStr">
        <is>
          <t>STOCKHOLMS LÄN</t>
        </is>
      </c>
      <c r="E300" t="inlineStr">
        <is>
          <t>NORRTÄLJE</t>
        </is>
      </c>
      <c r="F300" t="inlineStr">
        <is>
          <t>Övriga statliga verk och myndigheter</t>
        </is>
      </c>
      <c r="G300" t="n">
        <v>10</v>
      </c>
      <c r="H300" t="n">
        <v>0</v>
      </c>
      <c r="I300" t="n">
        <v>0</v>
      </c>
      <c r="J300" t="n">
        <v>0</v>
      </c>
      <c r="K300" t="n">
        <v>1</v>
      </c>
      <c r="L300" t="n">
        <v>0</v>
      </c>
      <c r="M300" t="n">
        <v>0</v>
      </c>
      <c r="N300" t="n">
        <v>0</v>
      </c>
      <c r="O300" t="n">
        <v>1</v>
      </c>
      <c r="P300" t="n">
        <v>1</v>
      </c>
      <c r="Q300" t="n">
        <v>1</v>
      </c>
      <c r="R300" s="2" t="inlineStr">
        <is>
          <t>Trubbdaggkåpa</t>
        </is>
      </c>
      <c r="S300">
        <f>HYPERLINK("https://klasma.github.io/Logging_0188/artfynd/A 9689-2019 artfynd.xlsx", "A 9689-2019")</f>
        <v/>
      </c>
      <c r="T300">
        <f>HYPERLINK("https://klasma.github.io/Logging_0188/kartor/A 9689-2019 karta.png", "A 9689-2019")</f>
        <v/>
      </c>
      <c r="V300">
        <f>HYPERLINK("https://klasma.github.io/Logging_0188/klagomål/A 9689-2019 FSC-klagomål.docx", "A 9689-2019")</f>
        <v/>
      </c>
      <c r="W300">
        <f>HYPERLINK("https://klasma.github.io/Logging_0188/klagomålsmail/A 9689-2019 FSC-klagomål mail.docx", "A 9689-2019")</f>
        <v/>
      </c>
      <c r="X300">
        <f>HYPERLINK("https://klasma.github.io/Logging_0188/tillsyn/A 9689-2019 tillsynsbegäran.docx", "A 9689-2019")</f>
        <v/>
      </c>
      <c r="Y300">
        <f>HYPERLINK("https://klasma.github.io/Logging_0188/tillsynsmail/A 9689-2019 tillsynsbegäran mail.docx", "A 9689-2019")</f>
        <v/>
      </c>
    </row>
    <row r="301" ht="15" customHeight="1">
      <c r="A301" t="inlineStr">
        <is>
          <t>A 9917-2019</t>
        </is>
      </c>
      <c r="B301" s="1" t="n">
        <v>43509</v>
      </c>
      <c r="C301" s="1" t="n">
        <v>45350</v>
      </c>
      <c r="D301" t="inlineStr">
        <is>
          <t>STOCKHOLMS LÄN</t>
        </is>
      </c>
      <c r="E301" t="inlineStr">
        <is>
          <t>NORRTÄLJE</t>
        </is>
      </c>
      <c r="G301" t="n">
        <v>1.7</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9917-2019 artfynd.xlsx", "A 9917-2019")</f>
        <v/>
      </c>
      <c r="T301">
        <f>HYPERLINK("https://klasma.github.io/Logging_0188/kartor/A 9917-2019 karta.png", "A 9917-2019")</f>
        <v/>
      </c>
      <c r="V301">
        <f>HYPERLINK("https://klasma.github.io/Logging_0188/klagomål/A 9917-2019 FSC-klagomål.docx", "A 9917-2019")</f>
        <v/>
      </c>
      <c r="W301">
        <f>HYPERLINK("https://klasma.github.io/Logging_0188/klagomålsmail/A 9917-2019 FSC-klagomål mail.docx", "A 9917-2019")</f>
        <v/>
      </c>
      <c r="X301">
        <f>HYPERLINK("https://klasma.github.io/Logging_0188/tillsyn/A 9917-2019 tillsynsbegäran.docx", "A 9917-2019")</f>
        <v/>
      </c>
      <c r="Y301">
        <f>HYPERLINK("https://klasma.github.io/Logging_0188/tillsynsmail/A 9917-2019 tillsynsbegäran mail.docx", "A 9917-2019")</f>
        <v/>
      </c>
    </row>
    <row r="302" ht="15" customHeight="1">
      <c r="A302" t="inlineStr">
        <is>
          <t>A 10426-2019</t>
        </is>
      </c>
      <c r="B302" s="1" t="n">
        <v>43511</v>
      </c>
      <c r="C302" s="1" t="n">
        <v>45350</v>
      </c>
      <c r="D302" t="inlineStr">
        <is>
          <t>STOCKHOLMS LÄN</t>
        </is>
      </c>
      <c r="E302" t="inlineStr">
        <is>
          <t>NORRTÄLJE</t>
        </is>
      </c>
      <c r="G302" t="n">
        <v>19</v>
      </c>
      <c r="H302" t="n">
        <v>1</v>
      </c>
      <c r="I302" t="n">
        <v>0</v>
      </c>
      <c r="J302" t="n">
        <v>0</v>
      </c>
      <c r="K302" t="n">
        <v>0</v>
      </c>
      <c r="L302" t="n">
        <v>0</v>
      </c>
      <c r="M302" t="n">
        <v>0</v>
      </c>
      <c r="N302" t="n">
        <v>0</v>
      </c>
      <c r="O302" t="n">
        <v>0</v>
      </c>
      <c r="P302" t="n">
        <v>0</v>
      </c>
      <c r="Q302" t="n">
        <v>1</v>
      </c>
      <c r="R302" s="2" t="inlineStr">
        <is>
          <t>Grönvit nattviol</t>
        </is>
      </c>
      <c r="S302">
        <f>HYPERLINK("https://klasma.github.io/Logging_0188/artfynd/A 10426-2019 artfynd.xlsx", "A 10426-2019")</f>
        <v/>
      </c>
      <c r="T302">
        <f>HYPERLINK("https://klasma.github.io/Logging_0188/kartor/A 10426-2019 karta.png", "A 10426-2019")</f>
        <v/>
      </c>
      <c r="V302">
        <f>HYPERLINK("https://klasma.github.io/Logging_0188/klagomål/A 10426-2019 FSC-klagomål.docx", "A 10426-2019")</f>
        <v/>
      </c>
      <c r="W302">
        <f>HYPERLINK("https://klasma.github.io/Logging_0188/klagomålsmail/A 10426-2019 FSC-klagomål mail.docx", "A 10426-2019")</f>
        <v/>
      </c>
      <c r="X302">
        <f>HYPERLINK("https://klasma.github.io/Logging_0188/tillsyn/A 10426-2019 tillsynsbegäran.docx", "A 10426-2019")</f>
        <v/>
      </c>
      <c r="Y302">
        <f>HYPERLINK("https://klasma.github.io/Logging_0188/tillsynsmail/A 10426-2019 tillsynsbegäran mail.docx", "A 10426-2019")</f>
        <v/>
      </c>
    </row>
    <row r="303" ht="15" customHeight="1">
      <c r="A303" t="inlineStr">
        <is>
          <t>A 11462-2019</t>
        </is>
      </c>
      <c r="B303" s="1" t="n">
        <v>43517</v>
      </c>
      <c r="C303" s="1" t="n">
        <v>45350</v>
      </c>
      <c r="D303" t="inlineStr">
        <is>
          <t>STOCKHOLMS LÄN</t>
        </is>
      </c>
      <c r="E303" t="inlineStr">
        <is>
          <t>NORRTÄLJE</t>
        </is>
      </c>
      <c r="G303" t="n">
        <v>3.4</v>
      </c>
      <c r="H303" t="n">
        <v>0</v>
      </c>
      <c r="I303" t="n">
        <v>0</v>
      </c>
      <c r="J303" t="n">
        <v>1</v>
      </c>
      <c r="K303" t="n">
        <v>0</v>
      </c>
      <c r="L303" t="n">
        <v>0</v>
      </c>
      <c r="M303" t="n">
        <v>0</v>
      </c>
      <c r="N303" t="n">
        <v>0</v>
      </c>
      <c r="O303" t="n">
        <v>1</v>
      </c>
      <c r="P303" t="n">
        <v>0</v>
      </c>
      <c r="Q303" t="n">
        <v>1</v>
      </c>
      <c r="R303" s="2" t="inlineStr">
        <is>
          <t>Åkerkulla</t>
        </is>
      </c>
      <c r="S303">
        <f>HYPERLINK("https://klasma.github.io/Logging_0188/artfynd/A 11462-2019 artfynd.xlsx", "A 11462-2019")</f>
        <v/>
      </c>
      <c r="T303">
        <f>HYPERLINK("https://klasma.github.io/Logging_0188/kartor/A 11462-2019 karta.png", "A 11462-2019")</f>
        <v/>
      </c>
      <c r="V303">
        <f>HYPERLINK("https://klasma.github.io/Logging_0188/klagomål/A 11462-2019 FSC-klagomål.docx", "A 11462-2019")</f>
        <v/>
      </c>
      <c r="W303">
        <f>HYPERLINK("https://klasma.github.io/Logging_0188/klagomålsmail/A 11462-2019 FSC-klagomål mail.docx", "A 11462-2019")</f>
        <v/>
      </c>
      <c r="X303">
        <f>HYPERLINK("https://klasma.github.io/Logging_0188/tillsyn/A 11462-2019 tillsynsbegäran.docx", "A 11462-2019")</f>
        <v/>
      </c>
      <c r="Y303">
        <f>HYPERLINK("https://klasma.github.io/Logging_0188/tillsynsmail/A 11462-2019 tillsynsbegäran mail.docx", "A 11462-2019")</f>
        <v/>
      </c>
    </row>
    <row r="304" ht="15" customHeight="1">
      <c r="A304" t="inlineStr">
        <is>
          <t>A 11815-2019</t>
        </is>
      </c>
      <c r="B304" s="1" t="n">
        <v>43521</v>
      </c>
      <c r="C304" s="1" t="n">
        <v>45350</v>
      </c>
      <c r="D304" t="inlineStr">
        <is>
          <t>STOCKHOLMS LÄN</t>
        </is>
      </c>
      <c r="E304" t="inlineStr">
        <is>
          <t>NORRTÄLJE</t>
        </is>
      </c>
      <c r="G304" t="n">
        <v>3</v>
      </c>
      <c r="H304" t="n">
        <v>0</v>
      </c>
      <c r="I304" t="n">
        <v>1</v>
      </c>
      <c r="J304" t="n">
        <v>0</v>
      </c>
      <c r="K304" t="n">
        <v>0</v>
      </c>
      <c r="L304" t="n">
        <v>0</v>
      </c>
      <c r="M304" t="n">
        <v>0</v>
      </c>
      <c r="N304" t="n">
        <v>0</v>
      </c>
      <c r="O304" t="n">
        <v>0</v>
      </c>
      <c r="P304" t="n">
        <v>0</v>
      </c>
      <c r="Q304" t="n">
        <v>1</v>
      </c>
      <c r="R304" s="2" t="inlineStr">
        <is>
          <t>Fjällig taggsvamp s.str.</t>
        </is>
      </c>
      <c r="S304">
        <f>HYPERLINK("https://klasma.github.io/Logging_0188/artfynd/A 11815-2019 artfynd.xlsx", "A 11815-2019")</f>
        <v/>
      </c>
      <c r="T304">
        <f>HYPERLINK("https://klasma.github.io/Logging_0188/kartor/A 11815-2019 karta.png", "A 11815-2019")</f>
        <v/>
      </c>
      <c r="V304">
        <f>HYPERLINK("https://klasma.github.io/Logging_0188/klagomål/A 11815-2019 FSC-klagomål.docx", "A 11815-2019")</f>
        <v/>
      </c>
      <c r="W304">
        <f>HYPERLINK("https://klasma.github.io/Logging_0188/klagomålsmail/A 11815-2019 FSC-klagomål mail.docx", "A 11815-2019")</f>
        <v/>
      </c>
      <c r="X304">
        <f>HYPERLINK("https://klasma.github.io/Logging_0188/tillsyn/A 11815-2019 tillsynsbegäran.docx", "A 11815-2019")</f>
        <v/>
      </c>
      <c r="Y304">
        <f>HYPERLINK("https://klasma.github.io/Logging_0188/tillsynsmail/A 11815-2019 tillsynsbegäran mail.docx", "A 11815-2019")</f>
        <v/>
      </c>
    </row>
    <row r="305" ht="15" customHeight="1">
      <c r="A305" t="inlineStr">
        <is>
          <t>A 13207-2019</t>
        </is>
      </c>
      <c r="B305" s="1" t="n">
        <v>43528</v>
      </c>
      <c r="C305" s="1" t="n">
        <v>45350</v>
      </c>
      <c r="D305" t="inlineStr">
        <is>
          <t>STOCKHOLMS LÄN</t>
        </is>
      </c>
      <c r="E305" t="inlineStr">
        <is>
          <t>NORRTÄLJE</t>
        </is>
      </c>
      <c r="G305" t="n">
        <v>2.5</v>
      </c>
      <c r="H305" t="n">
        <v>1</v>
      </c>
      <c r="I305" t="n">
        <v>0</v>
      </c>
      <c r="J305" t="n">
        <v>0</v>
      </c>
      <c r="K305" t="n">
        <v>1</v>
      </c>
      <c r="L305" t="n">
        <v>0</v>
      </c>
      <c r="M305" t="n">
        <v>0</v>
      </c>
      <c r="N305" t="n">
        <v>0</v>
      </c>
      <c r="O305" t="n">
        <v>1</v>
      </c>
      <c r="P305" t="n">
        <v>1</v>
      </c>
      <c r="Q305" t="n">
        <v>1</v>
      </c>
      <c r="R305" s="2" t="inlineStr">
        <is>
          <t>Hällebräcka</t>
        </is>
      </c>
      <c r="S305">
        <f>HYPERLINK("https://klasma.github.io/Logging_0188/artfynd/A 13207-2019 artfynd.xlsx", "A 13207-2019")</f>
        <v/>
      </c>
      <c r="T305">
        <f>HYPERLINK("https://klasma.github.io/Logging_0188/kartor/A 13207-2019 karta.png", "A 13207-2019")</f>
        <v/>
      </c>
      <c r="V305">
        <f>HYPERLINK("https://klasma.github.io/Logging_0188/klagomål/A 13207-2019 FSC-klagomål.docx", "A 13207-2019")</f>
        <v/>
      </c>
      <c r="W305">
        <f>HYPERLINK("https://klasma.github.io/Logging_0188/klagomålsmail/A 13207-2019 FSC-klagomål mail.docx", "A 13207-2019")</f>
        <v/>
      </c>
      <c r="X305">
        <f>HYPERLINK("https://klasma.github.io/Logging_0188/tillsyn/A 13207-2019 tillsynsbegäran.docx", "A 13207-2019")</f>
        <v/>
      </c>
      <c r="Y305">
        <f>HYPERLINK("https://klasma.github.io/Logging_0188/tillsynsmail/A 13207-2019 tillsynsbegäran mail.docx", "A 13207-2019")</f>
        <v/>
      </c>
    </row>
    <row r="306" ht="15" customHeight="1">
      <c r="A306" t="inlineStr">
        <is>
          <t>A 13444-2019</t>
        </is>
      </c>
      <c r="B306" s="1" t="n">
        <v>43529</v>
      </c>
      <c r="C306" s="1" t="n">
        <v>45350</v>
      </c>
      <c r="D306" t="inlineStr">
        <is>
          <t>STOCKHOLMS LÄN</t>
        </is>
      </c>
      <c r="E306" t="inlineStr">
        <is>
          <t>NORRTÄLJE</t>
        </is>
      </c>
      <c r="F306" t="inlineStr">
        <is>
          <t>Kommuner</t>
        </is>
      </c>
      <c r="G306" t="n">
        <v>1</v>
      </c>
      <c r="H306" t="n">
        <v>0</v>
      </c>
      <c r="I306" t="n">
        <v>0</v>
      </c>
      <c r="J306" t="n">
        <v>1</v>
      </c>
      <c r="K306" t="n">
        <v>0</v>
      </c>
      <c r="L306" t="n">
        <v>0</v>
      </c>
      <c r="M306" t="n">
        <v>0</v>
      </c>
      <c r="N306" t="n">
        <v>0</v>
      </c>
      <c r="O306" t="n">
        <v>1</v>
      </c>
      <c r="P306" t="n">
        <v>0</v>
      </c>
      <c r="Q306" t="n">
        <v>1</v>
      </c>
      <c r="R306" s="2" t="inlineStr">
        <is>
          <t>Ullticka</t>
        </is>
      </c>
      <c r="S306">
        <f>HYPERLINK("https://klasma.github.io/Logging_0188/artfynd/A 13444-2019 artfynd.xlsx", "A 13444-2019")</f>
        <v/>
      </c>
      <c r="T306">
        <f>HYPERLINK("https://klasma.github.io/Logging_0188/kartor/A 13444-2019 karta.png", "A 13444-2019")</f>
        <v/>
      </c>
      <c r="V306">
        <f>HYPERLINK("https://klasma.github.io/Logging_0188/klagomål/A 13444-2019 FSC-klagomål.docx", "A 13444-2019")</f>
        <v/>
      </c>
      <c r="W306">
        <f>HYPERLINK("https://klasma.github.io/Logging_0188/klagomålsmail/A 13444-2019 FSC-klagomål mail.docx", "A 13444-2019")</f>
        <v/>
      </c>
      <c r="X306">
        <f>HYPERLINK("https://klasma.github.io/Logging_0188/tillsyn/A 13444-2019 tillsynsbegäran.docx", "A 13444-2019")</f>
        <v/>
      </c>
      <c r="Y306">
        <f>HYPERLINK("https://klasma.github.io/Logging_0188/tillsynsmail/A 13444-2019 tillsynsbegäran mail.docx", "A 13444-2019")</f>
        <v/>
      </c>
    </row>
    <row r="307" ht="15" customHeight="1">
      <c r="A307" t="inlineStr">
        <is>
          <t>A 15113-2019</t>
        </is>
      </c>
      <c r="B307" s="1" t="n">
        <v>43539</v>
      </c>
      <c r="C307" s="1" t="n">
        <v>45350</v>
      </c>
      <c r="D307" t="inlineStr">
        <is>
          <t>STOCKHOLMS LÄN</t>
        </is>
      </c>
      <c r="E307" t="inlineStr">
        <is>
          <t>NORRTÄLJE</t>
        </is>
      </c>
      <c r="F307" t="inlineStr">
        <is>
          <t>Kommuner</t>
        </is>
      </c>
      <c r="G307" t="n">
        <v>0.7</v>
      </c>
      <c r="H307" t="n">
        <v>0</v>
      </c>
      <c r="I307" t="n">
        <v>0</v>
      </c>
      <c r="J307" t="n">
        <v>1</v>
      </c>
      <c r="K307" t="n">
        <v>0</v>
      </c>
      <c r="L307" t="n">
        <v>0</v>
      </c>
      <c r="M307" t="n">
        <v>0</v>
      </c>
      <c r="N307" t="n">
        <v>0</v>
      </c>
      <c r="O307" t="n">
        <v>1</v>
      </c>
      <c r="P307" t="n">
        <v>0</v>
      </c>
      <c r="Q307" t="n">
        <v>1</v>
      </c>
      <c r="R307" s="2" t="inlineStr">
        <is>
          <t>Blå taggsvamp</t>
        </is>
      </c>
      <c r="S307">
        <f>HYPERLINK("https://klasma.github.io/Logging_0188/artfynd/A 15113-2019 artfynd.xlsx", "A 15113-2019")</f>
        <v/>
      </c>
      <c r="T307">
        <f>HYPERLINK("https://klasma.github.io/Logging_0188/kartor/A 15113-2019 karta.png", "A 15113-2019")</f>
        <v/>
      </c>
      <c r="V307">
        <f>HYPERLINK("https://klasma.github.io/Logging_0188/klagomål/A 15113-2019 FSC-klagomål.docx", "A 15113-2019")</f>
        <v/>
      </c>
      <c r="W307">
        <f>HYPERLINK("https://klasma.github.io/Logging_0188/klagomålsmail/A 15113-2019 FSC-klagomål mail.docx", "A 15113-2019")</f>
        <v/>
      </c>
      <c r="X307">
        <f>HYPERLINK("https://klasma.github.io/Logging_0188/tillsyn/A 15113-2019 tillsynsbegäran.docx", "A 15113-2019")</f>
        <v/>
      </c>
      <c r="Y307">
        <f>HYPERLINK("https://klasma.github.io/Logging_0188/tillsynsmail/A 15113-2019 tillsynsbegäran mail.docx", "A 15113-2019")</f>
        <v/>
      </c>
    </row>
    <row r="308" ht="15" customHeight="1">
      <c r="A308" t="inlineStr">
        <is>
          <t>A 17526-2019</t>
        </is>
      </c>
      <c r="B308" s="1" t="n">
        <v>43553</v>
      </c>
      <c r="C308" s="1" t="n">
        <v>45350</v>
      </c>
      <c r="D308" t="inlineStr">
        <is>
          <t>STOCKHOLMS LÄN</t>
        </is>
      </c>
      <c r="E308" t="inlineStr">
        <is>
          <t>NORRTÄLJE</t>
        </is>
      </c>
      <c r="G308" t="n">
        <v>2.1</v>
      </c>
      <c r="H308" t="n">
        <v>0</v>
      </c>
      <c r="I308" t="n">
        <v>0</v>
      </c>
      <c r="J308" t="n">
        <v>1</v>
      </c>
      <c r="K308" t="n">
        <v>0</v>
      </c>
      <c r="L308" t="n">
        <v>0</v>
      </c>
      <c r="M308" t="n">
        <v>0</v>
      </c>
      <c r="N308" t="n">
        <v>0</v>
      </c>
      <c r="O308" t="n">
        <v>1</v>
      </c>
      <c r="P308" t="n">
        <v>0</v>
      </c>
      <c r="Q308" t="n">
        <v>1</v>
      </c>
      <c r="R308" s="2" t="inlineStr">
        <is>
          <t>Leptoporus erubescens</t>
        </is>
      </c>
      <c r="S308">
        <f>HYPERLINK("https://klasma.github.io/Logging_0188/artfynd/A 17526-2019 artfynd.xlsx", "A 17526-2019")</f>
        <v/>
      </c>
      <c r="T308">
        <f>HYPERLINK("https://klasma.github.io/Logging_0188/kartor/A 17526-2019 karta.png", "A 17526-2019")</f>
        <v/>
      </c>
      <c r="V308">
        <f>HYPERLINK("https://klasma.github.io/Logging_0188/klagomål/A 17526-2019 FSC-klagomål.docx", "A 17526-2019")</f>
        <v/>
      </c>
      <c r="W308">
        <f>HYPERLINK("https://klasma.github.io/Logging_0188/klagomålsmail/A 17526-2019 FSC-klagomål mail.docx", "A 17526-2019")</f>
        <v/>
      </c>
      <c r="X308">
        <f>HYPERLINK("https://klasma.github.io/Logging_0188/tillsyn/A 17526-2019 tillsynsbegäran.docx", "A 17526-2019")</f>
        <v/>
      </c>
      <c r="Y308">
        <f>HYPERLINK("https://klasma.github.io/Logging_0188/tillsynsmail/A 17526-2019 tillsynsbegäran mail.docx", "A 17526-2019")</f>
        <v/>
      </c>
    </row>
    <row r="309" ht="15" customHeight="1">
      <c r="A309" t="inlineStr">
        <is>
          <t>A 20740-2019</t>
        </is>
      </c>
      <c r="B309" s="1" t="n">
        <v>43573</v>
      </c>
      <c r="C309" s="1" t="n">
        <v>45350</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Slåtterfibbla</t>
        </is>
      </c>
      <c r="S309">
        <f>HYPERLINK("https://klasma.github.io/Logging_0188/artfynd/A 20740-2019 artfynd.xlsx", "A 20740-2019")</f>
        <v/>
      </c>
      <c r="T309">
        <f>HYPERLINK("https://klasma.github.io/Logging_0188/kartor/A 20740-2019 karta.png", "A 20740-2019")</f>
        <v/>
      </c>
      <c r="V309">
        <f>HYPERLINK("https://klasma.github.io/Logging_0188/klagomål/A 20740-2019 FSC-klagomål.docx", "A 20740-2019")</f>
        <v/>
      </c>
      <c r="W309">
        <f>HYPERLINK("https://klasma.github.io/Logging_0188/klagomålsmail/A 20740-2019 FSC-klagomål mail.docx", "A 20740-2019")</f>
        <v/>
      </c>
      <c r="X309">
        <f>HYPERLINK("https://klasma.github.io/Logging_0188/tillsyn/A 20740-2019 tillsynsbegäran.docx", "A 20740-2019")</f>
        <v/>
      </c>
      <c r="Y309">
        <f>HYPERLINK("https://klasma.github.io/Logging_0188/tillsynsmail/A 20740-2019 tillsynsbegäran mail.docx", "A 20740-2019")</f>
        <v/>
      </c>
    </row>
    <row r="310" ht="15" customHeight="1">
      <c r="A310" t="inlineStr">
        <is>
          <t>A 24362-2019</t>
        </is>
      </c>
      <c r="B310" s="1" t="n">
        <v>43599</v>
      </c>
      <c r="C310" s="1" t="n">
        <v>45350</v>
      </c>
      <c r="D310" t="inlineStr">
        <is>
          <t>STOCKHOLMS LÄN</t>
        </is>
      </c>
      <c r="E310" t="inlineStr">
        <is>
          <t>NYNÄSHAMN</t>
        </is>
      </c>
      <c r="F310" t="inlineStr">
        <is>
          <t>Kommuner</t>
        </is>
      </c>
      <c r="G310" t="n">
        <v>2.3</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24362-2019 artfynd.xlsx", "A 24362-2019")</f>
        <v/>
      </c>
      <c r="T310">
        <f>HYPERLINK("https://klasma.github.io/Logging_0192/kartor/A 24362-2019 karta.png", "A 24362-2019")</f>
        <v/>
      </c>
      <c r="V310">
        <f>HYPERLINK("https://klasma.github.io/Logging_0192/klagomål/A 24362-2019 FSC-klagomål.docx", "A 24362-2019")</f>
        <v/>
      </c>
      <c r="W310">
        <f>HYPERLINK("https://klasma.github.io/Logging_0192/klagomålsmail/A 24362-2019 FSC-klagomål mail.docx", "A 24362-2019")</f>
        <v/>
      </c>
      <c r="X310">
        <f>HYPERLINK("https://klasma.github.io/Logging_0192/tillsyn/A 24362-2019 tillsynsbegäran.docx", "A 24362-2019")</f>
        <v/>
      </c>
      <c r="Y310">
        <f>HYPERLINK("https://klasma.github.io/Logging_0192/tillsynsmail/A 24362-2019 tillsynsbegäran mail.docx", "A 24362-2019")</f>
        <v/>
      </c>
    </row>
    <row r="311" ht="15" customHeight="1">
      <c r="A311" t="inlineStr">
        <is>
          <t>A 26275-2019</t>
        </is>
      </c>
      <c r="B311" s="1" t="n">
        <v>43611</v>
      </c>
      <c r="C311" s="1" t="n">
        <v>45350</v>
      </c>
      <c r="D311" t="inlineStr">
        <is>
          <t>STOCKHOLMS LÄN</t>
        </is>
      </c>
      <c r="E311" t="inlineStr">
        <is>
          <t>NORRTÄLJE</t>
        </is>
      </c>
      <c r="G311" t="n">
        <v>0.5</v>
      </c>
      <c r="H311" t="n">
        <v>0</v>
      </c>
      <c r="I311" t="n">
        <v>1</v>
      </c>
      <c r="J311" t="n">
        <v>0</v>
      </c>
      <c r="K311" t="n">
        <v>0</v>
      </c>
      <c r="L311" t="n">
        <v>0</v>
      </c>
      <c r="M311" t="n">
        <v>0</v>
      </c>
      <c r="N311" t="n">
        <v>0</v>
      </c>
      <c r="O311" t="n">
        <v>0</v>
      </c>
      <c r="P311" t="n">
        <v>0</v>
      </c>
      <c r="Q311" t="n">
        <v>1</v>
      </c>
      <c r="R311" s="2" t="inlineStr">
        <is>
          <t>Blåmossa</t>
        </is>
      </c>
      <c r="S311">
        <f>HYPERLINK("https://klasma.github.io/Logging_0188/artfynd/A 26275-2019 artfynd.xlsx", "A 26275-2019")</f>
        <v/>
      </c>
      <c r="T311">
        <f>HYPERLINK("https://klasma.github.io/Logging_0188/kartor/A 26275-2019 karta.png", "A 26275-2019")</f>
        <v/>
      </c>
      <c r="V311">
        <f>HYPERLINK("https://klasma.github.io/Logging_0188/klagomål/A 26275-2019 FSC-klagomål.docx", "A 26275-2019")</f>
        <v/>
      </c>
      <c r="W311">
        <f>HYPERLINK("https://klasma.github.io/Logging_0188/klagomålsmail/A 26275-2019 FSC-klagomål mail.docx", "A 26275-2019")</f>
        <v/>
      </c>
      <c r="X311">
        <f>HYPERLINK("https://klasma.github.io/Logging_0188/tillsyn/A 26275-2019 tillsynsbegäran.docx", "A 26275-2019")</f>
        <v/>
      </c>
      <c r="Y311">
        <f>HYPERLINK("https://klasma.github.io/Logging_0188/tillsynsmail/A 26275-2019 tillsynsbegäran mail.docx", "A 26275-2019")</f>
        <v/>
      </c>
    </row>
    <row r="312" ht="15" customHeight="1">
      <c r="A312" t="inlineStr">
        <is>
          <t>A 27513-2019</t>
        </is>
      </c>
      <c r="B312" s="1" t="n">
        <v>43619</v>
      </c>
      <c r="C312" s="1" t="n">
        <v>45350</v>
      </c>
      <c r="D312" t="inlineStr">
        <is>
          <t>STOCKHOLMS LÄN</t>
        </is>
      </c>
      <c r="E312" t="inlineStr">
        <is>
          <t>SÖDERTÄLJE</t>
        </is>
      </c>
      <c r="F312" t="inlineStr">
        <is>
          <t>Sveaskog</t>
        </is>
      </c>
      <c r="G312" t="n">
        <v>2.9</v>
      </c>
      <c r="H312" t="n">
        <v>0</v>
      </c>
      <c r="I312" t="n">
        <v>0</v>
      </c>
      <c r="J312" t="n">
        <v>1</v>
      </c>
      <c r="K312" t="n">
        <v>0</v>
      </c>
      <c r="L312" t="n">
        <v>0</v>
      </c>
      <c r="M312" t="n">
        <v>0</v>
      </c>
      <c r="N312" t="n">
        <v>0</v>
      </c>
      <c r="O312" t="n">
        <v>1</v>
      </c>
      <c r="P312" t="n">
        <v>0</v>
      </c>
      <c r="Q312" t="n">
        <v>1</v>
      </c>
      <c r="R312" s="2" t="inlineStr">
        <is>
          <t>Vedtrappmossa</t>
        </is>
      </c>
      <c r="S312">
        <f>HYPERLINK("https://klasma.github.io/Logging_0181/artfynd/A 27513-2019 artfynd.xlsx", "A 27513-2019")</f>
        <v/>
      </c>
      <c r="T312">
        <f>HYPERLINK("https://klasma.github.io/Logging_0181/kartor/A 27513-2019 karta.png", "A 27513-2019")</f>
        <v/>
      </c>
      <c r="V312">
        <f>HYPERLINK("https://klasma.github.io/Logging_0181/klagomål/A 27513-2019 FSC-klagomål.docx", "A 27513-2019")</f>
        <v/>
      </c>
      <c r="W312">
        <f>HYPERLINK("https://klasma.github.io/Logging_0181/klagomålsmail/A 27513-2019 FSC-klagomål mail.docx", "A 27513-2019")</f>
        <v/>
      </c>
      <c r="X312">
        <f>HYPERLINK("https://klasma.github.io/Logging_0181/tillsyn/A 27513-2019 tillsynsbegäran.docx", "A 27513-2019")</f>
        <v/>
      </c>
      <c r="Y312">
        <f>HYPERLINK("https://klasma.github.io/Logging_0181/tillsynsmail/A 27513-2019 tillsynsbegäran mail.docx", "A 27513-2019")</f>
        <v/>
      </c>
    </row>
    <row r="313" ht="15" customHeight="1">
      <c r="A313" t="inlineStr">
        <is>
          <t>A 29513-2019</t>
        </is>
      </c>
      <c r="B313" s="1" t="n">
        <v>43627</v>
      </c>
      <c r="C313" s="1" t="n">
        <v>45350</v>
      </c>
      <c r="D313" t="inlineStr">
        <is>
          <t>STOCKHOLMS LÄN</t>
        </is>
      </c>
      <c r="E313" t="inlineStr">
        <is>
          <t>HANINGE</t>
        </is>
      </c>
      <c r="G313" t="n">
        <v>2.1</v>
      </c>
      <c r="H313" t="n">
        <v>1</v>
      </c>
      <c r="I313" t="n">
        <v>0</v>
      </c>
      <c r="J313" t="n">
        <v>1</v>
      </c>
      <c r="K313" t="n">
        <v>0</v>
      </c>
      <c r="L313" t="n">
        <v>0</v>
      </c>
      <c r="M313" t="n">
        <v>0</v>
      </c>
      <c r="N313" t="n">
        <v>0</v>
      </c>
      <c r="O313" t="n">
        <v>1</v>
      </c>
      <c r="P313" t="n">
        <v>0</v>
      </c>
      <c r="Q313" t="n">
        <v>1</v>
      </c>
      <c r="R313" s="2" t="inlineStr">
        <is>
          <t>Spillkråka</t>
        </is>
      </c>
      <c r="S313">
        <f>HYPERLINK("https://klasma.github.io/Logging_0136/artfynd/A 29513-2019 artfynd.xlsx", "A 29513-2019")</f>
        <v/>
      </c>
      <c r="T313">
        <f>HYPERLINK("https://klasma.github.io/Logging_0136/kartor/A 29513-2019 karta.png", "A 29513-2019")</f>
        <v/>
      </c>
      <c r="V313">
        <f>HYPERLINK("https://klasma.github.io/Logging_0136/klagomål/A 29513-2019 FSC-klagomål.docx", "A 29513-2019")</f>
        <v/>
      </c>
      <c r="W313">
        <f>HYPERLINK("https://klasma.github.io/Logging_0136/klagomålsmail/A 29513-2019 FSC-klagomål mail.docx", "A 29513-2019")</f>
        <v/>
      </c>
      <c r="X313">
        <f>HYPERLINK("https://klasma.github.io/Logging_0136/tillsyn/A 29513-2019 tillsynsbegäran.docx", "A 29513-2019")</f>
        <v/>
      </c>
      <c r="Y313">
        <f>HYPERLINK("https://klasma.github.io/Logging_0136/tillsynsmail/A 29513-2019 tillsynsbegäran mail.docx", "A 29513-2019")</f>
        <v/>
      </c>
      <c r="Z313">
        <f>HYPERLINK("https://klasma.github.io/Logging_0136/fåglar/A 29513-2019 prioriterade fågelarter.docx", "A 29513-2019")</f>
        <v/>
      </c>
    </row>
    <row r="314" ht="15" customHeight="1">
      <c r="A314" t="inlineStr">
        <is>
          <t>A 30011-2019</t>
        </is>
      </c>
      <c r="B314" s="1" t="n">
        <v>43633</v>
      </c>
      <c r="C314" s="1" t="n">
        <v>45350</v>
      </c>
      <c r="D314" t="inlineStr">
        <is>
          <t>STOCKHOLMS LÄN</t>
        </is>
      </c>
      <c r="E314" t="inlineStr">
        <is>
          <t>NORRTÄLJE</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HYPERLINK("https://klasma.github.io/Logging_0188/artfynd/A 30011-2019 artfynd.xlsx", "A 30011-2019")</f>
        <v/>
      </c>
      <c r="T314">
        <f>HYPERLINK("https://klasma.github.io/Logging_0188/kartor/A 30011-2019 karta.png", "A 30011-2019")</f>
        <v/>
      </c>
      <c r="V314">
        <f>HYPERLINK("https://klasma.github.io/Logging_0188/klagomål/A 30011-2019 FSC-klagomål.docx", "A 30011-2019")</f>
        <v/>
      </c>
      <c r="W314">
        <f>HYPERLINK("https://klasma.github.io/Logging_0188/klagomålsmail/A 30011-2019 FSC-klagomål mail.docx", "A 30011-2019")</f>
        <v/>
      </c>
      <c r="X314">
        <f>HYPERLINK("https://klasma.github.io/Logging_0188/tillsyn/A 30011-2019 tillsynsbegäran.docx", "A 30011-2019")</f>
        <v/>
      </c>
      <c r="Y314">
        <f>HYPERLINK("https://klasma.github.io/Logging_0188/tillsynsmail/A 30011-2019 tillsynsbegäran mail.docx", "A 30011-2019")</f>
        <v/>
      </c>
    </row>
    <row r="315" ht="15" customHeight="1">
      <c r="A315" t="inlineStr">
        <is>
          <t>A 31167-2019</t>
        </is>
      </c>
      <c r="B315" s="1" t="n">
        <v>43635</v>
      </c>
      <c r="C315" s="1" t="n">
        <v>45350</v>
      </c>
      <c r="D315" t="inlineStr">
        <is>
          <t>STOCKHOLMS LÄN</t>
        </is>
      </c>
      <c r="E315" t="inlineStr">
        <is>
          <t>EKERÖ</t>
        </is>
      </c>
      <c r="F315" t="inlineStr">
        <is>
          <t>Övriga statliga verk och myndigheter</t>
        </is>
      </c>
      <c r="G315" t="n">
        <v>3.7</v>
      </c>
      <c r="H315" t="n">
        <v>1</v>
      </c>
      <c r="I315" t="n">
        <v>0</v>
      </c>
      <c r="J315" t="n">
        <v>0</v>
      </c>
      <c r="K315" t="n">
        <v>1</v>
      </c>
      <c r="L315" t="n">
        <v>0</v>
      </c>
      <c r="M315" t="n">
        <v>0</v>
      </c>
      <c r="N315" t="n">
        <v>0</v>
      </c>
      <c r="O315" t="n">
        <v>1</v>
      </c>
      <c r="P315" t="n">
        <v>1</v>
      </c>
      <c r="Q315" t="n">
        <v>1</v>
      </c>
      <c r="R315" s="2" t="inlineStr">
        <is>
          <t>Läderbagge</t>
        </is>
      </c>
      <c r="S315">
        <f>HYPERLINK("https://klasma.github.io/Logging_0125/artfynd/A 31167-2019 artfynd.xlsx", "A 31167-2019")</f>
        <v/>
      </c>
      <c r="T315">
        <f>HYPERLINK("https://klasma.github.io/Logging_0125/kartor/A 31167-2019 karta.png", "A 31167-2019")</f>
        <v/>
      </c>
      <c r="V315">
        <f>HYPERLINK("https://klasma.github.io/Logging_0125/klagomål/A 31167-2019 FSC-klagomål.docx", "A 31167-2019")</f>
        <v/>
      </c>
      <c r="W315">
        <f>HYPERLINK("https://klasma.github.io/Logging_0125/klagomålsmail/A 31167-2019 FSC-klagomål mail.docx", "A 31167-2019")</f>
        <v/>
      </c>
      <c r="X315">
        <f>HYPERLINK("https://klasma.github.io/Logging_0125/tillsyn/A 31167-2019 tillsynsbegäran.docx", "A 31167-2019")</f>
        <v/>
      </c>
      <c r="Y315">
        <f>HYPERLINK("https://klasma.github.io/Logging_0125/tillsynsmail/A 31167-2019 tillsynsbegäran mail.docx", "A 31167-2019")</f>
        <v/>
      </c>
    </row>
    <row r="316" ht="15" customHeight="1">
      <c r="A316" t="inlineStr">
        <is>
          <t>A 38137-2019</t>
        </is>
      </c>
      <c r="B316" s="1" t="n">
        <v>43684</v>
      </c>
      <c r="C316" s="1" t="n">
        <v>45350</v>
      </c>
      <c r="D316" t="inlineStr">
        <is>
          <t>STOCKHOLMS LÄN</t>
        </is>
      </c>
      <c r="E316" t="inlineStr">
        <is>
          <t>NORRTÄLJE</t>
        </is>
      </c>
      <c r="G316" t="n">
        <v>12.9</v>
      </c>
      <c r="H316" t="n">
        <v>0</v>
      </c>
      <c r="I316" t="n">
        <v>0</v>
      </c>
      <c r="J316" t="n">
        <v>1</v>
      </c>
      <c r="K316" t="n">
        <v>0</v>
      </c>
      <c r="L316" t="n">
        <v>0</v>
      </c>
      <c r="M316" t="n">
        <v>0</v>
      </c>
      <c r="N316" t="n">
        <v>0</v>
      </c>
      <c r="O316" t="n">
        <v>1</v>
      </c>
      <c r="P316" t="n">
        <v>0</v>
      </c>
      <c r="Q316" t="n">
        <v>1</v>
      </c>
      <c r="R316" s="2" t="inlineStr">
        <is>
          <t>Rutskinn</t>
        </is>
      </c>
      <c r="S316">
        <f>HYPERLINK("https://klasma.github.io/Logging_0188/artfynd/A 38137-2019 artfynd.xlsx", "A 38137-2019")</f>
        <v/>
      </c>
      <c r="T316">
        <f>HYPERLINK("https://klasma.github.io/Logging_0188/kartor/A 38137-2019 karta.png", "A 38137-2019")</f>
        <v/>
      </c>
      <c r="V316">
        <f>HYPERLINK("https://klasma.github.io/Logging_0188/klagomål/A 38137-2019 FSC-klagomål.docx", "A 38137-2019")</f>
        <v/>
      </c>
      <c r="W316">
        <f>HYPERLINK("https://klasma.github.io/Logging_0188/klagomålsmail/A 38137-2019 FSC-klagomål mail.docx", "A 38137-2019")</f>
        <v/>
      </c>
      <c r="X316">
        <f>HYPERLINK("https://klasma.github.io/Logging_0188/tillsyn/A 38137-2019 tillsynsbegäran.docx", "A 38137-2019")</f>
        <v/>
      </c>
      <c r="Y316">
        <f>HYPERLINK("https://klasma.github.io/Logging_0188/tillsynsmail/A 38137-2019 tillsynsbegäran mail.docx", "A 38137-2019")</f>
        <v/>
      </c>
    </row>
    <row r="317" ht="15" customHeight="1">
      <c r="A317" t="inlineStr">
        <is>
          <t>A 52009-2019</t>
        </is>
      </c>
      <c r="B317" s="1" t="n">
        <v>43742</v>
      </c>
      <c r="C317" s="1" t="n">
        <v>45350</v>
      </c>
      <c r="D317" t="inlineStr">
        <is>
          <t>STOCKHOLMS LÄN</t>
        </is>
      </c>
      <c r="E317" t="inlineStr">
        <is>
          <t>SALEM</t>
        </is>
      </c>
      <c r="G317" t="n">
        <v>16.9</v>
      </c>
      <c r="H317" t="n">
        <v>0</v>
      </c>
      <c r="I317" t="n">
        <v>1</v>
      </c>
      <c r="J317" t="n">
        <v>0</v>
      </c>
      <c r="K317" t="n">
        <v>0</v>
      </c>
      <c r="L317" t="n">
        <v>0</v>
      </c>
      <c r="M317" t="n">
        <v>0</v>
      </c>
      <c r="N317" t="n">
        <v>0</v>
      </c>
      <c r="O317" t="n">
        <v>0</v>
      </c>
      <c r="P317" t="n">
        <v>0</v>
      </c>
      <c r="Q317" t="n">
        <v>1</v>
      </c>
      <c r="R317" s="2" t="inlineStr">
        <is>
          <t>Svart trolldruva</t>
        </is>
      </c>
      <c r="S317">
        <f>HYPERLINK("https://klasma.github.io/Logging_0128/artfynd/A 52009-2019 artfynd.xlsx", "A 52009-2019")</f>
        <v/>
      </c>
      <c r="T317">
        <f>HYPERLINK("https://klasma.github.io/Logging_0128/kartor/A 52009-2019 karta.png", "A 52009-2019")</f>
        <v/>
      </c>
      <c r="V317">
        <f>HYPERLINK("https://klasma.github.io/Logging_0128/klagomål/A 52009-2019 FSC-klagomål.docx", "A 52009-2019")</f>
        <v/>
      </c>
      <c r="W317">
        <f>HYPERLINK("https://klasma.github.io/Logging_0128/klagomålsmail/A 52009-2019 FSC-klagomål mail.docx", "A 52009-2019")</f>
        <v/>
      </c>
      <c r="X317">
        <f>HYPERLINK("https://klasma.github.io/Logging_0128/tillsyn/A 52009-2019 tillsynsbegäran.docx", "A 52009-2019")</f>
        <v/>
      </c>
      <c r="Y317">
        <f>HYPERLINK("https://klasma.github.io/Logging_0128/tillsynsmail/A 52009-2019 tillsynsbegäran mail.docx", "A 52009-2019")</f>
        <v/>
      </c>
    </row>
    <row r="318" ht="15" customHeight="1">
      <c r="A318" t="inlineStr">
        <is>
          <t>A 54231-2019</t>
        </is>
      </c>
      <c r="B318" s="1" t="n">
        <v>43753</v>
      </c>
      <c r="C318" s="1" t="n">
        <v>45350</v>
      </c>
      <c r="D318" t="inlineStr">
        <is>
          <t>STOCKHOLMS LÄN</t>
        </is>
      </c>
      <c r="E318" t="inlineStr">
        <is>
          <t>EKERÖ</t>
        </is>
      </c>
      <c r="G318" t="n">
        <v>6.2</v>
      </c>
      <c r="H318" t="n">
        <v>1</v>
      </c>
      <c r="I318" t="n">
        <v>0</v>
      </c>
      <c r="J318" t="n">
        <v>0</v>
      </c>
      <c r="K318" t="n">
        <v>1</v>
      </c>
      <c r="L318" t="n">
        <v>0</v>
      </c>
      <c r="M318" t="n">
        <v>0</v>
      </c>
      <c r="N318" t="n">
        <v>0</v>
      </c>
      <c r="O318" t="n">
        <v>1</v>
      </c>
      <c r="P318" t="n">
        <v>1</v>
      </c>
      <c r="Q318" t="n">
        <v>1</v>
      </c>
      <c r="R318" s="2" t="inlineStr">
        <is>
          <t>Bombmurkla</t>
        </is>
      </c>
      <c r="S318">
        <f>HYPERLINK("https://klasma.github.io/Logging_0125/artfynd/A 54231-2019 artfynd.xlsx", "A 54231-2019")</f>
        <v/>
      </c>
      <c r="T318">
        <f>HYPERLINK("https://klasma.github.io/Logging_0125/kartor/A 54231-2019 karta.png", "A 54231-2019")</f>
        <v/>
      </c>
      <c r="V318">
        <f>HYPERLINK("https://klasma.github.io/Logging_0125/klagomål/A 54231-2019 FSC-klagomål.docx", "A 54231-2019")</f>
        <v/>
      </c>
      <c r="W318">
        <f>HYPERLINK("https://klasma.github.io/Logging_0125/klagomålsmail/A 54231-2019 FSC-klagomål mail.docx", "A 54231-2019")</f>
        <v/>
      </c>
      <c r="X318">
        <f>HYPERLINK("https://klasma.github.io/Logging_0125/tillsyn/A 54231-2019 tillsynsbegäran.docx", "A 54231-2019")</f>
        <v/>
      </c>
      <c r="Y318">
        <f>HYPERLINK("https://klasma.github.io/Logging_0125/tillsynsmail/A 54231-2019 tillsynsbegäran mail.docx", "A 54231-2019")</f>
        <v/>
      </c>
    </row>
    <row r="319" ht="15" customHeight="1">
      <c r="A319" t="inlineStr">
        <is>
          <t>A 59643-2019</t>
        </is>
      </c>
      <c r="B319" s="1" t="n">
        <v>43776</v>
      </c>
      <c r="C319" s="1" t="n">
        <v>45350</v>
      </c>
      <c r="D319" t="inlineStr">
        <is>
          <t>STOCKHOLMS LÄN</t>
        </is>
      </c>
      <c r="E319" t="inlineStr">
        <is>
          <t>SÖDERTÄLJE</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HYPERLINK("https://klasma.github.io/Logging_0181/artfynd/A 59643-2019 artfynd.xlsx", "A 59643-2019")</f>
        <v/>
      </c>
      <c r="T319">
        <f>HYPERLINK("https://klasma.github.io/Logging_0181/kartor/A 59643-2019 karta.png", "A 59643-2019")</f>
        <v/>
      </c>
      <c r="U319">
        <f>HYPERLINK("https://klasma.github.io/Logging_0181/knärot/A 59643-2019 karta knärot.png", "A 59643-2019")</f>
        <v/>
      </c>
      <c r="V319">
        <f>HYPERLINK("https://klasma.github.io/Logging_0181/klagomål/A 59643-2019 FSC-klagomål.docx", "A 59643-2019")</f>
        <v/>
      </c>
      <c r="W319">
        <f>HYPERLINK("https://klasma.github.io/Logging_0181/klagomålsmail/A 59643-2019 FSC-klagomål mail.docx", "A 59643-2019")</f>
        <v/>
      </c>
      <c r="X319">
        <f>HYPERLINK("https://klasma.github.io/Logging_0181/tillsyn/A 59643-2019 tillsynsbegäran.docx", "A 59643-2019")</f>
        <v/>
      </c>
      <c r="Y319">
        <f>HYPERLINK("https://klasma.github.io/Logging_0181/tillsynsmail/A 59643-2019 tillsynsbegäran mail.docx", "A 59643-2019")</f>
        <v/>
      </c>
    </row>
    <row r="320" ht="15" customHeight="1">
      <c r="A320" t="inlineStr">
        <is>
          <t>A 64849-2019</t>
        </is>
      </c>
      <c r="B320" s="1" t="n">
        <v>43801</v>
      </c>
      <c r="C320" s="1" t="n">
        <v>45350</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Skogsklocka</t>
        </is>
      </c>
      <c r="S320">
        <f>HYPERLINK("https://klasma.github.io/Logging_0188/artfynd/A 64849-2019 artfynd.xlsx", "A 64849-2019")</f>
        <v/>
      </c>
      <c r="T320">
        <f>HYPERLINK("https://klasma.github.io/Logging_0188/kartor/A 64849-2019 karta.png", "A 64849-2019")</f>
        <v/>
      </c>
      <c r="V320">
        <f>HYPERLINK("https://klasma.github.io/Logging_0188/klagomål/A 64849-2019 FSC-klagomål.docx", "A 64849-2019")</f>
        <v/>
      </c>
      <c r="W320">
        <f>HYPERLINK("https://klasma.github.io/Logging_0188/klagomålsmail/A 64849-2019 FSC-klagomål mail.docx", "A 64849-2019")</f>
        <v/>
      </c>
      <c r="X320">
        <f>HYPERLINK("https://klasma.github.io/Logging_0188/tillsyn/A 64849-2019 tillsynsbegäran.docx", "A 64849-2019")</f>
        <v/>
      </c>
      <c r="Y320">
        <f>HYPERLINK("https://klasma.github.io/Logging_0188/tillsynsmail/A 64849-2019 tillsynsbegäran mail.docx", "A 64849-2019")</f>
        <v/>
      </c>
    </row>
    <row r="321" ht="15" customHeight="1">
      <c r="A321" t="inlineStr">
        <is>
          <t>A 68108-2019</t>
        </is>
      </c>
      <c r="B321" s="1" t="n">
        <v>43817</v>
      </c>
      <c r="C321" s="1" t="n">
        <v>45350</v>
      </c>
      <c r="D321" t="inlineStr">
        <is>
          <t>STOCKHOLMS LÄN</t>
        </is>
      </c>
      <c r="E321" t="inlineStr">
        <is>
          <t>VALLENTUNA</t>
        </is>
      </c>
      <c r="G321" t="n">
        <v>3.2</v>
      </c>
      <c r="H321" t="n">
        <v>0</v>
      </c>
      <c r="I321" t="n">
        <v>1</v>
      </c>
      <c r="J321" t="n">
        <v>0</v>
      </c>
      <c r="K321" t="n">
        <v>0</v>
      </c>
      <c r="L321" t="n">
        <v>0</v>
      </c>
      <c r="M321" t="n">
        <v>0</v>
      </c>
      <c r="N321" t="n">
        <v>0</v>
      </c>
      <c r="O321" t="n">
        <v>0</v>
      </c>
      <c r="P321" t="n">
        <v>0</v>
      </c>
      <c r="Q321" t="n">
        <v>1</v>
      </c>
      <c r="R321" s="2" t="inlineStr">
        <is>
          <t>Skuggblåslav</t>
        </is>
      </c>
      <c r="S321">
        <f>HYPERLINK("https://klasma.github.io/Logging_0115/artfynd/A 68108-2019 artfynd.xlsx", "A 68108-2019")</f>
        <v/>
      </c>
      <c r="T321">
        <f>HYPERLINK("https://klasma.github.io/Logging_0115/kartor/A 68108-2019 karta.png", "A 68108-2019")</f>
        <v/>
      </c>
      <c r="V321">
        <f>HYPERLINK("https://klasma.github.io/Logging_0115/klagomål/A 68108-2019 FSC-klagomål.docx", "A 68108-2019")</f>
        <v/>
      </c>
      <c r="W321">
        <f>HYPERLINK("https://klasma.github.io/Logging_0115/klagomålsmail/A 68108-2019 FSC-klagomål mail.docx", "A 68108-2019")</f>
        <v/>
      </c>
      <c r="X321">
        <f>HYPERLINK("https://klasma.github.io/Logging_0115/tillsyn/A 68108-2019 tillsynsbegäran.docx", "A 68108-2019")</f>
        <v/>
      </c>
      <c r="Y321">
        <f>HYPERLINK("https://klasma.github.io/Logging_0115/tillsynsmail/A 68108-2019 tillsynsbegäran mail.docx", "A 68108-2019")</f>
        <v/>
      </c>
    </row>
    <row r="322" ht="15" customHeight="1">
      <c r="A322" t="inlineStr">
        <is>
          <t>A 68107-2019</t>
        </is>
      </c>
      <c r="B322" s="1" t="n">
        <v>43817</v>
      </c>
      <c r="C322" s="1" t="n">
        <v>45350</v>
      </c>
      <c r="D322" t="inlineStr">
        <is>
          <t>STOCKHOLMS LÄN</t>
        </is>
      </c>
      <c r="E322" t="inlineStr">
        <is>
          <t>VALLENTUNA</t>
        </is>
      </c>
      <c r="G322" t="n">
        <v>11.4</v>
      </c>
      <c r="H322" t="n">
        <v>0</v>
      </c>
      <c r="I322" t="n">
        <v>0</v>
      </c>
      <c r="J322" t="n">
        <v>1</v>
      </c>
      <c r="K322" t="n">
        <v>0</v>
      </c>
      <c r="L322" t="n">
        <v>0</v>
      </c>
      <c r="M322" t="n">
        <v>0</v>
      </c>
      <c r="N322" t="n">
        <v>0</v>
      </c>
      <c r="O322" t="n">
        <v>1</v>
      </c>
      <c r="P322" t="n">
        <v>0</v>
      </c>
      <c r="Q322" t="n">
        <v>1</v>
      </c>
      <c r="R322" s="2" t="inlineStr">
        <is>
          <t>Tallticka</t>
        </is>
      </c>
      <c r="S322">
        <f>HYPERLINK("https://klasma.github.io/Logging_0115/artfynd/A 68107-2019 artfynd.xlsx", "A 68107-2019")</f>
        <v/>
      </c>
      <c r="T322">
        <f>HYPERLINK("https://klasma.github.io/Logging_0115/kartor/A 68107-2019 karta.png", "A 68107-2019")</f>
        <v/>
      </c>
      <c r="V322">
        <f>HYPERLINK("https://klasma.github.io/Logging_0115/klagomål/A 68107-2019 FSC-klagomål.docx", "A 68107-2019")</f>
        <v/>
      </c>
      <c r="W322">
        <f>HYPERLINK("https://klasma.github.io/Logging_0115/klagomålsmail/A 68107-2019 FSC-klagomål mail.docx", "A 68107-2019")</f>
        <v/>
      </c>
      <c r="X322">
        <f>HYPERLINK("https://klasma.github.io/Logging_0115/tillsyn/A 68107-2019 tillsynsbegäran.docx", "A 68107-2019")</f>
        <v/>
      </c>
      <c r="Y322">
        <f>HYPERLINK("https://klasma.github.io/Logging_0115/tillsynsmail/A 68107-2019 tillsynsbegäran mail.docx", "A 68107-2019")</f>
        <v/>
      </c>
    </row>
    <row r="323" ht="15" customHeight="1">
      <c r="A323" t="inlineStr">
        <is>
          <t>A 68231-2019</t>
        </is>
      </c>
      <c r="B323" s="1" t="n">
        <v>43817</v>
      </c>
      <c r="C323" s="1" t="n">
        <v>45350</v>
      </c>
      <c r="D323" t="inlineStr">
        <is>
          <t>STOCKHOLMS LÄN</t>
        </is>
      </c>
      <c r="E323" t="inlineStr">
        <is>
          <t>HANINGE</t>
        </is>
      </c>
      <c r="F323" t="inlineStr">
        <is>
          <t>Övriga statliga verk och myndigheter</t>
        </is>
      </c>
      <c r="G323" t="n">
        <v>80.5</v>
      </c>
      <c r="H323" t="n">
        <v>1</v>
      </c>
      <c r="I323" t="n">
        <v>0</v>
      </c>
      <c r="J323" t="n">
        <v>1</v>
      </c>
      <c r="K323" t="n">
        <v>0</v>
      </c>
      <c r="L323" t="n">
        <v>0</v>
      </c>
      <c r="M323" t="n">
        <v>0</v>
      </c>
      <c r="N323" t="n">
        <v>0</v>
      </c>
      <c r="O323" t="n">
        <v>1</v>
      </c>
      <c r="P323" t="n">
        <v>0</v>
      </c>
      <c r="Q323" t="n">
        <v>1</v>
      </c>
      <c r="R323" s="2" t="inlineStr">
        <is>
          <t>Havsörn</t>
        </is>
      </c>
      <c r="S323">
        <f>HYPERLINK("https://klasma.github.io/Logging_0136/artfynd/A 68231-2019 artfynd.xlsx", "A 68231-2019")</f>
        <v/>
      </c>
      <c r="T323">
        <f>HYPERLINK("https://klasma.github.io/Logging_0136/kartor/A 68231-2019 karta.png", "A 68231-2019")</f>
        <v/>
      </c>
      <c r="V323">
        <f>HYPERLINK("https://klasma.github.io/Logging_0136/klagomål/A 68231-2019 FSC-klagomål.docx", "A 68231-2019")</f>
        <v/>
      </c>
      <c r="W323">
        <f>HYPERLINK("https://klasma.github.io/Logging_0136/klagomålsmail/A 68231-2019 FSC-klagomål mail.docx", "A 68231-2019")</f>
        <v/>
      </c>
      <c r="X323">
        <f>HYPERLINK("https://klasma.github.io/Logging_0136/tillsyn/A 68231-2019 tillsynsbegäran.docx", "A 68231-2019")</f>
        <v/>
      </c>
      <c r="Y323">
        <f>HYPERLINK("https://klasma.github.io/Logging_0136/tillsynsmail/A 68231-2019 tillsynsbegäran mail.docx", "A 68231-2019")</f>
        <v/>
      </c>
      <c r="Z323">
        <f>HYPERLINK("https://klasma.github.io/Logging_0136/fåglar/A 68231-2019 prioriterade fågelarter.docx", "A 68231-2019")</f>
        <v/>
      </c>
    </row>
    <row r="324" ht="15" customHeight="1">
      <c r="A324" t="inlineStr">
        <is>
          <t>A 2796-2020</t>
        </is>
      </c>
      <c r="B324" s="1" t="n">
        <v>43850</v>
      </c>
      <c r="C324" s="1" t="n">
        <v>45350</v>
      </c>
      <c r="D324" t="inlineStr">
        <is>
          <t>STOCKHOLMS LÄN</t>
        </is>
      </c>
      <c r="E324" t="inlineStr">
        <is>
          <t>NORRTÄLJE</t>
        </is>
      </c>
      <c r="G324" t="n">
        <v>5.6</v>
      </c>
      <c r="H324" t="n">
        <v>1</v>
      </c>
      <c r="I324" t="n">
        <v>1</v>
      </c>
      <c r="J324" t="n">
        <v>0</v>
      </c>
      <c r="K324" t="n">
        <v>0</v>
      </c>
      <c r="L324" t="n">
        <v>0</v>
      </c>
      <c r="M324" t="n">
        <v>0</v>
      </c>
      <c r="N324" t="n">
        <v>0</v>
      </c>
      <c r="O324" t="n">
        <v>0</v>
      </c>
      <c r="P324" t="n">
        <v>0</v>
      </c>
      <c r="Q324" t="n">
        <v>1</v>
      </c>
      <c r="R324" s="2" t="inlineStr">
        <is>
          <t>Spindelblomster</t>
        </is>
      </c>
      <c r="S324">
        <f>HYPERLINK("https://klasma.github.io/Logging_0188/artfynd/A 2796-2020 artfynd.xlsx", "A 2796-2020")</f>
        <v/>
      </c>
      <c r="T324">
        <f>HYPERLINK("https://klasma.github.io/Logging_0188/kartor/A 2796-2020 karta.png", "A 2796-2020")</f>
        <v/>
      </c>
      <c r="V324">
        <f>HYPERLINK("https://klasma.github.io/Logging_0188/klagomål/A 2796-2020 FSC-klagomål.docx", "A 2796-2020")</f>
        <v/>
      </c>
      <c r="W324">
        <f>HYPERLINK("https://klasma.github.io/Logging_0188/klagomålsmail/A 2796-2020 FSC-klagomål mail.docx", "A 2796-2020")</f>
        <v/>
      </c>
      <c r="X324">
        <f>HYPERLINK("https://klasma.github.io/Logging_0188/tillsyn/A 2796-2020 tillsynsbegäran.docx", "A 2796-2020")</f>
        <v/>
      </c>
      <c r="Y324">
        <f>HYPERLINK("https://klasma.github.io/Logging_0188/tillsynsmail/A 2796-2020 tillsynsbegäran mail.docx", "A 2796-2020")</f>
        <v/>
      </c>
    </row>
    <row r="325" ht="15" customHeight="1">
      <c r="A325" t="inlineStr">
        <is>
          <t>A 7032-2020</t>
        </is>
      </c>
      <c r="B325" s="1" t="n">
        <v>43868</v>
      </c>
      <c r="C325" s="1" t="n">
        <v>45350</v>
      </c>
      <c r="D325" t="inlineStr">
        <is>
          <t>STOCKHOLMS LÄN</t>
        </is>
      </c>
      <c r="E325" t="inlineStr">
        <is>
          <t>EKERÖ</t>
        </is>
      </c>
      <c r="G325" t="n">
        <v>3.1</v>
      </c>
      <c r="H325" t="n">
        <v>0</v>
      </c>
      <c r="I325" t="n">
        <v>0</v>
      </c>
      <c r="J325" t="n">
        <v>1</v>
      </c>
      <c r="K325" t="n">
        <v>0</v>
      </c>
      <c r="L325" t="n">
        <v>0</v>
      </c>
      <c r="M325" t="n">
        <v>0</v>
      </c>
      <c r="N325" t="n">
        <v>0</v>
      </c>
      <c r="O325" t="n">
        <v>1</v>
      </c>
      <c r="P325" t="n">
        <v>0</v>
      </c>
      <c r="Q325" t="n">
        <v>1</v>
      </c>
      <c r="R325" s="2" t="inlineStr">
        <is>
          <t>Mindre timmerman</t>
        </is>
      </c>
      <c r="S325">
        <f>HYPERLINK("https://klasma.github.io/Logging_0125/artfynd/A 7032-2020 artfynd.xlsx", "A 7032-2020")</f>
        <v/>
      </c>
      <c r="T325">
        <f>HYPERLINK("https://klasma.github.io/Logging_0125/kartor/A 7032-2020 karta.png", "A 7032-2020")</f>
        <v/>
      </c>
      <c r="V325">
        <f>HYPERLINK("https://klasma.github.io/Logging_0125/klagomål/A 7032-2020 FSC-klagomål.docx", "A 7032-2020")</f>
        <v/>
      </c>
      <c r="W325">
        <f>HYPERLINK("https://klasma.github.io/Logging_0125/klagomålsmail/A 7032-2020 FSC-klagomål mail.docx", "A 7032-2020")</f>
        <v/>
      </c>
      <c r="X325">
        <f>HYPERLINK("https://klasma.github.io/Logging_0125/tillsyn/A 7032-2020 tillsynsbegäran.docx", "A 7032-2020")</f>
        <v/>
      </c>
      <c r="Y325">
        <f>HYPERLINK("https://klasma.github.io/Logging_0125/tillsynsmail/A 7032-2020 tillsynsbegäran mail.docx", "A 7032-2020")</f>
        <v/>
      </c>
    </row>
    <row r="326" ht="15" customHeight="1">
      <c r="A326" t="inlineStr">
        <is>
          <t>A 7152-2020</t>
        </is>
      </c>
      <c r="B326" s="1" t="n">
        <v>43869</v>
      </c>
      <c r="C326" s="1" t="n">
        <v>45350</v>
      </c>
      <c r="D326" t="inlineStr">
        <is>
          <t>STOCKHOLMS LÄN</t>
        </is>
      </c>
      <c r="E326" t="inlineStr">
        <is>
          <t>NYNÄSHAMN</t>
        </is>
      </c>
      <c r="F326" t="inlineStr">
        <is>
          <t>Kommuner</t>
        </is>
      </c>
      <c r="G326" t="n">
        <v>5.8</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7152-2020 artfynd.xlsx", "A 7152-2020")</f>
        <v/>
      </c>
      <c r="T326">
        <f>HYPERLINK("https://klasma.github.io/Logging_0192/kartor/A 7152-2020 karta.png", "A 7152-2020")</f>
        <v/>
      </c>
      <c r="V326">
        <f>HYPERLINK("https://klasma.github.io/Logging_0192/klagomål/A 7152-2020 FSC-klagomål.docx", "A 7152-2020")</f>
        <v/>
      </c>
      <c r="W326">
        <f>HYPERLINK("https://klasma.github.io/Logging_0192/klagomålsmail/A 7152-2020 FSC-klagomål mail.docx", "A 7152-2020")</f>
        <v/>
      </c>
      <c r="X326">
        <f>HYPERLINK("https://klasma.github.io/Logging_0192/tillsyn/A 7152-2020 tillsynsbegäran.docx", "A 7152-2020")</f>
        <v/>
      </c>
      <c r="Y326">
        <f>HYPERLINK("https://klasma.github.io/Logging_0192/tillsynsmail/A 7152-2020 tillsynsbegäran mail.docx", "A 7152-2020")</f>
        <v/>
      </c>
    </row>
    <row r="327" ht="15" customHeight="1">
      <c r="A327" t="inlineStr">
        <is>
          <t>A 9051-2020</t>
        </is>
      </c>
      <c r="B327" s="1" t="n">
        <v>43879</v>
      </c>
      <c r="C327" s="1" t="n">
        <v>45350</v>
      </c>
      <c r="D327" t="inlineStr">
        <is>
          <t>STOCKHOLMS LÄN</t>
        </is>
      </c>
      <c r="E327" t="inlineStr">
        <is>
          <t>NORRTÄLJE</t>
        </is>
      </c>
      <c r="G327" t="n">
        <v>12.5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9051-2020 artfynd.xlsx", "A 9051-2020")</f>
        <v/>
      </c>
      <c r="T327">
        <f>HYPERLINK("https://klasma.github.io/Logging_0188/kartor/A 9051-2020 karta.png", "A 9051-2020")</f>
        <v/>
      </c>
      <c r="V327">
        <f>HYPERLINK("https://klasma.github.io/Logging_0188/klagomål/A 9051-2020 FSC-klagomål.docx", "A 9051-2020")</f>
        <v/>
      </c>
      <c r="W327">
        <f>HYPERLINK("https://klasma.github.io/Logging_0188/klagomålsmail/A 9051-2020 FSC-klagomål mail.docx", "A 9051-2020")</f>
        <v/>
      </c>
      <c r="X327">
        <f>HYPERLINK("https://klasma.github.io/Logging_0188/tillsyn/A 9051-2020 tillsynsbegäran.docx", "A 9051-2020")</f>
        <v/>
      </c>
      <c r="Y327">
        <f>HYPERLINK("https://klasma.github.io/Logging_0188/tillsynsmail/A 9051-2020 tillsynsbegäran mail.docx", "A 9051-2020")</f>
        <v/>
      </c>
    </row>
    <row r="328" ht="15" customHeight="1">
      <c r="A328" t="inlineStr">
        <is>
          <t>A 13326-2020</t>
        </is>
      </c>
      <c r="B328" s="1" t="n">
        <v>43894</v>
      </c>
      <c r="C328" s="1" t="n">
        <v>45350</v>
      </c>
      <c r="D328" t="inlineStr">
        <is>
          <t>STOCKHOLMS LÄN</t>
        </is>
      </c>
      <c r="E328" t="inlineStr">
        <is>
          <t>HUDDINGE</t>
        </is>
      </c>
      <c r="F328" t="inlineStr">
        <is>
          <t>Kommuner</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HYPERLINK("https://klasma.github.io/Logging_0126/artfynd/A 13326-2020 artfynd.xlsx", "A 13326-2020")</f>
        <v/>
      </c>
      <c r="T328">
        <f>HYPERLINK("https://klasma.github.io/Logging_0126/kartor/A 13326-2020 karta.png", "A 13326-2020")</f>
        <v/>
      </c>
      <c r="V328">
        <f>HYPERLINK("https://klasma.github.io/Logging_0126/klagomål/A 13326-2020 FSC-klagomål.docx", "A 13326-2020")</f>
        <v/>
      </c>
      <c r="W328">
        <f>HYPERLINK("https://klasma.github.io/Logging_0126/klagomålsmail/A 13326-2020 FSC-klagomål mail.docx", "A 13326-2020")</f>
        <v/>
      </c>
      <c r="X328">
        <f>HYPERLINK("https://klasma.github.io/Logging_0126/tillsyn/A 13326-2020 tillsynsbegäran.docx", "A 13326-2020")</f>
        <v/>
      </c>
      <c r="Y328">
        <f>HYPERLINK("https://klasma.github.io/Logging_0126/tillsynsmail/A 13326-2020 tillsynsbegäran mail.docx", "A 13326-2020")</f>
        <v/>
      </c>
    </row>
    <row r="329" ht="15" customHeight="1">
      <c r="A329" t="inlineStr">
        <is>
          <t>A 12843-2020</t>
        </is>
      </c>
      <c r="B329" s="1" t="n">
        <v>43899</v>
      </c>
      <c r="C329" s="1" t="n">
        <v>45350</v>
      </c>
      <c r="D329" t="inlineStr">
        <is>
          <t>STOCKHOLMS LÄN</t>
        </is>
      </c>
      <c r="E329" t="inlineStr">
        <is>
          <t>NORRTÄLJE</t>
        </is>
      </c>
      <c r="G329" t="n">
        <v>7.5</v>
      </c>
      <c r="H329" t="n">
        <v>1</v>
      </c>
      <c r="I329" t="n">
        <v>0</v>
      </c>
      <c r="J329" t="n">
        <v>1</v>
      </c>
      <c r="K329" t="n">
        <v>0</v>
      </c>
      <c r="L329" t="n">
        <v>0</v>
      </c>
      <c r="M329" t="n">
        <v>0</v>
      </c>
      <c r="N329" t="n">
        <v>0</v>
      </c>
      <c r="O329" t="n">
        <v>1</v>
      </c>
      <c r="P329" t="n">
        <v>0</v>
      </c>
      <c r="Q329" t="n">
        <v>1</v>
      </c>
      <c r="R329" s="2" t="inlineStr">
        <is>
          <t>Talltita</t>
        </is>
      </c>
      <c r="S329">
        <f>HYPERLINK("https://klasma.github.io/Logging_0188/artfynd/A 12843-2020 artfynd.xlsx", "A 12843-2020")</f>
        <v/>
      </c>
      <c r="T329">
        <f>HYPERLINK("https://klasma.github.io/Logging_0188/kartor/A 12843-2020 karta.png", "A 12843-2020")</f>
        <v/>
      </c>
      <c r="V329">
        <f>HYPERLINK("https://klasma.github.io/Logging_0188/klagomål/A 12843-2020 FSC-klagomål.docx", "A 12843-2020")</f>
        <v/>
      </c>
      <c r="W329">
        <f>HYPERLINK("https://klasma.github.io/Logging_0188/klagomålsmail/A 12843-2020 FSC-klagomål mail.docx", "A 12843-2020")</f>
        <v/>
      </c>
      <c r="X329">
        <f>HYPERLINK("https://klasma.github.io/Logging_0188/tillsyn/A 12843-2020 tillsynsbegäran.docx", "A 12843-2020")</f>
        <v/>
      </c>
      <c r="Y329">
        <f>HYPERLINK("https://klasma.github.io/Logging_0188/tillsynsmail/A 12843-2020 tillsynsbegäran mail.docx", "A 12843-2020")</f>
        <v/>
      </c>
      <c r="Z329">
        <f>HYPERLINK("https://klasma.github.io/Logging_0188/fåglar/A 12843-2020 prioriterade fågelarter.docx", "A 12843-2020")</f>
        <v/>
      </c>
    </row>
    <row r="330" ht="15" customHeight="1">
      <c r="A330" t="inlineStr">
        <is>
          <t>A 12832-2020</t>
        </is>
      </c>
      <c r="B330" s="1" t="n">
        <v>43899</v>
      </c>
      <c r="C330" s="1" t="n">
        <v>45350</v>
      </c>
      <c r="D330" t="inlineStr">
        <is>
          <t>STOCKHOLMS LÄN</t>
        </is>
      </c>
      <c r="E330" t="inlineStr">
        <is>
          <t>SÖDERTÄLJE</t>
        </is>
      </c>
      <c r="G330" t="n">
        <v>3.8</v>
      </c>
      <c r="H330" t="n">
        <v>0</v>
      </c>
      <c r="I330" t="n">
        <v>0</v>
      </c>
      <c r="J330" t="n">
        <v>1</v>
      </c>
      <c r="K330" t="n">
        <v>0</v>
      </c>
      <c r="L330" t="n">
        <v>0</v>
      </c>
      <c r="M330" t="n">
        <v>0</v>
      </c>
      <c r="N330" t="n">
        <v>0</v>
      </c>
      <c r="O330" t="n">
        <v>1</v>
      </c>
      <c r="P330" t="n">
        <v>0</v>
      </c>
      <c r="Q330" t="n">
        <v>1</v>
      </c>
      <c r="R330" s="2" t="inlineStr">
        <is>
          <t>Ängsskära</t>
        </is>
      </c>
      <c r="S330">
        <f>HYPERLINK("https://klasma.github.io/Logging_0181/artfynd/A 12832-2020 artfynd.xlsx", "A 12832-2020")</f>
        <v/>
      </c>
      <c r="T330">
        <f>HYPERLINK("https://klasma.github.io/Logging_0181/kartor/A 12832-2020 karta.png", "A 12832-2020")</f>
        <v/>
      </c>
      <c r="V330">
        <f>HYPERLINK("https://klasma.github.io/Logging_0181/klagomål/A 12832-2020 FSC-klagomål.docx", "A 12832-2020")</f>
        <v/>
      </c>
      <c r="W330">
        <f>HYPERLINK("https://klasma.github.io/Logging_0181/klagomålsmail/A 12832-2020 FSC-klagomål mail.docx", "A 12832-2020")</f>
        <v/>
      </c>
      <c r="X330">
        <f>HYPERLINK("https://klasma.github.io/Logging_0181/tillsyn/A 12832-2020 tillsynsbegäran.docx", "A 12832-2020")</f>
        <v/>
      </c>
      <c r="Y330">
        <f>HYPERLINK("https://klasma.github.io/Logging_0181/tillsynsmail/A 12832-2020 tillsynsbegäran mail.docx", "A 12832-2020")</f>
        <v/>
      </c>
    </row>
    <row r="331" ht="15" customHeight="1">
      <c r="A331" t="inlineStr">
        <is>
          <t>A 13922-2020</t>
        </is>
      </c>
      <c r="B331" s="1" t="n">
        <v>43906</v>
      </c>
      <c r="C331" s="1" t="n">
        <v>45350</v>
      </c>
      <c r="D331" t="inlineStr">
        <is>
          <t>STOCKHOLMS LÄN</t>
        </is>
      </c>
      <c r="E331" t="inlineStr">
        <is>
          <t>NYKVARN</t>
        </is>
      </c>
      <c r="G331" t="n">
        <v>19.8</v>
      </c>
      <c r="H331" t="n">
        <v>0</v>
      </c>
      <c r="I331" t="n">
        <v>0</v>
      </c>
      <c r="J331" t="n">
        <v>1</v>
      </c>
      <c r="K331" t="n">
        <v>0</v>
      </c>
      <c r="L331" t="n">
        <v>0</v>
      </c>
      <c r="M331" t="n">
        <v>0</v>
      </c>
      <c r="N331" t="n">
        <v>0</v>
      </c>
      <c r="O331" t="n">
        <v>1</v>
      </c>
      <c r="P331" t="n">
        <v>0</v>
      </c>
      <c r="Q331" t="n">
        <v>1</v>
      </c>
      <c r="R331" s="2" t="inlineStr">
        <is>
          <t>Svedjenäva</t>
        </is>
      </c>
      <c r="S331">
        <f>HYPERLINK("https://klasma.github.io/Logging_0140/artfynd/A 13922-2020 artfynd.xlsx", "A 13922-2020")</f>
        <v/>
      </c>
      <c r="T331">
        <f>HYPERLINK("https://klasma.github.io/Logging_0140/kartor/A 13922-2020 karta.png", "A 13922-2020")</f>
        <v/>
      </c>
      <c r="V331">
        <f>HYPERLINK("https://klasma.github.io/Logging_0140/klagomål/A 13922-2020 FSC-klagomål.docx", "A 13922-2020")</f>
        <v/>
      </c>
      <c r="W331">
        <f>HYPERLINK("https://klasma.github.io/Logging_0140/klagomålsmail/A 13922-2020 FSC-klagomål mail.docx", "A 13922-2020")</f>
        <v/>
      </c>
      <c r="X331">
        <f>HYPERLINK("https://klasma.github.io/Logging_0140/tillsyn/A 13922-2020 tillsynsbegäran.docx", "A 13922-2020")</f>
        <v/>
      </c>
      <c r="Y331">
        <f>HYPERLINK("https://klasma.github.io/Logging_0140/tillsynsmail/A 13922-2020 tillsynsbegäran mail.docx", "A 13922-2020")</f>
        <v/>
      </c>
    </row>
    <row r="332" ht="15" customHeight="1">
      <c r="A332" t="inlineStr">
        <is>
          <t>A 15312-2020</t>
        </is>
      </c>
      <c r="B332" s="1" t="n">
        <v>43913</v>
      </c>
      <c r="C332" s="1" t="n">
        <v>45350</v>
      </c>
      <c r="D332" t="inlineStr">
        <is>
          <t>STOCKHOLMS LÄN</t>
        </is>
      </c>
      <c r="E332" t="inlineStr">
        <is>
          <t>HANINGE</t>
        </is>
      </c>
      <c r="F332" t="inlineStr">
        <is>
          <t>Övriga statliga verk och myndigheter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HYPERLINK("https://klasma.github.io/Logging_0136/artfynd/A 15312-2020 artfynd.xlsx", "A 15312-2020")</f>
        <v/>
      </c>
      <c r="T332">
        <f>HYPERLINK("https://klasma.github.io/Logging_0136/kartor/A 15312-2020 karta.png", "A 15312-2020")</f>
        <v/>
      </c>
      <c r="V332">
        <f>HYPERLINK("https://klasma.github.io/Logging_0136/klagomål/A 15312-2020 FSC-klagomål.docx", "A 15312-2020")</f>
        <v/>
      </c>
      <c r="W332">
        <f>HYPERLINK("https://klasma.github.io/Logging_0136/klagomålsmail/A 15312-2020 FSC-klagomål mail.docx", "A 15312-2020")</f>
        <v/>
      </c>
      <c r="X332">
        <f>HYPERLINK("https://klasma.github.io/Logging_0136/tillsyn/A 15312-2020 tillsynsbegäran.docx", "A 15312-2020")</f>
        <v/>
      </c>
      <c r="Y332">
        <f>HYPERLINK("https://klasma.github.io/Logging_0136/tillsynsmail/A 15312-2020 tillsynsbegäran mail.docx", "A 15312-2020")</f>
        <v/>
      </c>
    </row>
    <row r="333" ht="15" customHeight="1">
      <c r="A333" t="inlineStr">
        <is>
          <t>A 16236-2020</t>
        </is>
      </c>
      <c r="B333" s="1" t="n">
        <v>43917</v>
      </c>
      <c r="C333" s="1" t="n">
        <v>45350</v>
      </c>
      <c r="D333" t="inlineStr">
        <is>
          <t>STOCKHOLMS LÄN</t>
        </is>
      </c>
      <c r="E333" t="inlineStr">
        <is>
          <t>BOTKYRKA</t>
        </is>
      </c>
      <c r="G333" t="n">
        <v>2.5</v>
      </c>
      <c r="H333" t="n">
        <v>0</v>
      </c>
      <c r="I333" t="n">
        <v>1</v>
      </c>
      <c r="J333" t="n">
        <v>0</v>
      </c>
      <c r="K333" t="n">
        <v>0</v>
      </c>
      <c r="L333" t="n">
        <v>0</v>
      </c>
      <c r="M333" t="n">
        <v>0</v>
      </c>
      <c r="N333" t="n">
        <v>0</v>
      </c>
      <c r="O333" t="n">
        <v>0</v>
      </c>
      <c r="P333" t="n">
        <v>0</v>
      </c>
      <c r="Q333" t="n">
        <v>1</v>
      </c>
      <c r="R333" s="2" t="inlineStr">
        <is>
          <t>Granbarkgnagare</t>
        </is>
      </c>
      <c r="S333">
        <f>HYPERLINK("https://klasma.github.io/Logging_0127/artfynd/A 16236-2020 artfynd.xlsx", "A 16236-2020")</f>
        <v/>
      </c>
      <c r="T333">
        <f>HYPERLINK("https://klasma.github.io/Logging_0127/kartor/A 16236-2020 karta.png", "A 16236-2020")</f>
        <v/>
      </c>
      <c r="V333">
        <f>HYPERLINK("https://klasma.github.io/Logging_0127/klagomål/A 16236-2020 FSC-klagomål.docx", "A 16236-2020")</f>
        <v/>
      </c>
      <c r="W333">
        <f>HYPERLINK("https://klasma.github.io/Logging_0127/klagomålsmail/A 16236-2020 FSC-klagomål mail.docx", "A 16236-2020")</f>
        <v/>
      </c>
      <c r="X333">
        <f>HYPERLINK("https://klasma.github.io/Logging_0127/tillsyn/A 16236-2020 tillsynsbegäran.docx", "A 16236-2020")</f>
        <v/>
      </c>
      <c r="Y333">
        <f>HYPERLINK("https://klasma.github.io/Logging_0127/tillsynsmail/A 16236-2020 tillsynsbegäran mail.docx", "A 16236-2020")</f>
        <v/>
      </c>
    </row>
    <row r="334" ht="15" customHeight="1">
      <c r="A334" t="inlineStr">
        <is>
          <t>A 16917-2020</t>
        </is>
      </c>
      <c r="B334" s="1" t="n">
        <v>43921</v>
      </c>
      <c r="C334" s="1" t="n">
        <v>45350</v>
      </c>
      <c r="D334" t="inlineStr">
        <is>
          <t>STOCKHOLMS LÄN</t>
        </is>
      </c>
      <c r="E334" t="inlineStr">
        <is>
          <t>SALEM</t>
        </is>
      </c>
      <c r="G334" t="n">
        <v>23.8</v>
      </c>
      <c r="H334" t="n">
        <v>1</v>
      </c>
      <c r="I334" t="n">
        <v>0</v>
      </c>
      <c r="J334" t="n">
        <v>1</v>
      </c>
      <c r="K334" t="n">
        <v>0</v>
      </c>
      <c r="L334" t="n">
        <v>0</v>
      </c>
      <c r="M334" t="n">
        <v>0</v>
      </c>
      <c r="N334" t="n">
        <v>0</v>
      </c>
      <c r="O334" t="n">
        <v>1</v>
      </c>
      <c r="P334" t="n">
        <v>0</v>
      </c>
      <c r="Q334" t="n">
        <v>1</v>
      </c>
      <c r="R334" s="2" t="inlineStr">
        <is>
          <t>Talltita</t>
        </is>
      </c>
      <c r="S334">
        <f>HYPERLINK("https://klasma.github.io/Logging_0128/artfynd/A 16917-2020 artfynd.xlsx", "A 16917-2020")</f>
        <v/>
      </c>
      <c r="T334">
        <f>HYPERLINK("https://klasma.github.io/Logging_0128/kartor/A 16917-2020 karta.png", "A 16917-2020")</f>
        <v/>
      </c>
      <c r="V334">
        <f>HYPERLINK("https://klasma.github.io/Logging_0128/klagomål/A 16917-2020 FSC-klagomål.docx", "A 16917-2020")</f>
        <v/>
      </c>
      <c r="W334">
        <f>HYPERLINK("https://klasma.github.io/Logging_0128/klagomålsmail/A 16917-2020 FSC-klagomål mail.docx", "A 16917-2020")</f>
        <v/>
      </c>
      <c r="X334">
        <f>HYPERLINK("https://klasma.github.io/Logging_0128/tillsyn/A 16917-2020 tillsynsbegäran.docx", "A 16917-2020")</f>
        <v/>
      </c>
      <c r="Y334">
        <f>HYPERLINK("https://klasma.github.io/Logging_0128/tillsynsmail/A 16917-2020 tillsynsbegäran mail.docx", "A 16917-2020")</f>
        <v/>
      </c>
      <c r="Z334">
        <f>HYPERLINK("https://klasma.github.io/Logging_0128/fåglar/A 16917-2020 prioriterade fågelarter.docx", "A 16917-2020")</f>
        <v/>
      </c>
    </row>
    <row r="335" ht="15" customHeight="1">
      <c r="A335" t="inlineStr">
        <is>
          <t>A 18965-2020</t>
        </is>
      </c>
      <c r="B335" s="1" t="n">
        <v>43935</v>
      </c>
      <c r="C335" s="1" t="n">
        <v>45350</v>
      </c>
      <c r="D335" t="inlineStr">
        <is>
          <t>STOCKHOLMS LÄN</t>
        </is>
      </c>
      <c r="E335" t="inlineStr">
        <is>
          <t>NYNÄSHAMN</t>
        </is>
      </c>
      <c r="F335" t="inlineStr">
        <is>
          <t>Kommuner</t>
        </is>
      </c>
      <c r="G335" t="n">
        <v>14.3</v>
      </c>
      <c r="H335" t="n">
        <v>1</v>
      </c>
      <c r="I335" t="n">
        <v>0</v>
      </c>
      <c r="J335" t="n">
        <v>0</v>
      </c>
      <c r="K335" t="n">
        <v>1</v>
      </c>
      <c r="L335" t="n">
        <v>0</v>
      </c>
      <c r="M335" t="n">
        <v>0</v>
      </c>
      <c r="N335" t="n">
        <v>0</v>
      </c>
      <c r="O335" t="n">
        <v>1</v>
      </c>
      <c r="P335" t="n">
        <v>1</v>
      </c>
      <c r="Q335" t="n">
        <v>1</v>
      </c>
      <c r="R335" s="2" t="inlineStr">
        <is>
          <t>Hasselsnok</t>
        </is>
      </c>
      <c r="S335">
        <f>HYPERLINK("https://klasma.github.io/Logging_0192/artfynd/A 18965-2020 artfynd.xlsx", "A 18965-2020")</f>
        <v/>
      </c>
      <c r="T335">
        <f>HYPERLINK("https://klasma.github.io/Logging_0192/kartor/A 18965-2020 karta.png", "A 18965-2020")</f>
        <v/>
      </c>
      <c r="V335">
        <f>HYPERLINK("https://klasma.github.io/Logging_0192/klagomål/A 18965-2020 FSC-klagomål.docx", "A 18965-2020")</f>
        <v/>
      </c>
      <c r="W335">
        <f>HYPERLINK("https://klasma.github.io/Logging_0192/klagomålsmail/A 18965-2020 FSC-klagomål mail.docx", "A 18965-2020")</f>
        <v/>
      </c>
      <c r="X335">
        <f>HYPERLINK("https://klasma.github.io/Logging_0192/tillsyn/A 18965-2020 tillsynsbegäran.docx", "A 18965-2020")</f>
        <v/>
      </c>
      <c r="Y335">
        <f>HYPERLINK("https://klasma.github.io/Logging_0192/tillsynsmail/A 18965-2020 tillsynsbegäran mail.docx", "A 18965-2020")</f>
        <v/>
      </c>
    </row>
    <row r="336" ht="15" customHeight="1">
      <c r="A336" t="inlineStr">
        <is>
          <t>A 28380-2020</t>
        </is>
      </c>
      <c r="B336" s="1" t="n">
        <v>43998</v>
      </c>
      <c r="C336" s="1" t="n">
        <v>45350</v>
      </c>
      <c r="D336" t="inlineStr">
        <is>
          <t>STOCKHOLMS LÄN</t>
        </is>
      </c>
      <c r="E336" t="inlineStr">
        <is>
          <t>NORRTÄLJE</t>
        </is>
      </c>
      <c r="G336" t="n">
        <v>43</v>
      </c>
      <c r="H336" t="n">
        <v>1</v>
      </c>
      <c r="I336" t="n">
        <v>0</v>
      </c>
      <c r="J336" t="n">
        <v>0</v>
      </c>
      <c r="K336" t="n">
        <v>0</v>
      </c>
      <c r="L336" t="n">
        <v>1</v>
      </c>
      <c r="M336" t="n">
        <v>0</v>
      </c>
      <c r="N336" t="n">
        <v>0</v>
      </c>
      <c r="O336" t="n">
        <v>1</v>
      </c>
      <c r="P336" t="n">
        <v>1</v>
      </c>
      <c r="Q336" t="n">
        <v>1</v>
      </c>
      <c r="R336" s="2" t="inlineStr">
        <is>
          <t>Asknätfjäril</t>
        </is>
      </c>
      <c r="S336">
        <f>HYPERLINK("https://klasma.github.io/Logging_0188/artfynd/A 28380-2020 artfynd.xlsx", "A 28380-2020")</f>
        <v/>
      </c>
      <c r="T336">
        <f>HYPERLINK("https://klasma.github.io/Logging_0188/kartor/A 28380-2020 karta.png", "A 28380-2020")</f>
        <v/>
      </c>
      <c r="V336">
        <f>HYPERLINK("https://klasma.github.io/Logging_0188/klagomål/A 28380-2020 FSC-klagomål.docx", "A 28380-2020")</f>
        <v/>
      </c>
      <c r="W336">
        <f>HYPERLINK("https://klasma.github.io/Logging_0188/klagomålsmail/A 28380-2020 FSC-klagomål mail.docx", "A 28380-2020")</f>
        <v/>
      </c>
      <c r="X336">
        <f>HYPERLINK("https://klasma.github.io/Logging_0188/tillsyn/A 28380-2020 tillsynsbegäran.docx", "A 28380-2020")</f>
        <v/>
      </c>
      <c r="Y336">
        <f>HYPERLINK("https://klasma.github.io/Logging_0188/tillsynsmail/A 28380-2020 tillsynsbegäran mail.docx", "A 28380-2020")</f>
        <v/>
      </c>
    </row>
    <row r="337" ht="15" customHeight="1">
      <c r="A337" t="inlineStr">
        <is>
          <t>A 32525-2020</t>
        </is>
      </c>
      <c r="B337" s="1" t="n">
        <v>44018</v>
      </c>
      <c r="C337" s="1" t="n">
        <v>45350</v>
      </c>
      <c r="D337" t="inlineStr">
        <is>
          <t>STOCKHOLMS LÄN</t>
        </is>
      </c>
      <c r="E337" t="inlineStr">
        <is>
          <t>HANINGE</t>
        </is>
      </c>
      <c r="F337" t="inlineStr">
        <is>
          <t>Kommuner</t>
        </is>
      </c>
      <c r="G337" t="n">
        <v>2.3</v>
      </c>
      <c r="H337" t="n">
        <v>0</v>
      </c>
      <c r="I337" t="n">
        <v>1</v>
      </c>
      <c r="J337" t="n">
        <v>0</v>
      </c>
      <c r="K337" t="n">
        <v>0</v>
      </c>
      <c r="L337" t="n">
        <v>0</v>
      </c>
      <c r="M337" t="n">
        <v>0</v>
      </c>
      <c r="N337" t="n">
        <v>0</v>
      </c>
      <c r="O337" t="n">
        <v>0</v>
      </c>
      <c r="P337" t="n">
        <v>0</v>
      </c>
      <c r="Q337" t="n">
        <v>1</v>
      </c>
      <c r="R337" s="2" t="inlineStr">
        <is>
          <t>Vedticka</t>
        </is>
      </c>
      <c r="S337">
        <f>HYPERLINK("https://klasma.github.io/Logging_0136/artfynd/A 32525-2020 artfynd.xlsx", "A 32525-2020")</f>
        <v/>
      </c>
      <c r="T337">
        <f>HYPERLINK("https://klasma.github.io/Logging_0136/kartor/A 32525-2020 karta.png", "A 32525-2020")</f>
        <v/>
      </c>
      <c r="V337">
        <f>HYPERLINK("https://klasma.github.io/Logging_0136/klagomål/A 32525-2020 FSC-klagomål.docx", "A 32525-2020")</f>
        <v/>
      </c>
      <c r="W337">
        <f>HYPERLINK("https://klasma.github.io/Logging_0136/klagomålsmail/A 32525-2020 FSC-klagomål mail.docx", "A 32525-2020")</f>
        <v/>
      </c>
      <c r="X337">
        <f>HYPERLINK("https://klasma.github.io/Logging_0136/tillsyn/A 32525-2020 tillsynsbegäran.docx", "A 32525-2020")</f>
        <v/>
      </c>
      <c r="Y337">
        <f>HYPERLINK("https://klasma.github.io/Logging_0136/tillsynsmail/A 32525-2020 tillsynsbegäran mail.docx", "A 32525-2020")</f>
        <v/>
      </c>
    </row>
    <row r="338" ht="15" customHeight="1">
      <c r="A338" t="inlineStr">
        <is>
          <t>A 34971-2020</t>
        </is>
      </c>
      <c r="B338" s="1" t="n">
        <v>44039</v>
      </c>
      <c r="C338" s="1" t="n">
        <v>45350</v>
      </c>
      <c r="D338" t="inlineStr">
        <is>
          <t>STOCKHOLMS LÄN</t>
        </is>
      </c>
      <c r="E338" t="inlineStr">
        <is>
          <t>BOTKYRKA</t>
        </is>
      </c>
      <c r="G338" t="n">
        <v>4.2</v>
      </c>
      <c r="H338" t="n">
        <v>0</v>
      </c>
      <c r="I338" t="n">
        <v>1</v>
      </c>
      <c r="J338" t="n">
        <v>0</v>
      </c>
      <c r="K338" t="n">
        <v>0</v>
      </c>
      <c r="L338" t="n">
        <v>0</v>
      </c>
      <c r="M338" t="n">
        <v>0</v>
      </c>
      <c r="N338" t="n">
        <v>0</v>
      </c>
      <c r="O338" t="n">
        <v>0</v>
      </c>
      <c r="P338" t="n">
        <v>0</v>
      </c>
      <c r="Q338" t="n">
        <v>1</v>
      </c>
      <c r="R338" s="2" t="inlineStr">
        <is>
          <t>Tibast</t>
        </is>
      </c>
      <c r="S338">
        <f>HYPERLINK("https://klasma.github.io/Logging_0127/artfynd/A 34971-2020 artfynd.xlsx", "A 34971-2020")</f>
        <v/>
      </c>
      <c r="T338">
        <f>HYPERLINK("https://klasma.github.io/Logging_0127/kartor/A 34971-2020 karta.png", "A 34971-2020")</f>
        <v/>
      </c>
      <c r="V338">
        <f>HYPERLINK("https://klasma.github.io/Logging_0127/klagomål/A 34971-2020 FSC-klagomål.docx", "A 34971-2020")</f>
        <v/>
      </c>
      <c r="W338">
        <f>HYPERLINK("https://klasma.github.io/Logging_0127/klagomålsmail/A 34971-2020 FSC-klagomål mail.docx", "A 34971-2020")</f>
        <v/>
      </c>
      <c r="X338">
        <f>HYPERLINK("https://klasma.github.io/Logging_0127/tillsyn/A 34971-2020 tillsynsbegäran.docx", "A 34971-2020")</f>
        <v/>
      </c>
      <c r="Y338">
        <f>HYPERLINK("https://klasma.github.io/Logging_0127/tillsynsmail/A 34971-2020 tillsynsbegäran mail.docx", "A 34971-2020")</f>
        <v/>
      </c>
    </row>
    <row r="339" ht="15" customHeight="1">
      <c r="A339" t="inlineStr">
        <is>
          <t>A 41774-2020</t>
        </is>
      </c>
      <c r="B339" s="1" t="n">
        <v>44074</v>
      </c>
      <c r="C339" s="1" t="n">
        <v>45350</v>
      </c>
      <c r="D339" t="inlineStr">
        <is>
          <t>STOCKHOLMS LÄN</t>
        </is>
      </c>
      <c r="E339" t="inlineStr">
        <is>
          <t>SALEM</t>
        </is>
      </c>
      <c r="F339" t="inlineStr">
        <is>
          <t>Kommuner</t>
        </is>
      </c>
      <c r="G339" t="n">
        <v>3.1</v>
      </c>
      <c r="H339" t="n">
        <v>0</v>
      </c>
      <c r="I339" t="n">
        <v>0</v>
      </c>
      <c r="J339" t="n">
        <v>1</v>
      </c>
      <c r="K339" t="n">
        <v>0</v>
      </c>
      <c r="L339" t="n">
        <v>0</v>
      </c>
      <c r="M339" t="n">
        <v>0</v>
      </c>
      <c r="N339" t="n">
        <v>0</v>
      </c>
      <c r="O339" t="n">
        <v>1</v>
      </c>
      <c r="P339" t="n">
        <v>0</v>
      </c>
      <c r="Q339" t="n">
        <v>1</v>
      </c>
      <c r="R339" s="2" t="inlineStr">
        <is>
          <t>Tallticka</t>
        </is>
      </c>
      <c r="S339">
        <f>HYPERLINK("https://klasma.github.io/Logging_0128/artfynd/A 41774-2020 artfynd.xlsx", "A 41774-2020")</f>
        <v/>
      </c>
      <c r="T339">
        <f>HYPERLINK("https://klasma.github.io/Logging_0128/kartor/A 41774-2020 karta.png", "A 41774-2020")</f>
        <v/>
      </c>
      <c r="V339">
        <f>HYPERLINK("https://klasma.github.io/Logging_0128/klagomål/A 41774-2020 FSC-klagomål.docx", "A 41774-2020")</f>
        <v/>
      </c>
      <c r="W339">
        <f>HYPERLINK("https://klasma.github.io/Logging_0128/klagomålsmail/A 41774-2020 FSC-klagomål mail.docx", "A 41774-2020")</f>
        <v/>
      </c>
      <c r="X339">
        <f>HYPERLINK("https://klasma.github.io/Logging_0128/tillsyn/A 41774-2020 tillsynsbegäran.docx", "A 41774-2020")</f>
        <v/>
      </c>
      <c r="Y339">
        <f>HYPERLINK("https://klasma.github.io/Logging_0128/tillsynsmail/A 41774-2020 tillsynsbegäran mail.docx", "A 41774-2020")</f>
        <v/>
      </c>
    </row>
    <row r="340" ht="15" customHeight="1">
      <c r="A340" t="inlineStr">
        <is>
          <t>A 47329-2020</t>
        </is>
      </c>
      <c r="B340" s="1" t="n">
        <v>44097</v>
      </c>
      <c r="C340" s="1" t="n">
        <v>45350</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48288-2020</t>
        </is>
      </c>
      <c r="B341" s="1" t="n">
        <v>44102</v>
      </c>
      <c r="C341" s="1" t="n">
        <v>45350</v>
      </c>
      <c r="D341" t="inlineStr">
        <is>
          <t>STOCKHOLMS LÄN</t>
        </is>
      </c>
      <c r="E341" t="inlineStr">
        <is>
          <t>NORRTÄLJE</t>
        </is>
      </c>
      <c r="F341" t="inlineStr">
        <is>
          <t>Holmen skog AB</t>
        </is>
      </c>
      <c r="G341" t="n">
        <v>2.9</v>
      </c>
      <c r="H341" t="n">
        <v>1</v>
      </c>
      <c r="I341" t="n">
        <v>0</v>
      </c>
      <c r="J341" t="n">
        <v>0</v>
      </c>
      <c r="K341" t="n">
        <v>0</v>
      </c>
      <c r="L341" t="n">
        <v>1</v>
      </c>
      <c r="M341" t="n">
        <v>0</v>
      </c>
      <c r="N341" t="n">
        <v>0</v>
      </c>
      <c r="O341" t="n">
        <v>1</v>
      </c>
      <c r="P341" t="n">
        <v>1</v>
      </c>
      <c r="Q341" t="n">
        <v>1</v>
      </c>
      <c r="R341" s="2" t="inlineStr">
        <is>
          <t>Asknätfjäril</t>
        </is>
      </c>
      <c r="S341">
        <f>HYPERLINK("https://klasma.github.io/Logging_0188/artfynd/A 48288-2020 artfynd.xlsx", "A 48288-2020")</f>
        <v/>
      </c>
      <c r="T341">
        <f>HYPERLINK("https://klasma.github.io/Logging_0188/kartor/A 48288-2020 karta.png", "A 48288-2020")</f>
        <v/>
      </c>
      <c r="V341">
        <f>HYPERLINK("https://klasma.github.io/Logging_0188/klagomål/A 48288-2020 FSC-klagomål.docx", "A 48288-2020")</f>
        <v/>
      </c>
      <c r="W341">
        <f>HYPERLINK("https://klasma.github.io/Logging_0188/klagomålsmail/A 48288-2020 FSC-klagomål mail.docx", "A 48288-2020")</f>
        <v/>
      </c>
      <c r="X341">
        <f>HYPERLINK("https://klasma.github.io/Logging_0188/tillsyn/A 48288-2020 tillsynsbegäran.docx", "A 48288-2020")</f>
        <v/>
      </c>
      <c r="Y341">
        <f>HYPERLINK("https://klasma.github.io/Logging_0188/tillsynsmail/A 48288-2020 tillsynsbegäran mail.docx", "A 48288-2020")</f>
        <v/>
      </c>
    </row>
    <row r="342" ht="15" customHeight="1">
      <c r="A342" t="inlineStr">
        <is>
          <t>A 62846-2020</t>
        </is>
      </c>
      <c r="B342" s="1" t="n">
        <v>44161</v>
      </c>
      <c r="C342" s="1" t="n">
        <v>45350</v>
      </c>
      <c r="D342" t="inlineStr">
        <is>
          <t>STOCKHOLMS LÄN</t>
        </is>
      </c>
      <c r="E342" t="inlineStr">
        <is>
          <t>NORRTÄLJE</t>
        </is>
      </c>
      <c r="G342" t="n">
        <v>1.4</v>
      </c>
      <c r="H342" t="n">
        <v>1</v>
      </c>
      <c r="I342" t="n">
        <v>0</v>
      </c>
      <c r="J342" t="n">
        <v>0</v>
      </c>
      <c r="K342" t="n">
        <v>0</v>
      </c>
      <c r="L342" t="n">
        <v>0</v>
      </c>
      <c r="M342" t="n">
        <v>0</v>
      </c>
      <c r="N342" t="n">
        <v>0</v>
      </c>
      <c r="O342" t="n">
        <v>0</v>
      </c>
      <c r="P342" t="n">
        <v>0</v>
      </c>
      <c r="Q342" t="n">
        <v>1</v>
      </c>
      <c r="R342" s="2" t="inlineStr">
        <is>
          <t>Fläcknycklar</t>
        </is>
      </c>
      <c r="S342">
        <f>HYPERLINK("https://klasma.github.io/Logging_0188/artfynd/A 62846-2020 artfynd.xlsx", "A 62846-2020")</f>
        <v/>
      </c>
      <c r="T342">
        <f>HYPERLINK("https://klasma.github.io/Logging_0188/kartor/A 62846-2020 karta.png", "A 62846-2020")</f>
        <v/>
      </c>
      <c r="V342">
        <f>HYPERLINK("https://klasma.github.io/Logging_0188/klagomål/A 62846-2020 FSC-klagomål.docx", "A 62846-2020")</f>
        <v/>
      </c>
      <c r="W342">
        <f>HYPERLINK("https://klasma.github.io/Logging_0188/klagomålsmail/A 62846-2020 FSC-klagomål mail.docx", "A 62846-2020")</f>
        <v/>
      </c>
      <c r="X342">
        <f>HYPERLINK("https://klasma.github.io/Logging_0188/tillsyn/A 62846-2020 tillsynsbegäran.docx", "A 62846-2020")</f>
        <v/>
      </c>
      <c r="Y342">
        <f>HYPERLINK("https://klasma.github.io/Logging_0188/tillsynsmail/A 62846-2020 tillsynsbegäran mail.docx", "A 62846-2020")</f>
        <v/>
      </c>
    </row>
    <row r="343" ht="15" customHeight="1">
      <c r="A343" t="inlineStr">
        <is>
          <t>A 1162-2021</t>
        </is>
      </c>
      <c r="B343" s="1" t="n">
        <v>44207</v>
      </c>
      <c r="C343" s="1" t="n">
        <v>45350</v>
      </c>
      <c r="D343" t="inlineStr">
        <is>
          <t>STOCKHOLMS LÄN</t>
        </is>
      </c>
      <c r="E343" t="inlineStr">
        <is>
          <t>NORRTÄLJE</t>
        </is>
      </c>
      <c r="G343" t="n">
        <v>2.2</v>
      </c>
      <c r="H343" t="n">
        <v>1</v>
      </c>
      <c r="I343" t="n">
        <v>0</v>
      </c>
      <c r="J343" t="n">
        <v>0</v>
      </c>
      <c r="K343" t="n">
        <v>1</v>
      </c>
      <c r="L343" t="n">
        <v>0</v>
      </c>
      <c r="M343" t="n">
        <v>0</v>
      </c>
      <c r="N343" t="n">
        <v>0</v>
      </c>
      <c r="O343" t="n">
        <v>1</v>
      </c>
      <c r="P343" t="n">
        <v>1</v>
      </c>
      <c r="Q343" t="n">
        <v>1</v>
      </c>
      <c r="R343" s="2" t="inlineStr">
        <is>
          <t>Hällebräcka</t>
        </is>
      </c>
      <c r="S343">
        <f>HYPERLINK("https://klasma.github.io/Logging_0188/artfynd/A 1162-2021 artfynd.xlsx", "A 1162-2021")</f>
        <v/>
      </c>
      <c r="T343">
        <f>HYPERLINK("https://klasma.github.io/Logging_0188/kartor/A 1162-2021 karta.png", "A 1162-2021")</f>
        <v/>
      </c>
      <c r="V343">
        <f>HYPERLINK("https://klasma.github.io/Logging_0188/klagomål/A 1162-2021 FSC-klagomål.docx", "A 1162-2021")</f>
        <v/>
      </c>
      <c r="W343">
        <f>HYPERLINK("https://klasma.github.io/Logging_0188/klagomålsmail/A 1162-2021 FSC-klagomål mail.docx", "A 1162-2021")</f>
        <v/>
      </c>
      <c r="X343">
        <f>HYPERLINK("https://klasma.github.io/Logging_0188/tillsyn/A 1162-2021 tillsynsbegäran.docx", "A 1162-2021")</f>
        <v/>
      </c>
      <c r="Y343">
        <f>HYPERLINK("https://klasma.github.io/Logging_0188/tillsynsmail/A 1162-2021 tillsynsbegäran mail.docx", "A 1162-2021")</f>
        <v/>
      </c>
    </row>
    <row r="344" ht="15" customHeight="1">
      <c r="A344" t="inlineStr">
        <is>
          <t>A 1424-2021</t>
        </is>
      </c>
      <c r="B344" s="1" t="n">
        <v>44208</v>
      </c>
      <c r="C344" s="1" t="n">
        <v>45350</v>
      </c>
      <c r="D344" t="inlineStr">
        <is>
          <t>STOCKHOLMS LÄN</t>
        </is>
      </c>
      <c r="E344" t="inlineStr">
        <is>
          <t>HANINGE</t>
        </is>
      </c>
      <c r="G344" t="n">
        <v>1.7</v>
      </c>
      <c r="H344" t="n">
        <v>1</v>
      </c>
      <c r="I344" t="n">
        <v>1</v>
      </c>
      <c r="J344" t="n">
        <v>0</v>
      </c>
      <c r="K344" t="n">
        <v>0</v>
      </c>
      <c r="L344" t="n">
        <v>0</v>
      </c>
      <c r="M344" t="n">
        <v>0</v>
      </c>
      <c r="N344" t="n">
        <v>0</v>
      </c>
      <c r="O344" t="n">
        <v>0</v>
      </c>
      <c r="P344" t="n">
        <v>0</v>
      </c>
      <c r="Q344" t="n">
        <v>1</v>
      </c>
      <c r="R344" s="2" t="inlineStr">
        <is>
          <t>Tvåblad</t>
        </is>
      </c>
      <c r="S344">
        <f>HYPERLINK("https://klasma.github.io/Logging_0136/artfynd/A 1424-2021 artfynd.xlsx", "A 1424-2021")</f>
        <v/>
      </c>
      <c r="T344">
        <f>HYPERLINK("https://klasma.github.io/Logging_0136/kartor/A 1424-2021 karta.png", "A 1424-2021")</f>
        <v/>
      </c>
      <c r="U344">
        <f>HYPERLINK("https://klasma.github.io/Logging_0136/knärot/A 1424-2021 karta knärot.png", "A 1424-2021")</f>
        <v/>
      </c>
      <c r="V344">
        <f>HYPERLINK("https://klasma.github.io/Logging_0136/klagomål/A 1424-2021 FSC-klagomål.docx", "A 1424-2021")</f>
        <v/>
      </c>
      <c r="W344">
        <f>HYPERLINK("https://klasma.github.io/Logging_0136/klagomålsmail/A 1424-2021 FSC-klagomål mail.docx", "A 1424-2021")</f>
        <v/>
      </c>
      <c r="X344">
        <f>HYPERLINK("https://klasma.github.io/Logging_0136/tillsyn/A 1424-2021 tillsynsbegäran.docx", "A 1424-2021")</f>
        <v/>
      </c>
      <c r="Y344">
        <f>HYPERLINK("https://klasma.github.io/Logging_0136/tillsynsmail/A 1424-2021 tillsynsbegäran mail.docx", "A 1424-2021")</f>
        <v/>
      </c>
    </row>
    <row r="345" ht="15" customHeight="1">
      <c r="A345" t="inlineStr">
        <is>
          <t>A 12989-2021</t>
        </is>
      </c>
      <c r="B345" s="1" t="n">
        <v>44271</v>
      </c>
      <c r="C345" s="1" t="n">
        <v>45350</v>
      </c>
      <c r="D345" t="inlineStr">
        <is>
          <t>STOCKHOLMS LÄN</t>
        </is>
      </c>
      <c r="E345" t="inlineStr">
        <is>
          <t>NYNÄSHAMN</t>
        </is>
      </c>
      <c r="F345" t="inlineStr">
        <is>
          <t>Kommuner</t>
        </is>
      </c>
      <c r="G345" t="n">
        <v>6.6</v>
      </c>
      <c r="H345" t="n">
        <v>1</v>
      </c>
      <c r="I345" t="n">
        <v>0</v>
      </c>
      <c r="J345" t="n">
        <v>0</v>
      </c>
      <c r="K345" t="n">
        <v>1</v>
      </c>
      <c r="L345" t="n">
        <v>0</v>
      </c>
      <c r="M345" t="n">
        <v>0</v>
      </c>
      <c r="N345" t="n">
        <v>0</v>
      </c>
      <c r="O345" t="n">
        <v>1</v>
      </c>
      <c r="P345" t="n">
        <v>1</v>
      </c>
      <c r="Q345" t="n">
        <v>1</v>
      </c>
      <c r="R345" s="2" t="inlineStr">
        <is>
          <t>Hasselsnok</t>
        </is>
      </c>
      <c r="S345">
        <f>HYPERLINK("https://klasma.github.io/Logging_0192/artfynd/A 12989-2021 artfynd.xlsx", "A 12989-2021")</f>
        <v/>
      </c>
      <c r="T345">
        <f>HYPERLINK("https://klasma.github.io/Logging_0192/kartor/A 12989-2021 karta.png", "A 12989-2021")</f>
        <v/>
      </c>
      <c r="V345">
        <f>HYPERLINK("https://klasma.github.io/Logging_0192/klagomål/A 12989-2021 FSC-klagomål.docx", "A 12989-2021")</f>
        <v/>
      </c>
      <c r="W345">
        <f>HYPERLINK("https://klasma.github.io/Logging_0192/klagomålsmail/A 12989-2021 FSC-klagomål mail.docx", "A 12989-2021")</f>
        <v/>
      </c>
      <c r="X345">
        <f>HYPERLINK("https://klasma.github.io/Logging_0192/tillsyn/A 12989-2021 tillsynsbegäran.docx", "A 12989-2021")</f>
        <v/>
      </c>
      <c r="Y345">
        <f>HYPERLINK("https://klasma.github.io/Logging_0192/tillsynsmail/A 12989-2021 tillsynsbegäran mail.docx", "A 12989-2021")</f>
        <v/>
      </c>
    </row>
    <row r="346" ht="15" customHeight="1">
      <c r="A346" t="inlineStr">
        <is>
          <t>A 13942-2021</t>
        </is>
      </c>
      <c r="B346" s="1" t="n">
        <v>44277</v>
      </c>
      <c r="C346" s="1" t="n">
        <v>45350</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16461-2021</t>
        </is>
      </c>
      <c r="B347" s="1" t="n">
        <v>44293</v>
      </c>
      <c r="C347" s="1" t="n">
        <v>45350</v>
      </c>
      <c r="D347" t="inlineStr">
        <is>
          <t>STOCKHOLMS LÄN</t>
        </is>
      </c>
      <c r="E347" t="inlineStr">
        <is>
          <t>SIGTUNA</t>
        </is>
      </c>
      <c r="G347" t="n">
        <v>8</v>
      </c>
      <c r="H347" t="n">
        <v>1</v>
      </c>
      <c r="I347" t="n">
        <v>0</v>
      </c>
      <c r="J347" t="n">
        <v>0</v>
      </c>
      <c r="K347" t="n">
        <v>0</v>
      </c>
      <c r="L347" t="n">
        <v>0</v>
      </c>
      <c r="M347" t="n">
        <v>0</v>
      </c>
      <c r="N347" t="n">
        <v>0</v>
      </c>
      <c r="O347" t="n">
        <v>0</v>
      </c>
      <c r="P347" t="n">
        <v>0</v>
      </c>
      <c r="Q347" t="n">
        <v>1</v>
      </c>
      <c r="R347" s="2" t="inlineStr">
        <is>
          <t>Större vattensalamander</t>
        </is>
      </c>
      <c r="S347">
        <f>HYPERLINK("https://klasma.github.io/Logging_0191/artfynd/A 16461-2021 artfynd.xlsx", "A 16461-2021")</f>
        <v/>
      </c>
      <c r="T347">
        <f>HYPERLINK("https://klasma.github.io/Logging_0191/kartor/A 16461-2021 karta.png", "A 16461-2021")</f>
        <v/>
      </c>
      <c r="V347">
        <f>HYPERLINK("https://klasma.github.io/Logging_0191/klagomål/A 16461-2021 FSC-klagomål.docx", "A 16461-2021")</f>
        <v/>
      </c>
      <c r="W347">
        <f>HYPERLINK("https://klasma.github.io/Logging_0191/klagomålsmail/A 16461-2021 FSC-klagomål mail.docx", "A 16461-2021")</f>
        <v/>
      </c>
      <c r="X347">
        <f>HYPERLINK("https://klasma.github.io/Logging_0191/tillsyn/A 16461-2021 tillsynsbegäran.docx", "A 16461-2021")</f>
        <v/>
      </c>
      <c r="Y347">
        <f>HYPERLINK("https://klasma.github.io/Logging_0191/tillsynsmail/A 16461-2021 tillsynsbegäran mail.docx", "A 16461-2021")</f>
        <v/>
      </c>
    </row>
    <row r="348" ht="15" customHeight="1">
      <c r="A348" t="inlineStr">
        <is>
          <t>A 18280-2021</t>
        </is>
      </c>
      <c r="B348" s="1" t="n">
        <v>44298</v>
      </c>
      <c r="C348" s="1" t="n">
        <v>45350</v>
      </c>
      <c r="D348" t="inlineStr">
        <is>
          <t>STOCKHOLMS LÄN</t>
        </is>
      </c>
      <c r="E348" t="inlineStr">
        <is>
          <t>NACKA</t>
        </is>
      </c>
      <c r="G348" t="n">
        <v>4.4</v>
      </c>
      <c r="H348" t="n">
        <v>1</v>
      </c>
      <c r="I348" t="n">
        <v>0</v>
      </c>
      <c r="J348" t="n">
        <v>1</v>
      </c>
      <c r="K348" t="n">
        <v>0</v>
      </c>
      <c r="L348" t="n">
        <v>0</v>
      </c>
      <c r="M348" t="n">
        <v>0</v>
      </c>
      <c r="N348" t="n">
        <v>0</v>
      </c>
      <c r="O348" t="n">
        <v>1</v>
      </c>
      <c r="P348" t="n">
        <v>0</v>
      </c>
      <c r="Q348" t="n">
        <v>1</v>
      </c>
      <c r="R348" s="2" t="inlineStr">
        <is>
          <t>Duvhök</t>
        </is>
      </c>
      <c r="S348">
        <f>HYPERLINK("https://klasma.github.io/Logging_0182/artfynd/A 18280-2021 artfynd.xlsx", "A 18280-2021")</f>
        <v/>
      </c>
      <c r="T348">
        <f>HYPERLINK("https://klasma.github.io/Logging_0182/kartor/A 18280-2021 karta.png", "A 18280-2021")</f>
        <v/>
      </c>
      <c r="V348">
        <f>HYPERLINK("https://klasma.github.io/Logging_0182/klagomål/A 18280-2021 FSC-klagomål.docx", "A 18280-2021")</f>
        <v/>
      </c>
      <c r="W348">
        <f>HYPERLINK("https://klasma.github.io/Logging_0182/klagomålsmail/A 18280-2021 FSC-klagomål mail.docx", "A 18280-2021")</f>
        <v/>
      </c>
      <c r="X348">
        <f>HYPERLINK("https://klasma.github.io/Logging_0182/tillsyn/A 18280-2021 tillsynsbegäran.docx", "A 18280-2021")</f>
        <v/>
      </c>
      <c r="Y348">
        <f>HYPERLINK("https://klasma.github.io/Logging_0182/tillsynsmail/A 18280-2021 tillsynsbegäran mail.docx", "A 18280-2021")</f>
        <v/>
      </c>
    </row>
    <row r="349" ht="15" customHeight="1">
      <c r="A349" t="inlineStr">
        <is>
          <t>A 27757-2021</t>
        </is>
      </c>
      <c r="B349" s="1" t="n">
        <v>44354</v>
      </c>
      <c r="C349" s="1" t="n">
        <v>45350</v>
      </c>
      <c r="D349" t="inlineStr">
        <is>
          <t>STOCKHOLMS LÄN</t>
        </is>
      </c>
      <c r="E349" t="inlineStr">
        <is>
          <t>SÖDERTÄLJE</t>
        </is>
      </c>
      <c r="F349" t="inlineStr">
        <is>
          <t>Sveaskog</t>
        </is>
      </c>
      <c r="G349" t="n">
        <v>1.7</v>
      </c>
      <c r="H349" t="n">
        <v>0</v>
      </c>
      <c r="I349" t="n">
        <v>0</v>
      </c>
      <c r="J349" t="n">
        <v>0</v>
      </c>
      <c r="K349" t="n">
        <v>0</v>
      </c>
      <c r="L349" t="n">
        <v>1</v>
      </c>
      <c r="M349" t="n">
        <v>0</v>
      </c>
      <c r="N349" t="n">
        <v>0</v>
      </c>
      <c r="O349" t="n">
        <v>1</v>
      </c>
      <c r="P349" t="n">
        <v>1</v>
      </c>
      <c r="Q349" t="n">
        <v>1</v>
      </c>
      <c r="R349" s="2" t="inlineStr">
        <is>
          <t>Ryl</t>
        </is>
      </c>
      <c r="S349">
        <f>HYPERLINK("https://klasma.github.io/Logging_0181/artfynd/A 27757-2021 artfynd.xlsx", "A 27757-2021")</f>
        <v/>
      </c>
      <c r="T349">
        <f>HYPERLINK("https://klasma.github.io/Logging_0181/kartor/A 27757-2021 karta.png", "A 27757-2021")</f>
        <v/>
      </c>
      <c r="V349">
        <f>HYPERLINK("https://klasma.github.io/Logging_0181/klagomål/A 27757-2021 FSC-klagomål.docx", "A 27757-2021")</f>
        <v/>
      </c>
      <c r="W349">
        <f>HYPERLINK("https://klasma.github.io/Logging_0181/klagomålsmail/A 27757-2021 FSC-klagomål mail.docx", "A 27757-2021")</f>
        <v/>
      </c>
      <c r="X349">
        <f>HYPERLINK("https://klasma.github.io/Logging_0181/tillsyn/A 27757-2021 tillsynsbegäran.docx", "A 27757-2021")</f>
        <v/>
      </c>
      <c r="Y349">
        <f>HYPERLINK("https://klasma.github.io/Logging_0181/tillsynsmail/A 27757-2021 tillsynsbegäran mail.docx", "A 27757-2021")</f>
        <v/>
      </c>
    </row>
    <row r="350" ht="15" customHeight="1">
      <c r="A350" t="inlineStr">
        <is>
          <t>A 31980-2021</t>
        </is>
      </c>
      <c r="B350" s="1" t="n">
        <v>44370</v>
      </c>
      <c r="C350" s="1" t="n">
        <v>45350</v>
      </c>
      <c r="D350" t="inlineStr">
        <is>
          <t>STOCKHOLMS LÄN</t>
        </is>
      </c>
      <c r="E350" t="inlineStr">
        <is>
          <t>NYNÄSHAMN</t>
        </is>
      </c>
      <c r="G350" t="n">
        <v>3.3</v>
      </c>
      <c r="H350" t="n">
        <v>0</v>
      </c>
      <c r="I350" t="n">
        <v>0</v>
      </c>
      <c r="J350" t="n">
        <v>1</v>
      </c>
      <c r="K350" t="n">
        <v>0</v>
      </c>
      <c r="L350" t="n">
        <v>0</v>
      </c>
      <c r="M350" t="n">
        <v>0</v>
      </c>
      <c r="N350" t="n">
        <v>0</v>
      </c>
      <c r="O350" t="n">
        <v>1</v>
      </c>
      <c r="P350" t="n">
        <v>0</v>
      </c>
      <c r="Q350" t="n">
        <v>1</v>
      </c>
      <c r="R350" s="2" t="inlineStr">
        <is>
          <t>Liten ekkremla</t>
        </is>
      </c>
      <c r="S350">
        <f>HYPERLINK("https://klasma.github.io/Logging_0192/artfynd/A 31980-2021 artfynd.xlsx", "A 31980-2021")</f>
        <v/>
      </c>
      <c r="T350">
        <f>HYPERLINK("https://klasma.github.io/Logging_0192/kartor/A 31980-2021 karta.png", "A 31980-2021")</f>
        <v/>
      </c>
      <c r="V350">
        <f>HYPERLINK("https://klasma.github.io/Logging_0192/klagomål/A 31980-2021 FSC-klagomål.docx", "A 31980-2021")</f>
        <v/>
      </c>
      <c r="W350">
        <f>HYPERLINK("https://klasma.github.io/Logging_0192/klagomålsmail/A 31980-2021 FSC-klagomål mail.docx", "A 31980-2021")</f>
        <v/>
      </c>
      <c r="X350">
        <f>HYPERLINK("https://klasma.github.io/Logging_0192/tillsyn/A 31980-2021 tillsynsbegäran.docx", "A 31980-2021")</f>
        <v/>
      </c>
      <c r="Y350">
        <f>HYPERLINK("https://klasma.github.io/Logging_0192/tillsynsmail/A 31980-2021 tillsynsbegäran mail.docx", "A 31980-2021")</f>
        <v/>
      </c>
    </row>
    <row r="351" ht="15" customHeight="1">
      <c r="A351" t="inlineStr">
        <is>
          <t>A 33302-2021</t>
        </is>
      </c>
      <c r="B351" s="1" t="n">
        <v>44377</v>
      </c>
      <c r="C351" s="1" t="n">
        <v>45350</v>
      </c>
      <c r="D351" t="inlineStr">
        <is>
          <t>STOCKHOLMS LÄN</t>
        </is>
      </c>
      <c r="E351" t="inlineStr">
        <is>
          <t>NORRTÄLJE</t>
        </is>
      </c>
      <c r="G351" t="n">
        <v>12.5</v>
      </c>
      <c r="H351" t="n">
        <v>1</v>
      </c>
      <c r="I351" t="n">
        <v>0</v>
      </c>
      <c r="J351" t="n">
        <v>1</v>
      </c>
      <c r="K351" t="n">
        <v>0</v>
      </c>
      <c r="L351" t="n">
        <v>0</v>
      </c>
      <c r="M351" t="n">
        <v>0</v>
      </c>
      <c r="N351" t="n">
        <v>0</v>
      </c>
      <c r="O351" t="n">
        <v>1</v>
      </c>
      <c r="P351" t="n">
        <v>0</v>
      </c>
      <c r="Q351" t="n">
        <v>1</v>
      </c>
      <c r="R351" s="2" t="inlineStr">
        <is>
          <t>Spillkråka</t>
        </is>
      </c>
      <c r="S351">
        <f>HYPERLINK("https://klasma.github.io/Logging_0188/artfynd/A 33302-2021 artfynd.xlsx", "A 33302-2021")</f>
        <v/>
      </c>
      <c r="T351">
        <f>HYPERLINK("https://klasma.github.io/Logging_0188/kartor/A 33302-2021 karta.png", "A 33302-2021")</f>
        <v/>
      </c>
      <c r="V351">
        <f>HYPERLINK("https://klasma.github.io/Logging_0188/klagomål/A 33302-2021 FSC-klagomål.docx", "A 33302-2021")</f>
        <v/>
      </c>
      <c r="W351">
        <f>HYPERLINK("https://klasma.github.io/Logging_0188/klagomålsmail/A 33302-2021 FSC-klagomål mail.docx", "A 33302-2021")</f>
        <v/>
      </c>
      <c r="X351">
        <f>HYPERLINK("https://klasma.github.io/Logging_0188/tillsyn/A 33302-2021 tillsynsbegäran.docx", "A 33302-2021")</f>
        <v/>
      </c>
      <c r="Y351">
        <f>HYPERLINK("https://klasma.github.io/Logging_0188/tillsynsmail/A 33302-2021 tillsynsbegäran mail.docx", "A 33302-2021")</f>
        <v/>
      </c>
      <c r="Z351">
        <f>HYPERLINK("https://klasma.github.io/Logging_0188/fåglar/A 33302-2021 prioriterade fågelarter.docx", "A 33302-2021")</f>
        <v/>
      </c>
    </row>
    <row r="352" ht="15" customHeight="1">
      <c r="A352" t="inlineStr">
        <is>
          <t>A 37100-2021</t>
        </is>
      </c>
      <c r="B352" s="1" t="n">
        <v>44396</v>
      </c>
      <c r="C352" s="1" t="n">
        <v>45350</v>
      </c>
      <c r="D352" t="inlineStr">
        <is>
          <t>STOCKHOLMS LÄN</t>
        </is>
      </c>
      <c r="E352" t="inlineStr">
        <is>
          <t>NYNÄSHAMN</t>
        </is>
      </c>
      <c r="G352" t="n">
        <v>1.4</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37100-2021 artfynd.xlsx", "A 37100-2021")</f>
        <v/>
      </c>
      <c r="T352">
        <f>HYPERLINK("https://klasma.github.io/Logging_0192/kartor/A 37100-2021 karta.png", "A 37100-2021")</f>
        <v/>
      </c>
      <c r="V352">
        <f>HYPERLINK("https://klasma.github.io/Logging_0192/klagomål/A 37100-2021 FSC-klagomål.docx", "A 37100-2021")</f>
        <v/>
      </c>
      <c r="W352">
        <f>HYPERLINK("https://klasma.github.io/Logging_0192/klagomålsmail/A 37100-2021 FSC-klagomål mail.docx", "A 37100-2021")</f>
        <v/>
      </c>
      <c r="X352">
        <f>HYPERLINK("https://klasma.github.io/Logging_0192/tillsyn/A 37100-2021 tillsynsbegäran.docx", "A 37100-2021")</f>
        <v/>
      </c>
      <c r="Y352">
        <f>HYPERLINK("https://klasma.github.io/Logging_0192/tillsynsmail/A 37100-2021 tillsynsbegäran mail.docx", "A 37100-2021")</f>
        <v/>
      </c>
    </row>
    <row r="353" ht="15" customHeight="1">
      <c r="A353" t="inlineStr">
        <is>
          <t>A 37678-2021</t>
        </is>
      </c>
      <c r="B353" s="1" t="n">
        <v>44400</v>
      </c>
      <c r="C353" s="1" t="n">
        <v>45350</v>
      </c>
      <c r="D353" t="inlineStr">
        <is>
          <t>STOCKHOLMS LÄN</t>
        </is>
      </c>
      <c r="E353" t="inlineStr">
        <is>
          <t>SÖDERTÄLJE</t>
        </is>
      </c>
      <c r="F353" t="inlineStr">
        <is>
          <t>Sveaskog</t>
        </is>
      </c>
      <c r="G353" t="n">
        <v>0.8</v>
      </c>
      <c r="H353" t="n">
        <v>0</v>
      </c>
      <c r="I353" t="n">
        <v>0</v>
      </c>
      <c r="J353" t="n">
        <v>1</v>
      </c>
      <c r="K353" t="n">
        <v>0</v>
      </c>
      <c r="L353" t="n">
        <v>0</v>
      </c>
      <c r="M353" t="n">
        <v>0</v>
      </c>
      <c r="N353" t="n">
        <v>0</v>
      </c>
      <c r="O353" t="n">
        <v>1</v>
      </c>
      <c r="P353" t="n">
        <v>0</v>
      </c>
      <c r="Q353" t="n">
        <v>1</v>
      </c>
      <c r="R353" s="2" t="inlineStr">
        <is>
          <t>Motaggsvamp</t>
        </is>
      </c>
      <c r="S353">
        <f>HYPERLINK("https://klasma.github.io/Logging_0181/artfynd/A 37678-2021 artfynd.xlsx", "A 37678-2021")</f>
        <v/>
      </c>
      <c r="T353">
        <f>HYPERLINK("https://klasma.github.io/Logging_0181/kartor/A 37678-2021 karta.png", "A 37678-2021")</f>
        <v/>
      </c>
      <c r="V353">
        <f>HYPERLINK("https://klasma.github.io/Logging_0181/klagomål/A 37678-2021 FSC-klagomål.docx", "A 37678-2021")</f>
        <v/>
      </c>
      <c r="W353">
        <f>HYPERLINK("https://klasma.github.io/Logging_0181/klagomålsmail/A 37678-2021 FSC-klagomål mail.docx", "A 37678-2021")</f>
        <v/>
      </c>
      <c r="X353">
        <f>HYPERLINK("https://klasma.github.io/Logging_0181/tillsyn/A 37678-2021 tillsynsbegäran.docx", "A 37678-2021")</f>
        <v/>
      </c>
      <c r="Y353">
        <f>HYPERLINK("https://klasma.github.io/Logging_0181/tillsynsmail/A 37678-2021 tillsynsbegäran mail.docx", "A 37678-2021")</f>
        <v/>
      </c>
    </row>
    <row r="354" ht="15" customHeight="1">
      <c r="A354" t="inlineStr">
        <is>
          <t>A 41934-2021</t>
        </is>
      </c>
      <c r="B354" s="1" t="n">
        <v>44425</v>
      </c>
      <c r="C354" s="1" t="n">
        <v>45350</v>
      </c>
      <c r="D354" t="inlineStr">
        <is>
          <t>STOCKHOLMS LÄN</t>
        </is>
      </c>
      <c r="E354" t="inlineStr">
        <is>
          <t>VALLENTUNA</t>
        </is>
      </c>
      <c r="F354" t="inlineStr">
        <is>
          <t>Övriga Aktiebolag</t>
        </is>
      </c>
      <c r="G354" t="n">
        <v>7.1</v>
      </c>
      <c r="H354" t="n">
        <v>0</v>
      </c>
      <c r="I354" t="n">
        <v>0</v>
      </c>
      <c r="J354" t="n">
        <v>1</v>
      </c>
      <c r="K354" t="n">
        <v>0</v>
      </c>
      <c r="L354" t="n">
        <v>0</v>
      </c>
      <c r="M354" t="n">
        <v>0</v>
      </c>
      <c r="N354" t="n">
        <v>0</v>
      </c>
      <c r="O354" t="n">
        <v>1</v>
      </c>
      <c r="P354" t="n">
        <v>0</v>
      </c>
      <c r="Q354" t="n">
        <v>1</v>
      </c>
      <c r="R354" s="2" t="inlineStr">
        <is>
          <t>Skogsklocka</t>
        </is>
      </c>
      <c r="S354">
        <f>HYPERLINK("https://klasma.github.io/Logging_0115/artfynd/A 41934-2021 artfynd.xlsx", "A 41934-2021")</f>
        <v/>
      </c>
      <c r="T354">
        <f>HYPERLINK("https://klasma.github.io/Logging_0115/kartor/A 41934-2021 karta.png", "A 41934-2021")</f>
        <v/>
      </c>
      <c r="V354">
        <f>HYPERLINK("https://klasma.github.io/Logging_0115/klagomål/A 41934-2021 FSC-klagomål.docx", "A 41934-2021")</f>
        <v/>
      </c>
      <c r="W354">
        <f>HYPERLINK("https://klasma.github.io/Logging_0115/klagomålsmail/A 41934-2021 FSC-klagomål mail.docx", "A 41934-2021")</f>
        <v/>
      </c>
      <c r="X354">
        <f>HYPERLINK("https://klasma.github.io/Logging_0115/tillsyn/A 41934-2021 tillsynsbegäran.docx", "A 41934-2021")</f>
        <v/>
      </c>
      <c r="Y354">
        <f>HYPERLINK("https://klasma.github.io/Logging_0115/tillsynsmail/A 41934-2021 tillsynsbegäran mail.docx", "A 41934-2021")</f>
        <v/>
      </c>
    </row>
    <row r="355" ht="15" customHeight="1">
      <c r="A355" t="inlineStr">
        <is>
          <t>A 42050-2021</t>
        </is>
      </c>
      <c r="B355" s="1" t="n">
        <v>44426</v>
      </c>
      <c r="C355" s="1" t="n">
        <v>45350</v>
      </c>
      <c r="D355" t="inlineStr">
        <is>
          <t>STOCKHOLMS LÄN</t>
        </is>
      </c>
      <c r="E355" t="inlineStr">
        <is>
          <t>NYNÄSHAMN</t>
        </is>
      </c>
      <c r="G355" t="n">
        <v>2</v>
      </c>
      <c r="H355" t="n">
        <v>0</v>
      </c>
      <c r="I355" t="n">
        <v>0</v>
      </c>
      <c r="J355" t="n">
        <v>1</v>
      </c>
      <c r="K355" t="n">
        <v>0</v>
      </c>
      <c r="L355" t="n">
        <v>0</v>
      </c>
      <c r="M355" t="n">
        <v>0</v>
      </c>
      <c r="N355" t="n">
        <v>0</v>
      </c>
      <c r="O355" t="n">
        <v>1</v>
      </c>
      <c r="P355" t="n">
        <v>0</v>
      </c>
      <c r="Q355" t="n">
        <v>1</v>
      </c>
      <c r="R355" s="2" t="inlineStr">
        <is>
          <t>Kandelabersvamp</t>
        </is>
      </c>
      <c r="S355">
        <f>HYPERLINK("https://klasma.github.io/Logging_0192/artfynd/A 42050-2021 artfynd.xlsx", "A 42050-2021")</f>
        <v/>
      </c>
      <c r="T355">
        <f>HYPERLINK("https://klasma.github.io/Logging_0192/kartor/A 42050-2021 karta.png", "A 42050-2021")</f>
        <v/>
      </c>
      <c r="V355">
        <f>HYPERLINK("https://klasma.github.io/Logging_0192/klagomål/A 42050-2021 FSC-klagomål.docx", "A 42050-2021")</f>
        <v/>
      </c>
      <c r="W355">
        <f>HYPERLINK("https://klasma.github.io/Logging_0192/klagomålsmail/A 42050-2021 FSC-klagomål mail.docx", "A 42050-2021")</f>
        <v/>
      </c>
      <c r="X355">
        <f>HYPERLINK("https://klasma.github.io/Logging_0192/tillsyn/A 42050-2021 tillsynsbegäran.docx", "A 42050-2021")</f>
        <v/>
      </c>
      <c r="Y355">
        <f>HYPERLINK("https://klasma.github.io/Logging_0192/tillsynsmail/A 42050-2021 tillsynsbegäran mail.docx", "A 42050-2021")</f>
        <v/>
      </c>
    </row>
    <row r="356" ht="15" customHeight="1">
      <c r="A356" t="inlineStr">
        <is>
          <t>A 55263-2021</t>
        </is>
      </c>
      <c r="B356" s="1" t="n">
        <v>44475</v>
      </c>
      <c r="C356" s="1" t="n">
        <v>45350</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58888-2021</t>
        </is>
      </c>
      <c r="B357" s="1" t="n">
        <v>44489</v>
      </c>
      <c r="C357" s="1" t="n">
        <v>45350</v>
      </c>
      <c r="D357" t="inlineStr">
        <is>
          <t>STOCKHOLMS LÄN</t>
        </is>
      </c>
      <c r="E357" t="inlineStr">
        <is>
          <t>NORRTÄLJE</t>
        </is>
      </c>
      <c r="F357" t="inlineStr">
        <is>
          <t>Holmen skog AB</t>
        </is>
      </c>
      <c r="G357" t="n">
        <v>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58888-2021 artfynd.xlsx", "A 58888-2021")</f>
        <v/>
      </c>
      <c r="T357">
        <f>HYPERLINK("https://klasma.github.io/Logging_0188/kartor/A 58888-2021 karta.png", "A 58888-2021")</f>
        <v/>
      </c>
      <c r="V357">
        <f>HYPERLINK("https://klasma.github.io/Logging_0188/klagomål/A 58888-2021 FSC-klagomål.docx", "A 58888-2021")</f>
        <v/>
      </c>
      <c r="W357">
        <f>HYPERLINK("https://klasma.github.io/Logging_0188/klagomålsmail/A 58888-2021 FSC-klagomål mail.docx", "A 58888-2021")</f>
        <v/>
      </c>
      <c r="X357">
        <f>HYPERLINK("https://klasma.github.io/Logging_0188/tillsyn/A 58888-2021 tillsynsbegäran.docx", "A 58888-2021")</f>
        <v/>
      </c>
      <c r="Y357">
        <f>HYPERLINK("https://klasma.github.io/Logging_0188/tillsynsmail/A 58888-2021 tillsynsbegäran mail.docx", "A 58888-2021")</f>
        <v/>
      </c>
    </row>
    <row r="358" ht="15" customHeight="1">
      <c r="A358" t="inlineStr">
        <is>
          <t>A 67278-2021</t>
        </is>
      </c>
      <c r="B358" s="1" t="n">
        <v>44523</v>
      </c>
      <c r="C358" s="1" t="n">
        <v>45350</v>
      </c>
      <c r="D358" t="inlineStr">
        <is>
          <t>STOCKHOLMS LÄN</t>
        </is>
      </c>
      <c r="E358" t="inlineStr">
        <is>
          <t>ÖSTERÅKER</t>
        </is>
      </c>
      <c r="F358" t="inlineStr">
        <is>
          <t>Kommuner</t>
        </is>
      </c>
      <c r="G358" t="n">
        <v>3</v>
      </c>
      <c r="H358" t="n">
        <v>0</v>
      </c>
      <c r="I358" t="n">
        <v>0</v>
      </c>
      <c r="J358" t="n">
        <v>1</v>
      </c>
      <c r="K358" t="n">
        <v>0</v>
      </c>
      <c r="L358" t="n">
        <v>0</v>
      </c>
      <c r="M358" t="n">
        <v>0</v>
      </c>
      <c r="N358" t="n">
        <v>0</v>
      </c>
      <c r="O358" t="n">
        <v>1</v>
      </c>
      <c r="P358" t="n">
        <v>0</v>
      </c>
      <c r="Q358" t="n">
        <v>1</v>
      </c>
      <c r="R358" s="2" t="inlineStr">
        <is>
          <t>Veckticka</t>
        </is>
      </c>
      <c r="S358">
        <f>HYPERLINK("https://klasma.github.io/Logging_0117/artfynd/A 67278-2021 artfynd.xlsx", "A 67278-2021")</f>
        <v/>
      </c>
      <c r="T358">
        <f>HYPERLINK("https://klasma.github.io/Logging_0117/kartor/A 67278-2021 karta.png", "A 67278-2021")</f>
        <v/>
      </c>
      <c r="V358">
        <f>HYPERLINK("https://klasma.github.io/Logging_0117/klagomål/A 67278-2021 FSC-klagomål.docx", "A 67278-2021")</f>
        <v/>
      </c>
      <c r="W358">
        <f>HYPERLINK("https://klasma.github.io/Logging_0117/klagomålsmail/A 67278-2021 FSC-klagomål mail.docx", "A 67278-2021")</f>
        <v/>
      </c>
      <c r="X358">
        <f>HYPERLINK("https://klasma.github.io/Logging_0117/tillsyn/A 67278-2021 tillsynsbegäran.docx", "A 67278-2021")</f>
        <v/>
      </c>
      <c r="Y358">
        <f>HYPERLINK("https://klasma.github.io/Logging_0117/tillsynsmail/A 67278-2021 tillsynsbegäran mail.docx", "A 67278-2021")</f>
        <v/>
      </c>
    </row>
    <row r="359" ht="15" customHeight="1">
      <c r="A359" t="inlineStr">
        <is>
          <t>A 68883-2021</t>
        </is>
      </c>
      <c r="B359" s="1" t="n">
        <v>44526</v>
      </c>
      <c r="C359" s="1" t="n">
        <v>45350</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68692-2021</t>
        </is>
      </c>
      <c r="B360" s="1" t="n">
        <v>44529</v>
      </c>
      <c r="C360" s="1" t="n">
        <v>45350</v>
      </c>
      <c r="D360" t="inlineStr">
        <is>
          <t>STOCKHOLMS LÄN</t>
        </is>
      </c>
      <c r="E360" t="inlineStr">
        <is>
          <t>NORRTÄLJE</t>
        </is>
      </c>
      <c r="F360" t="inlineStr">
        <is>
          <t>Holmen skog AB</t>
        </is>
      </c>
      <c r="G360" t="n">
        <v>0.7</v>
      </c>
      <c r="H360" t="n">
        <v>1</v>
      </c>
      <c r="I360" t="n">
        <v>0</v>
      </c>
      <c r="J360" t="n">
        <v>0</v>
      </c>
      <c r="K360" t="n">
        <v>0</v>
      </c>
      <c r="L360" t="n">
        <v>1</v>
      </c>
      <c r="M360" t="n">
        <v>0</v>
      </c>
      <c r="N360" t="n">
        <v>0</v>
      </c>
      <c r="O360" t="n">
        <v>1</v>
      </c>
      <c r="P360" t="n">
        <v>1</v>
      </c>
      <c r="Q360" t="n">
        <v>1</v>
      </c>
      <c r="R360" s="2" t="inlineStr">
        <is>
          <t>Asknätfjäril</t>
        </is>
      </c>
      <c r="S360">
        <f>HYPERLINK("https://klasma.github.io/Logging_0188/artfynd/A 68692-2021 artfynd.xlsx", "A 68692-2021")</f>
        <v/>
      </c>
      <c r="T360">
        <f>HYPERLINK("https://klasma.github.io/Logging_0188/kartor/A 68692-2021 karta.png", "A 68692-2021")</f>
        <v/>
      </c>
      <c r="V360">
        <f>HYPERLINK("https://klasma.github.io/Logging_0188/klagomål/A 68692-2021 FSC-klagomål.docx", "A 68692-2021")</f>
        <v/>
      </c>
      <c r="W360">
        <f>HYPERLINK("https://klasma.github.io/Logging_0188/klagomålsmail/A 68692-2021 FSC-klagomål mail.docx", "A 68692-2021")</f>
        <v/>
      </c>
      <c r="X360">
        <f>HYPERLINK("https://klasma.github.io/Logging_0188/tillsyn/A 68692-2021 tillsynsbegäran.docx", "A 68692-2021")</f>
        <v/>
      </c>
      <c r="Y360">
        <f>HYPERLINK("https://klasma.github.io/Logging_0188/tillsynsmail/A 68692-2021 tillsynsbegäran mail.docx", "A 68692-2021")</f>
        <v/>
      </c>
    </row>
    <row r="361" ht="15" customHeight="1">
      <c r="A361" t="inlineStr">
        <is>
          <t>A 71315-2021</t>
        </is>
      </c>
      <c r="B361" s="1" t="n">
        <v>44539</v>
      </c>
      <c r="C361" s="1" t="n">
        <v>45350</v>
      </c>
      <c r="D361" t="inlineStr">
        <is>
          <t>STOCKHOLMS LÄN</t>
        </is>
      </c>
      <c r="E361" t="inlineStr">
        <is>
          <t>VÄRMDÖ</t>
        </is>
      </c>
      <c r="F361" t="inlineStr">
        <is>
          <t>Övriga Aktiebolag</t>
        </is>
      </c>
      <c r="G361" t="n">
        <v>5.3</v>
      </c>
      <c r="H361" t="n">
        <v>0</v>
      </c>
      <c r="I361" t="n">
        <v>1</v>
      </c>
      <c r="J361" t="n">
        <v>0</v>
      </c>
      <c r="K361" t="n">
        <v>0</v>
      </c>
      <c r="L361" t="n">
        <v>0</v>
      </c>
      <c r="M361" t="n">
        <v>0</v>
      </c>
      <c r="N361" t="n">
        <v>0</v>
      </c>
      <c r="O361" t="n">
        <v>0</v>
      </c>
      <c r="P361" t="n">
        <v>0</v>
      </c>
      <c r="Q361" t="n">
        <v>1</v>
      </c>
      <c r="R361" s="2" t="inlineStr">
        <is>
          <t>Sårläka</t>
        </is>
      </c>
      <c r="S361">
        <f>HYPERLINK("https://klasma.github.io/Logging_0120/artfynd/A 71315-2021 artfynd.xlsx", "A 71315-2021")</f>
        <v/>
      </c>
      <c r="T361">
        <f>HYPERLINK("https://klasma.github.io/Logging_0120/kartor/A 71315-2021 karta.png", "A 71315-2021")</f>
        <v/>
      </c>
      <c r="V361">
        <f>HYPERLINK("https://klasma.github.io/Logging_0120/klagomål/A 71315-2021 FSC-klagomål.docx", "A 71315-2021")</f>
        <v/>
      </c>
      <c r="W361">
        <f>HYPERLINK("https://klasma.github.io/Logging_0120/klagomålsmail/A 71315-2021 FSC-klagomål mail.docx", "A 71315-2021")</f>
        <v/>
      </c>
      <c r="X361">
        <f>HYPERLINK("https://klasma.github.io/Logging_0120/tillsyn/A 71315-2021 tillsynsbegäran.docx", "A 71315-2021")</f>
        <v/>
      </c>
      <c r="Y361">
        <f>HYPERLINK("https://klasma.github.io/Logging_0120/tillsynsmail/A 71315-2021 tillsynsbegäran mail.docx", "A 71315-2021")</f>
        <v/>
      </c>
    </row>
    <row r="362" ht="15" customHeight="1">
      <c r="A362" t="inlineStr">
        <is>
          <t>A 73773-2021</t>
        </is>
      </c>
      <c r="B362" s="1" t="n">
        <v>44552</v>
      </c>
      <c r="C362" s="1" t="n">
        <v>45350</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73787-2021</t>
        </is>
      </c>
      <c r="B363" s="1" t="n">
        <v>44552</v>
      </c>
      <c r="C363" s="1" t="n">
        <v>45350</v>
      </c>
      <c r="D363" t="inlineStr">
        <is>
          <t>STOCKHOLMS LÄN</t>
        </is>
      </c>
      <c r="E363" t="inlineStr">
        <is>
          <t>UPPLANDS-BRO</t>
        </is>
      </c>
      <c r="G363" t="n">
        <v>4.6</v>
      </c>
      <c r="H363" t="n">
        <v>0</v>
      </c>
      <c r="I363" t="n">
        <v>0</v>
      </c>
      <c r="J363" t="n">
        <v>1</v>
      </c>
      <c r="K363" t="n">
        <v>0</v>
      </c>
      <c r="L363" t="n">
        <v>0</v>
      </c>
      <c r="M363" t="n">
        <v>0</v>
      </c>
      <c r="N363" t="n">
        <v>0</v>
      </c>
      <c r="O363" t="n">
        <v>1</v>
      </c>
      <c r="P363" t="n">
        <v>0</v>
      </c>
      <c r="Q363" t="n">
        <v>1</v>
      </c>
      <c r="R363" s="2" t="inlineStr">
        <is>
          <t>Dofttaggsvamp</t>
        </is>
      </c>
      <c r="S363">
        <f>HYPERLINK("https://klasma.github.io/Logging_0139/artfynd/A 73787-2021 artfynd.xlsx", "A 73787-2021")</f>
        <v/>
      </c>
      <c r="T363">
        <f>HYPERLINK("https://klasma.github.io/Logging_0139/kartor/A 73787-2021 karta.png", "A 73787-2021")</f>
        <v/>
      </c>
      <c r="V363">
        <f>HYPERLINK("https://klasma.github.io/Logging_0139/klagomål/A 73787-2021 FSC-klagomål.docx", "A 73787-2021")</f>
        <v/>
      </c>
      <c r="W363">
        <f>HYPERLINK("https://klasma.github.io/Logging_0139/klagomålsmail/A 73787-2021 FSC-klagomål mail.docx", "A 73787-2021")</f>
        <v/>
      </c>
      <c r="X363">
        <f>HYPERLINK("https://klasma.github.io/Logging_0139/tillsyn/A 73787-2021 tillsynsbegäran.docx", "A 73787-2021")</f>
        <v/>
      </c>
      <c r="Y363">
        <f>HYPERLINK("https://klasma.github.io/Logging_0139/tillsynsmail/A 73787-2021 tillsynsbegäran mail.docx", "A 73787-2021")</f>
        <v/>
      </c>
    </row>
    <row r="364" ht="15" customHeight="1">
      <c r="A364" t="inlineStr">
        <is>
          <t>A 131-2022</t>
        </is>
      </c>
      <c r="B364" s="1" t="n">
        <v>44560</v>
      </c>
      <c r="C364" s="1" t="n">
        <v>45350</v>
      </c>
      <c r="D364" t="inlineStr">
        <is>
          <t>STOCKHOLMS LÄN</t>
        </is>
      </c>
      <c r="E364" t="inlineStr">
        <is>
          <t>VALLENTUNA</t>
        </is>
      </c>
      <c r="F364" t="inlineStr">
        <is>
          <t>Övriga Aktiebolag</t>
        </is>
      </c>
      <c r="G364" t="n">
        <v>4.6</v>
      </c>
      <c r="H364" t="n">
        <v>0</v>
      </c>
      <c r="I364" t="n">
        <v>1</v>
      </c>
      <c r="J364" t="n">
        <v>0</v>
      </c>
      <c r="K364" t="n">
        <v>0</v>
      </c>
      <c r="L364" t="n">
        <v>0</v>
      </c>
      <c r="M364" t="n">
        <v>0</v>
      </c>
      <c r="N364" t="n">
        <v>0</v>
      </c>
      <c r="O364" t="n">
        <v>0</v>
      </c>
      <c r="P364" t="n">
        <v>0</v>
      </c>
      <c r="Q364" t="n">
        <v>1</v>
      </c>
      <c r="R364" s="2" t="inlineStr">
        <is>
          <t>Tjockfotad fingersvamp</t>
        </is>
      </c>
      <c r="S364">
        <f>HYPERLINK("https://klasma.github.io/Logging_0115/artfynd/A 131-2022 artfynd.xlsx", "A 131-2022")</f>
        <v/>
      </c>
      <c r="T364">
        <f>HYPERLINK("https://klasma.github.io/Logging_0115/kartor/A 131-2022 karta.png", "A 131-2022")</f>
        <v/>
      </c>
      <c r="V364">
        <f>HYPERLINK("https://klasma.github.io/Logging_0115/klagomål/A 131-2022 FSC-klagomål.docx", "A 131-2022")</f>
        <v/>
      </c>
      <c r="W364">
        <f>HYPERLINK("https://klasma.github.io/Logging_0115/klagomålsmail/A 131-2022 FSC-klagomål mail.docx", "A 131-2022")</f>
        <v/>
      </c>
      <c r="X364">
        <f>HYPERLINK("https://klasma.github.io/Logging_0115/tillsyn/A 131-2022 tillsynsbegäran.docx", "A 131-2022")</f>
        <v/>
      </c>
      <c r="Y364">
        <f>HYPERLINK("https://klasma.github.io/Logging_0115/tillsynsmail/A 131-2022 tillsynsbegäran mail.docx", "A 131-2022")</f>
        <v/>
      </c>
    </row>
    <row r="365" ht="15" customHeight="1">
      <c r="A365" t="inlineStr">
        <is>
          <t>A 21-2022</t>
        </is>
      </c>
      <c r="B365" s="1" t="n">
        <v>44560</v>
      </c>
      <c r="C365" s="1" t="n">
        <v>45350</v>
      </c>
      <c r="D365" t="inlineStr">
        <is>
          <t>STOCKHOLMS LÄN</t>
        </is>
      </c>
      <c r="E365" t="inlineStr">
        <is>
          <t>VALLENTUNA</t>
        </is>
      </c>
      <c r="F365" t="inlineStr">
        <is>
          <t>Övriga Aktiebolag</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HYPERLINK("https://klasma.github.io/Logging_0115/artfynd/A 21-2022 artfynd.xlsx", "A 21-2022")</f>
        <v/>
      </c>
      <c r="T365">
        <f>HYPERLINK("https://klasma.github.io/Logging_0115/kartor/A 21-2022 karta.png", "A 21-2022")</f>
        <v/>
      </c>
      <c r="V365">
        <f>HYPERLINK("https://klasma.github.io/Logging_0115/klagomål/A 21-2022 FSC-klagomål.docx", "A 21-2022")</f>
        <v/>
      </c>
      <c r="W365">
        <f>HYPERLINK("https://klasma.github.io/Logging_0115/klagomålsmail/A 21-2022 FSC-klagomål mail.docx", "A 21-2022")</f>
        <v/>
      </c>
      <c r="X365">
        <f>HYPERLINK("https://klasma.github.io/Logging_0115/tillsyn/A 21-2022 tillsynsbegäran.docx", "A 21-2022")</f>
        <v/>
      </c>
      <c r="Y365">
        <f>HYPERLINK("https://klasma.github.io/Logging_0115/tillsynsmail/A 21-2022 tillsynsbegäran mail.docx", "A 21-2022")</f>
        <v/>
      </c>
    </row>
    <row r="366" ht="15" customHeight="1">
      <c r="A366" t="inlineStr">
        <is>
          <t>A 188-2022</t>
        </is>
      </c>
      <c r="B366" s="1" t="n">
        <v>44564</v>
      </c>
      <c r="C366" s="1" t="n">
        <v>45350</v>
      </c>
      <c r="D366" t="inlineStr">
        <is>
          <t>STOCKHOLMS LÄN</t>
        </is>
      </c>
      <c r="E366" t="inlineStr">
        <is>
          <t>NORRTÄLJE</t>
        </is>
      </c>
      <c r="G366" t="n">
        <v>4.1</v>
      </c>
      <c r="H366" t="n">
        <v>0</v>
      </c>
      <c r="I366" t="n">
        <v>1</v>
      </c>
      <c r="J366" t="n">
        <v>0</v>
      </c>
      <c r="K366" t="n">
        <v>0</v>
      </c>
      <c r="L366" t="n">
        <v>0</v>
      </c>
      <c r="M366" t="n">
        <v>0</v>
      </c>
      <c r="N366" t="n">
        <v>0</v>
      </c>
      <c r="O366" t="n">
        <v>0</v>
      </c>
      <c r="P366" t="n">
        <v>0</v>
      </c>
      <c r="Q366" t="n">
        <v>1</v>
      </c>
      <c r="R366" s="2" t="inlineStr">
        <is>
          <t>Svart trolldruva</t>
        </is>
      </c>
      <c r="S366">
        <f>HYPERLINK("https://klasma.github.io/Logging_0188/artfynd/A 188-2022 artfynd.xlsx", "A 188-2022")</f>
        <v/>
      </c>
      <c r="T366">
        <f>HYPERLINK("https://klasma.github.io/Logging_0188/kartor/A 188-2022 karta.png", "A 188-2022")</f>
        <v/>
      </c>
      <c r="V366">
        <f>HYPERLINK("https://klasma.github.io/Logging_0188/klagomål/A 188-2022 FSC-klagomål.docx", "A 188-2022")</f>
        <v/>
      </c>
      <c r="W366">
        <f>HYPERLINK("https://klasma.github.io/Logging_0188/klagomålsmail/A 188-2022 FSC-klagomål mail.docx", "A 188-2022")</f>
        <v/>
      </c>
      <c r="X366">
        <f>HYPERLINK("https://klasma.github.io/Logging_0188/tillsyn/A 188-2022 tillsynsbegäran.docx", "A 188-2022")</f>
        <v/>
      </c>
      <c r="Y366">
        <f>HYPERLINK("https://klasma.github.io/Logging_0188/tillsynsmail/A 188-2022 tillsynsbegäran mail.docx", "A 188-2022")</f>
        <v/>
      </c>
    </row>
    <row r="367" ht="15" customHeight="1">
      <c r="A367" t="inlineStr">
        <is>
          <t>A 1547-2022</t>
        </is>
      </c>
      <c r="B367" s="1" t="n">
        <v>44573</v>
      </c>
      <c r="C367" s="1" t="n">
        <v>45350</v>
      </c>
      <c r="D367" t="inlineStr">
        <is>
          <t>STOCKHOLMS LÄN</t>
        </is>
      </c>
      <c r="E367" t="inlineStr">
        <is>
          <t>NORRTÄLJE</t>
        </is>
      </c>
      <c r="G367" t="n">
        <v>1.8</v>
      </c>
      <c r="H367" t="n">
        <v>1</v>
      </c>
      <c r="I367" t="n">
        <v>0</v>
      </c>
      <c r="J367" t="n">
        <v>0</v>
      </c>
      <c r="K367" t="n">
        <v>1</v>
      </c>
      <c r="L367" t="n">
        <v>0</v>
      </c>
      <c r="M367" t="n">
        <v>0</v>
      </c>
      <c r="N367" t="n">
        <v>0</v>
      </c>
      <c r="O367" t="n">
        <v>1</v>
      </c>
      <c r="P367" t="n">
        <v>1</v>
      </c>
      <c r="Q367" t="n">
        <v>1</v>
      </c>
      <c r="R367" s="2" t="inlineStr">
        <is>
          <t>Hällebräcka</t>
        </is>
      </c>
      <c r="S367">
        <f>HYPERLINK("https://klasma.github.io/Logging_0188/artfynd/A 1547-2022 artfynd.xlsx", "A 1547-2022")</f>
        <v/>
      </c>
      <c r="T367">
        <f>HYPERLINK("https://klasma.github.io/Logging_0188/kartor/A 1547-2022 karta.png", "A 1547-2022")</f>
        <v/>
      </c>
      <c r="V367">
        <f>HYPERLINK("https://klasma.github.io/Logging_0188/klagomål/A 1547-2022 FSC-klagomål.docx", "A 1547-2022")</f>
        <v/>
      </c>
      <c r="W367">
        <f>HYPERLINK("https://klasma.github.io/Logging_0188/klagomålsmail/A 1547-2022 FSC-klagomål mail.docx", "A 1547-2022")</f>
        <v/>
      </c>
      <c r="X367">
        <f>HYPERLINK("https://klasma.github.io/Logging_0188/tillsyn/A 1547-2022 tillsynsbegäran.docx", "A 1547-2022")</f>
        <v/>
      </c>
      <c r="Y367">
        <f>HYPERLINK("https://klasma.github.io/Logging_0188/tillsynsmail/A 1547-2022 tillsynsbegäran mail.docx", "A 1547-2022")</f>
        <v/>
      </c>
    </row>
    <row r="368" ht="15" customHeight="1">
      <c r="A368" t="inlineStr">
        <is>
          <t>A 1946-2022</t>
        </is>
      </c>
      <c r="B368" s="1" t="n">
        <v>44575</v>
      </c>
      <c r="C368" s="1" t="n">
        <v>45350</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2722-2022</t>
        </is>
      </c>
      <c r="B369" s="1" t="n">
        <v>44580</v>
      </c>
      <c r="C369" s="1" t="n">
        <v>45350</v>
      </c>
      <c r="D369" t="inlineStr">
        <is>
          <t>STOCKHOLMS LÄN</t>
        </is>
      </c>
      <c r="E369" t="inlineStr">
        <is>
          <t>HANINGE</t>
        </is>
      </c>
      <c r="G369" t="n">
        <v>1.5</v>
      </c>
      <c r="H369" t="n">
        <v>1</v>
      </c>
      <c r="I369" t="n">
        <v>1</v>
      </c>
      <c r="J369" t="n">
        <v>0</v>
      </c>
      <c r="K369" t="n">
        <v>0</v>
      </c>
      <c r="L369" t="n">
        <v>0</v>
      </c>
      <c r="M369" t="n">
        <v>0</v>
      </c>
      <c r="N369" t="n">
        <v>0</v>
      </c>
      <c r="O369" t="n">
        <v>0</v>
      </c>
      <c r="P369" t="n">
        <v>0</v>
      </c>
      <c r="Q369" t="n">
        <v>1</v>
      </c>
      <c r="R369" s="2" t="inlineStr">
        <is>
          <t>Grön sköldmossa</t>
        </is>
      </c>
      <c r="S369">
        <f>HYPERLINK("https://klasma.github.io/Logging_0136/artfynd/A 2722-2022 artfynd.xlsx", "A 2722-2022")</f>
        <v/>
      </c>
      <c r="T369">
        <f>HYPERLINK("https://klasma.github.io/Logging_0136/kartor/A 2722-2022 karta.png", "A 2722-2022")</f>
        <v/>
      </c>
      <c r="V369">
        <f>HYPERLINK("https://klasma.github.io/Logging_0136/klagomål/A 2722-2022 FSC-klagomål.docx", "A 2722-2022")</f>
        <v/>
      </c>
      <c r="W369">
        <f>HYPERLINK("https://klasma.github.io/Logging_0136/klagomålsmail/A 2722-2022 FSC-klagomål mail.docx", "A 2722-2022")</f>
        <v/>
      </c>
      <c r="X369">
        <f>HYPERLINK("https://klasma.github.io/Logging_0136/tillsyn/A 2722-2022 tillsynsbegäran.docx", "A 2722-2022")</f>
        <v/>
      </c>
      <c r="Y369">
        <f>HYPERLINK("https://klasma.github.io/Logging_0136/tillsynsmail/A 2722-2022 tillsynsbegäran mail.docx", "A 2722-2022")</f>
        <v/>
      </c>
    </row>
    <row r="370" ht="15" customHeight="1">
      <c r="A370" t="inlineStr">
        <is>
          <t>A 3218-2022</t>
        </is>
      </c>
      <c r="B370" s="1" t="n">
        <v>44582</v>
      </c>
      <c r="C370" s="1" t="n">
        <v>45350</v>
      </c>
      <c r="D370" t="inlineStr">
        <is>
          <t>STOCKHOLMS LÄN</t>
        </is>
      </c>
      <c r="E370" t="inlineStr">
        <is>
          <t>EKERÖ</t>
        </is>
      </c>
      <c r="G370" t="n">
        <v>1.2</v>
      </c>
      <c r="H370" t="n">
        <v>0</v>
      </c>
      <c r="I370" t="n">
        <v>0</v>
      </c>
      <c r="J370" t="n">
        <v>0</v>
      </c>
      <c r="K370" t="n">
        <v>1</v>
      </c>
      <c r="L370" t="n">
        <v>0</v>
      </c>
      <c r="M370" t="n">
        <v>0</v>
      </c>
      <c r="N370" t="n">
        <v>0</v>
      </c>
      <c r="O370" t="n">
        <v>1</v>
      </c>
      <c r="P370" t="n">
        <v>1</v>
      </c>
      <c r="Q370" t="n">
        <v>1</v>
      </c>
      <c r="R370" s="2" t="inlineStr">
        <is>
          <t>Gul lammticka</t>
        </is>
      </c>
      <c r="S370">
        <f>HYPERLINK("https://klasma.github.io/Logging_0125/artfynd/A 3218-2022 artfynd.xlsx", "A 3218-2022")</f>
        <v/>
      </c>
      <c r="T370">
        <f>HYPERLINK("https://klasma.github.io/Logging_0125/kartor/A 3218-2022 karta.png", "A 3218-2022")</f>
        <v/>
      </c>
      <c r="V370">
        <f>HYPERLINK("https://klasma.github.io/Logging_0125/klagomål/A 3218-2022 FSC-klagomål.docx", "A 3218-2022")</f>
        <v/>
      </c>
      <c r="W370">
        <f>HYPERLINK("https://klasma.github.io/Logging_0125/klagomålsmail/A 3218-2022 FSC-klagomål mail.docx", "A 3218-2022")</f>
        <v/>
      </c>
      <c r="X370">
        <f>HYPERLINK("https://klasma.github.io/Logging_0125/tillsyn/A 3218-2022 tillsynsbegäran.docx", "A 3218-2022")</f>
        <v/>
      </c>
      <c r="Y370">
        <f>HYPERLINK("https://klasma.github.io/Logging_0125/tillsynsmail/A 3218-2022 tillsynsbegäran mail.docx", "A 3218-2022")</f>
        <v/>
      </c>
    </row>
    <row r="371" ht="15" customHeight="1">
      <c r="A371" t="inlineStr">
        <is>
          <t>A 7172-2022</t>
        </is>
      </c>
      <c r="B371" s="1" t="n">
        <v>44604</v>
      </c>
      <c r="C371" s="1" t="n">
        <v>45350</v>
      </c>
      <c r="D371" t="inlineStr">
        <is>
          <t>STOCKHOLMS LÄN</t>
        </is>
      </c>
      <c r="E371" t="inlineStr">
        <is>
          <t>NORRTÄLJE</t>
        </is>
      </c>
      <c r="G371" t="n">
        <v>4.8</v>
      </c>
      <c r="H371" t="n">
        <v>0</v>
      </c>
      <c r="I371" t="n">
        <v>1</v>
      </c>
      <c r="J371" t="n">
        <v>0</v>
      </c>
      <c r="K371" t="n">
        <v>0</v>
      </c>
      <c r="L371" t="n">
        <v>0</v>
      </c>
      <c r="M371" t="n">
        <v>0</v>
      </c>
      <c r="N371" t="n">
        <v>0</v>
      </c>
      <c r="O371" t="n">
        <v>0</v>
      </c>
      <c r="P371" t="n">
        <v>0</v>
      </c>
      <c r="Q371" t="n">
        <v>1</v>
      </c>
      <c r="R371" s="2" t="inlineStr">
        <is>
          <t>Trådticka</t>
        </is>
      </c>
      <c r="S371">
        <f>HYPERLINK("https://klasma.github.io/Logging_0188/artfynd/A 7172-2022 artfynd.xlsx", "A 7172-2022")</f>
        <v/>
      </c>
      <c r="T371">
        <f>HYPERLINK("https://klasma.github.io/Logging_0188/kartor/A 7172-2022 karta.png", "A 7172-2022")</f>
        <v/>
      </c>
      <c r="U371">
        <f>HYPERLINK("https://klasma.github.io/Logging_0188/knärot/A 7172-2022 karta knärot.png", "A 7172-2022")</f>
        <v/>
      </c>
      <c r="V371">
        <f>HYPERLINK("https://klasma.github.io/Logging_0188/klagomål/A 7172-2022 FSC-klagomål.docx", "A 7172-2022")</f>
        <v/>
      </c>
      <c r="W371">
        <f>HYPERLINK("https://klasma.github.io/Logging_0188/klagomålsmail/A 7172-2022 FSC-klagomål mail.docx", "A 7172-2022")</f>
        <v/>
      </c>
      <c r="X371">
        <f>HYPERLINK("https://klasma.github.io/Logging_0188/tillsyn/A 7172-2022 tillsynsbegäran.docx", "A 7172-2022")</f>
        <v/>
      </c>
      <c r="Y371">
        <f>HYPERLINK("https://klasma.github.io/Logging_0188/tillsynsmail/A 7172-2022 tillsynsbegäran mail.docx", "A 7172-2022")</f>
        <v/>
      </c>
    </row>
    <row r="372" ht="15" customHeight="1">
      <c r="A372" t="inlineStr">
        <is>
          <t>A 7285-2022</t>
        </is>
      </c>
      <c r="B372" s="1" t="n">
        <v>44606</v>
      </c>
      <c r="C372" s="1" t="n">
        <v>45350</v>
      </c>
      <c r="D372" t="inlineStr">
        <is>
          <t>STOCKHOLMS LÄN</t>
        </is>
      </c>
      <c r="E372" t="inlineStr">
        <is>
          <t>UPPLANDS-BRO</t>
        </is>
      </c>
      <c r="F372" t="inlineStr">
        <is>
          <t>Övriga statliga verk och myndigheter</t>
        </is>
      </c>
      <c r="G372" t="n">
        <v>22.6</v>
      </c>
      <c r="H372" t="n">
        <v>0</v>
      </c>
      <c r="I372" t="n">
        <v>0</v>
      </c>
      <c r="J372" t="n">
        <v>0</v>
      </c>
      <c r="K372" t="n">
        <v>1</v>
      </c>
      <c r="L372" t="n">
        <v>0</v>
      </c>
      <c r="M372" t="n">
        <v>0</v>
      </c>
      <c r="N372" t="n">
        <v>0</v>
      </c>
      <c r="O372" t="n">
        <v>1</v>
      </c>
      <c r="P372" t="n">
        <v>1</v>
      </c>
      <c r="Q372" t="n">
        <v>1</v>
      </c>
      <c r="R372" s="2" t="inlineStr">
        <is>
          <t>Koppartaggsvamp</t>
        </is>
      </c>
      <c r="S372">
        <f>HYPERLINK("https://klasma.github.io/Logging_0139/artfynd/A 7285-2022 artfynd.xlsx", "A 7285-2022")</f>
        <v/>
      </c>
      <c r="T372">
        <f>HYPERLINK("https://klasma.github.io/Logging_0139/kartor/A 7285-2022 karta.png", "A 7285-2022")</f>
        <v/>
      </c>
      <c r="V372">
        <f>HYPERLINK("https://klasma.github.io/Logging_0139/klagomål/A 7285-2022 FSC-klagomål.docx", "A 7285-2022")</f>
        <v/>
      </c>
      <c r="W372">
        <f>HYPERLINK("https://klasma.github.io/Logging_0139/klagomålsmail/A 7285-2022 FSC-klagomål mail.docx", "A 7285-2022")</f>
        <v/>
      </c>
      <c r="X372">
        <f>HYPERLINK("https://klasma.github.io/Logging_0139/tillsyn/A 7285-2022 tillsynsbegäran.docx", "A 7285-2022")</f>
        <v/>
      </c>
      <c r="Y372">
        <f>HYPERLINK("https://klasma.github.io/Logging_0139/tillsynsmail/A 7285-2022 tillsynsbegäran mail.docx", "A 7285-2022")</f>
        <v/>
      </c>
    </row>
    <row r="373" ht="15" customHeight="1">
      <c r="A373" t="inlineStr">
        <is>
          <t>A 8285-2022</t>
        </is>
      </c>
      <c r="B373" s="1" t="n">
        <v>44610</v>
      </c>
      <c r="C373" s="1" t="n">
        <v>45350</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8500-2022</t>
        </is>
      </c>
      <c r="B374" s="1" t="n">
        <v>44613</v>
      </c>
      <c r="C374" s="1" t="n">
        <v>45350</v>
      </c>
      <c r="D374" t="inlineStr">
        <is>
          <t>STOCKHOLMS LÄN</t>
        </is>
      </c>
      <c r="E374" t="inlineStr">
        <is>
          <t>VALLENTUNA</t>
        </is>
      </c>
      <c r="G374" t="n">
        <v>5</v>
      </c>
      <c r="H374" t="n">
        <v>0</v>
      </c>
      <c r="I374" t="n">
        <v>1</v>
      </c>
      <c r="J374" t="n">
        <v>0</v>
      </c>
      <c r="K374" t="n">
        <v>0</v>
      </c>
      <c r="L374" t="n">
        <v>0</v>
      </c>
      <c r="M374" t="n">
        <v>0</v>
      </c>
      <c r="N374" t="n">
        <v>0</v>
      </c>
      <c r="O374" t="n">
        <v>0</v>
      </c>
      <c r="P374" t="n">
        <v>0</v>
      </c>
      <c r="Q374" t="n">
        <v>1</v>
      </c>
      <c r="R374" s="2" t="inlineStr">
        <is>
          <t>Blåmossa</t>
        </is>
      </c>
      <c r="S374">
        <f>HYPERLINK("https://klasma.github.io/Logging_0115/artfynd/A 8500-2022 artfynd.xlsx", "A 8500-2022")</f>
        <v/>
      </c>
      <c r="T374">
        <f>HYPERLINK("https://klasma.github.io/Logging_0115/kartor/A 8500-2022 karta.png", "A 8500-2022")</f>
        <v/>
      </c>
      <c r="V374">
        <f>HYPERLINK("https://klasma.github.io/Logging_0115/klagomål/A 8500-2022 FSC-klagomål.docx", "A 8500-2022")</f>
        <v/>
      </c>
      <c r="W374">
        <f>HYPERLINK("https://klasma.github.io/Logging_0115/klagomålsmail/A 8500-2022 FSC-klagomål mail.docx", "A 8500-2022")</f>
        <v/>
      </c>
      <c r="X374">
        <f>HYPERLINK("https://klasma.github.io/Logging_0115/tillsyn/A 8500-2022 tillsynsbegäran.docx", "A 8500-2022")</f>
        <v/>
      </c>
      <c r="Y374">
        <f>HYPERLINK("https://klasma.github.io/Logging_0115/tillsynsmail/A 8500-2022 tillsynsbegäran mail.docx", "A 8500-2022")</f>
        <v/>
      </c>
    </row>
    <row r="375" ht="15" customHeight="1">
      <c r="A375" t="inlineStr">
        <is>
          <t>A 9445-2022</t>
        </is>
      </c>
      <c r="B375" s="1" t="n">
        <v>44616</v>
      </c>
      <c r="C375" s="1" t="n">
        <v>45350</v>
      </c>
      <c r="D375" t="inlineStr">
        <is>
          <t>STOCKHOLMS LÄN</t>
        </is>
      </c>
      <c r="E375" t="inlineStr">
        <is>
          <t>VALLENTUNA</t>
        </is>
      </c>
      <c r="G375" t="n">
        <v>10.8</v>
      </c>
      <c r="H375" t="n">
        <v>0</v>
      </c>
      <c r="I375" t="n">
        <v>1</v>
      </c>
      <c r="J375" t="n">
        <v>0</v>
      </c>
      <c r="K375" t="n">
        <v>0</v>
      </c>
      <c r="L375" t="n">
        <v>0</v>
      </c>
      <c r="M375" t="n">
        <v>0</v>
      </c>
      <c r="N375" t="n">
        <v>0</v>
      </c>
      <c r="O375" t="n">
        <v>0</v>
      </c>
      <c r="P375" t="n">
        <v>0</v>
      </c>
      <c r="Q375" t="n">
        <v>1</v>
      </c>
      <c r="R375" s="2" t="inlineStr">
        <is>
          <t>Grönpyrola</t>
        </is>
      </c>
      <c r="S375">
        <f>HYPERLINK("https://klasma.github.io/Logging_0115/artfynd/A 9445-2022 artfynd.xlsx", "A 9445-2022")</f>
        <v/>
      </c>
      <c r="T375">
        <f>HYPERLINK("https://klasma.github.io/Logging_0115/kartor/A 9445-2022 karta.png", "A 9445-2022")</f>
        <v/>
      </c>
      <c r="V375">
        <f>HYPERLINK("https://klasma.github.io/Logging_0115/klagomål/A 9445-2022 FSC-klagomål.docx", "A 9445-2022")</f>
        <v/>
      </c>
      <c r="W375">
        <f>HYPERLINK("https://klasma.github.io/Logging_0115/klagomålsmail/A 9445-2022 FSC-klagomål mail.docx", "A 9445-2022")</f>
        <v/>
      </c>
      <c r="X375">
        <f>HYPERLINK("https://klasma.github.io/Logging_0115/tillsyn/A 9445-2022 tillsynsbegäran.docx", "A 9445-2022")</f>
        <v/>
      </c>
      <c r="Y375">
        <f>HYPERLINK("https://klasma.github.io/Logging_0115/tillsynsmail/A 9445-2022 tillsynsbegäran mail.docx", "A 9445-2022")</f>
        <v/>
      </c>
    </row>
    <row r="376" ht="15" customHeight="1">
      <c r="A376" t="inlineStr">
        <is>
          <t>A 9714-2022</t>
        </is>
      </c>
      <c r="B376" s="1" t="n">
        <v>44617</v>
      </c>
      <c r="C376" s="1" t="n">
        <v>45350</v>
      </c>
      <c r="D376" t="inlineStr">
        <is>
          <t>STOCKHOLMS LÄN</t>
        </is>
      </c>
      <c r="E376" t="inlineStr">
        <is>
          <t>NYKVARN</t>
        </is>
      </c>
      <c r="G376" t="n">
        <v>0.5</v>
      </c>
      <c r="H376" t="n">
        <v>0</v>
      </c>
      <c r="I376" t="n">
        <v>1</v>
      </c>
      <c r="J376" t="n">
        <v>0</v>
      </c>
      <c r="K376" t="n">
        <v>0</v>
      </c>
      <c r="L376" t="n">
        <v>0</v>
      </c>
      <c r="M376" t="n">
        <v>0</v>
      </c>
      <c r="N376" t="n">
        <v>0</v>
      </c>
      <c r="O376" t="n">
        <v>0</v>
      </c>
      <c r="P376" t="n">
        <v>0</v>
      </c>
      <c r="Q376" t="n">
        <v>1</v>
      </c>
      <c r="R376" s="2" t="inlineStr">
        <is>
          <t>Jättesvampmal</t>
        </is>
      </c>
      <c r="S376">
        <f>HYPERLINK("https://klasma.github.io/Logging_0140/artfynd/A 9714-2022 artfynd.xlsx", "A 9714-2022")</f>
        <v/>
      </c>
      <c r="T376">
        <f>HYPERLINK("https://klasma.github.io/Logging_0140/kartor/A 9714-2022 karta.png", "A 9714-2022")</f>
        <v/>
      </c>
      <c r="V376">
        <f>HYPERLINK("https://klasma.github.io/Logging_0140/klagomål/A 9714-2022 FSC-klagomål.docx", "A 9714-2022")</f>
        <v/>
      </c>
      <c r="W376">
        <f>HYPERLINK("https://klasma.github.io/Logging_0140/klagomålsmail/A 9714-2022 FSC-klagomål mail.docx", "A 9714-2022")</f>
        <v/>
      </c>
      <c r="X376">
        <f>HYPERLINK("https://klasma.github.io/Logging_0140/tillsyn/A 9714-2022 tillsynsbegäran.docx", "A 9714-2022")</f>
        <v/>
      </c>
      <c r="Y376">
        <f>HYPERLINK("https://klasma.github.io/Logging_0140/tillsynsmail/A 9714-2022 tillsynsbegäran mail.docx", "A 9714-2022")</f>
        <v/>
      </c>
    </row>
    <row r="377" ht="15" customHeight="1">
      <c r="A377" t="inlineStr">
        <is>
          <t>A 9747-2022</t>
        </is>
      </c>
      <c r="B377" s="1" t="n">
        <v>44618</v>
      </c>
      <c r="C377" s="1" t="n">
        <v>45350</v>
      </c>
      <c r="D377" t="inlineStr">
        <is>
          <t>STOCKHOLMS LÄN</t>
        </is>
      </c>
      <c r="E377" t="inlineStr">
        <is>
          <t>VALLENTUNA</t>
        </is>
      </c>
      <c r="G377" t="n">
        <v>5.7</v>
      </c>
      <c r="H377" t="n">
        <v>0</v>
      </c>
      <c r="I377" t="n">
        <v>0</v>
      </c>
      <c r="J377" t="n">
        <v>0</v>
      </c>
      <c r="K377" t="n">
        <v>1</v>
      </c>
      <c r="L377" t="n">
        <v>0</v>
      </c>
      <c r="M377" t="n">
        <v>0</v>
      </c>
      <c r="N377" t="n">
        <v>0</v>
      </c>
      <c r="O377" t="n">
        <v>1</v>
      </c>
      <c r="P377" t="n">
        <v>1</v>
      </c>
      <c r="Q377" t="n">
        <v>1</v>
      </c>
      <c r="R377" s="2" t="inlineStr">
        <is>
          <t>Violgubbe</t>
        </is>
      </c>
      <c r="S377">
        <f>HYPERLINK("https://klasma.github.io/Logging_0115/artfynd/A 9747-2022 artfynd.xlsx", "A 9747-2022")</f>
        <v/>
      </c>
      <c r="T377">
        <f>HYPERLINK("https://klasma.github.io/Logging_0115/kartor/A 9747-2022 karta.png", "A 9747-2022")</f>
        <v/>
      </c>
      <c r="V377">
        <f>HYPERLINK("https://klasma.github.io/Logging_0115/klagomål/A 9747-2022 FSC-klagomål.docx", "A 9747-2022")</f>
        <v/>
      </c>
      <c r="W377">
        <f>HYPERLINK("https://klasma.github.io/Logging_0115/klagomålsmail/A 9747-2022 FSC-klagomål mail.docx", "A 9747-2022")</f>
        <v/>
      </c>
      <c r="X377">
        <f>HYPERLINK("https://klasma.github.io/Logging_0115/tillsyn/A 9747-2022 tillsynsbegäran.docx", "A 9747-2022")</f>
        <v/>
      </c>
      <c r="Y377">
        <f>HYPERLINK("https://klasma.github.io/Logging_0115/tillsynsmail/A 9747-2022 tillsynsbegäran mail.docx", "A 9747-2022")</f>
        <v/>
      </c>
    </row>
    <row r="378" ht="15" customHeight="1">
      <c r="A378" t="inlineStr">
        <is>
          <t>A 9955-2022</t>
        </is>
      </c>
      <c r="B378" s="1" t="n">
        <v>44620</v>
      </c>
      <c r="C378" s="1" t="n">
        <v>45350</v>
      </c>
      <c r="D378" t="inlineStr">
        <is>
          <t>STOCKHOLMS LÄN</t>
        </is>
      </c>
      <c r="E378" t="inlineStr">
        <is>
          <t>NORRTÄLJE</t>
        </is>
      </c>
      <c r="G378" t="n">
        <v>7.8</v>
      </c>
      <c r="H378" t="n">
        <v>1</v>
      </c>
      <c r="I378" t="n">
        <v>0</v>
      </c>
      <c r="J378" t="n">
        <v>0</v>
      </c>
      <c r="K378" t="n">
        <v>0</v>
      </c>
      <c r="L378" t="n">
        <v>0</v>
      </c>
      <c r="M378" t="n">
        <v>0</v>
      </c>
      <c r="N378" t="n">
        <v>0</v>
      </c>
      <c r="O378" t="n">
        <v>0</v>
      </c>
      <c r="P378" t="n">
        <v>0</v>
      </c>
      <c r="Q378" t="n">
        <v>1</v>
      </c>
      <c r="R378" s="2" t="inlineStr">
        <is>
          <t>Åkergroda</t>
        </is>
      </c>
      <c r="S378">
        <f>HYPERLINK("https://klasma.github.io/Logging_0188/artfynd/A 9955-2022 artfynd.xlsx", "A 9955-2022")</f>
        <v/>
      </c>
      <c r="T378">
        <f>HYPERLINK("https://klasma.github.io/Logging_0188/kartor/A 9955-2022 karta.png", "A 9955-2022")</f>
        <v/>
      </c>
      <c r="V378">
        <f>HYPERLINK("https://klasma.github.io/Logging_0188/klagomål/A 9955-2022 FSC-klagomål.docx", "A 9955-2022")</f>
        <v/>
      </c>
      <c r="W378">
        <f>HYPERLINK("https://klasma.github.io/Logging_0188/klagomålsmail/A 9955-2022 FSC-klagomål mail.docx", "A 9955-2022")</f>
        <v/>
      </c>
      <c r="X378">
        <f>HYPERLINK("https://klasma.github.io/Logging_0188/tillsyn/A 9955-2022 tillsynsbegäran.docx", "A 9955-2022")</f>
        <v/>
      </c>
      <c r="Y378">
        <f>HYPERLINK("https://klasma.github.io/Logging_0188/tillsynsmail/A 9955-2022 tillsynsbegäran mail.docx", "A 9955-2022")</f>
        <v/>
      </c>
    </row>
    <row r="379" ht="15" customHeight="1">
      <c r="A379" t="inlineStr">
        <is>
          <t>A 10469-2022</t>
        </is>
      </c>
      <c r="B379" s="1" t="n">
        <v>44623</v>
      </c>
      <c r="C379" s="1" t="n">
        <v>45350</v>
      </c>
      <c r="D379" t="inlineStr">
        <is>
          <t>STOCKHOLMS LÄN</t>
        </is>
      </c>
      <c r="E379" t="inlineStr">
        <is>
          <t>BOTKYRKA</t>
        </is>
      </c>
      <c r="G379" t="n">
        <v>2.4</v>
      </c>
      <c r="H379" t="n">
        <v>0</v>
      </c>
      <c r="I379" t="n">
        <v>1</v>
      </c>
      <c r="J379" t="n">
        <v>0</v>
      </c>
      <c r="K379" t="n">
        <v>0</v>
      </c>
      <c r="L379" t="n">
        <v>0</v>
      </c>
      <c r="M379" t="n">
        <v>0</v>
      </c>
      <c r="N379" t="n">
        <v>0</v>
      </c>
      <c r="O379" t="n">
        <v>0</v>
      </c>
      <c r="P379" t="n">
        <v>0</v>
      </c>
      <c r="Q379" t="n">
        <v>1</v>
      </c>
      <c r="R379" s="2" t="inlineStr">
        <is>
          <t>Tibast</t>
        </is>
      </c>
      <c r="S379">
        <f>HYPERLINK("https://klasma.github.io/Logging_0127/artfynd/A 10469-2022 artfynd.xlsx", "A 10469-2022")</f>
        <v/>
      </c>
      <c r="T379">
        <f>HYPERLINK("https://klasma.github.io/Logging_0127/kartor/A 10469-2022 karta.png", "A 10469-2022")</f>
        <v/>
      </c>
      <c r="V379">
        <f>HYPERLINK("https://klasma.github.io/Logging_0127/klagomål/A 10469-2022 FSC-klagomål.docx", "A 10469-2022")</f>
        <v/>
      </c>
      <c r="W379">
        <f>HYPERLINK("https://klasma.github.io/Logging_0127/klagomålsmail/A 10469-2022 FSC-klagomål mail.docx", "A 10469-2022")</f>
        <v/>
      </c>
      <c r="X379">
        <f>HYPERLINK("https://klasma.github.io/Logging_0127/tillsyn/A 10469-2022 tillsynsbegäran.docx", "A 10469-2022")</f>
        <v/>
      </c>
      <c r="Y379">
        <f>HYPERLINK("https://klasma.github.io/Logging_0127/tillsynsmail/A 10469-2022 tillsynsbegäran mail.docx", "A 10469-2022")</f>
        <v/>
      </c>
    </row>
    <row r="380" ht="15" customHeight="1">
      <c r="A380" t="inlineStr">
        <is>
          <t>A 10712-2022</t>
        </is>
      </c>
      <c r="B380" s="1" t="n">
        <v>44626</v>
      </c>
      <c r="C380" s="1" t="n">
        <v>45350</v>
      </c>
      <c r="D380" t="inlineStr">
        <is>
          <t>STOCKHOLMS LÄN</t>
        </is>
      </c>
      <c r="E380" t="inlineStr">
        <is>
          <t>NORRTÄLJE</t>
        </is>
      </c>
      <c r="G380" t="n">
        <v>4.5</v>
      </c>
      <c r="H380" t="n">
        <v>1</v>
      </c>
      <c r="I380" t="n">
        <v>0</v>
      </c>
      <c r="J380" t="n">
        <v>0</v>
      </c>
      <c r="K380" t="n">
        <v>0</v>
      </c>
      <c r="L380" t="n">
        <v>0</v>
      </c>
      <c r="M380" t="n">
        <v>0</v>
      </c>
      <c r="N380" t="n">
        <v>0</v>
      </c>
      <c r="O380" t="n">
        <v>0</v>
      </c>
      <c r="P380" t="n">
        <v>0</v>
      </c>
      <c r="Q380" t="n">
        <v>1</v>
      </c>
      <c r="R380" s="2" t="inlineStr">
        <is>
          <t>Åkergroda</t>
        </is>
      </c>
      <c r="S380">
        <f>HYPERLINK("https://klasma.github.io/Logging_0188/artfynd/A 10712-2022 artfynd.xlsx", "A 10712-2022")</f>
        <v/>
      </c>
      <c r="T380">
        <f>HYPERLINK("https://klasma.github.io/Logging_0188/kartor/A 10712-2022 karta.png", "A 10712-2022")</f>
        <v/>
      </c>
      <c r="V380">
        <f>HYPERLINK("https://klasma.github.io/Logging_0188/klagomål/A 10712-2022 FSC-klagomål.docx", "A 10712-2022")</f>
        <v/>
      </c>
      <c r="W380">
        <f>HYPERLINK("https://klasma.github.io/Logging_0188/klagomålsmail/A 10712-2022 FSC-klagomål mail.docx", "A 10712-2022")</f>
        <v/>
      </c>
      <c r="X380">
        <f>HYPERLINK("https://klasma.github.io/Logging_0188/tillsyn/A 10712-2022 tillsynsbegäran.docx", "A 10712-2022")</f>
        <v/>
      </c>
      <c r="Y380">
        <f>HYPERLINK("https://klasma.github.io/Logging_0188/tillsynsmail/A 10712-2022 tillsynsbegäran mail.docx", "A 10712-2022")</f>
        <v/>
      </c>
    </row>
    <row r="381" ht="15" customHeight="1">
      <c r="A381" t="inlineStr">
        <is>
          <t>A 13891-2022</t>
        </is>
      </c>
      <c r="B381" s="1" t="n">
        <v>44646</v>
      </c>
      <c r="C381" s="1" t="n">
        <v>45350</v>
      </c>
      <c r="D381" t="inlineStr">
        <is>
          <t>STOCKHOLMS LÄN</t>
        </is>
      </c>
      <c r="E381" t="inlineStr">
        <is>
          <t>EKERÖ</t>
        </is>
      </c>
      <c r="G381" t="n">
        <v>2.3</v>
      </c>
      <c r="H381" t="n">
        <v>0</v>
      </c>
      <c r="I381" t="n">
        <v>1</v>
      </c>
      <c r="J381" t="n">
        <v>0</v>
      </c>
      <c r="K381" t="n">
        <v>0</v>
      </c>
      <c r="L381" t="n">
        <v>0</v>
      </c>
      <c r="M381" t="n">
        <v>0</v>
      </c>
      <c r="N381" t="n">
        <v>0</v>
      </c>
      <c r="O381" t="n">
        <v>0</v>
      </c>
      <c r="P381" t="n">
        <v>0</v>
      </c>
      <c r="Q381" t="n">
        <v>1</v>
      </c>
      <c r="R381" s="2" t="inlineStr">
        <is>
          <t>Granbarkgnagare</t>
        </is>
      </c>
      <c r="S381">
        <f>HYPERLINK("https://klasma.github.io/Logging_0125/artfynd/A 13891-2022 artfynd.xlsx", "A 13891-2022")</f>
        <v/>
      </c>
      <c r="T381">
        <f>HYPERLINK("https://klasma.github.io/Logging_0125/kartor/A 13891-2022 karta.png", "A 13891-2022")</f>
        <v/>
      </c>
      <c r="V381">
        <f>HYPERLINK("https://klasma.github.io/Logging_0125/klagomål/A 13891-2022 FSC-klagomål.docx", "A 13891-2022")</f>
        <v/>
      </c>
      <c r="W381">
        <f>HYPERLINK("https://klasma.github.io/Logging_0125/klagomålsmail/A 13891-2022 FSC-klagomål mail.docx", "A 13891-2022")</f>
        <v/>
      </c>
      <c r="X381">
        <f>HYPERLINK("https://klasma.github.io/Logging_0125/tillsyn/A 13891-2022 tillsynsbegäran.docx", "A 13891-2022")</f>
        <v/>
      </c>
      <c r="Y381">
        <f>HYPERLINK("https://klasma.github.io/Logging_0125/tillsynsmail/A 13891-2022 tillsynsbegäran mail.docx", "A 13891-2022")</f>
        <v/>
      </c>
    </row>
    <row r="382" ht="15" customHeight="1">
      <c r="A382" t="inlineStr">
        <is>
          <t>A 14720-2022</t>
        </is>
      </c>
      <c r="B382" s="1" t="n">
        <v>44656</v>
      </c>
      <c r="C382" s="1" t="n">
        <v>45350</v>
      </c>
      <c r="D382" t="inlineStr">
        <is>
          <t>STOCKHOLMS LÄN</t>
        </is>
      </c>
      <c r="E382" t="inlineStr">
        <is>
          <t>NORRTÄLJE</t>
        </is>
      </c>
      <c r="F382" t="inlineStr">
        <is>
          <t>Sveaskog</t>
        </is>
      </c>
      <c r="G382" t="n">
        <v>5.1</v>
      </c>
      <c r="H382" t="n">
        <v>0</v>
      </c>
      <c r="I382" t="n">
        <v>0</v>
      </c>
      <c r="J382" t="n">
        <v>1</v>
      </c>
      <c r="K382" t="n">
        <v>0</v>
      </c>
      <c r="L382" t="n">
        <v>0</v>
      </c>
      <c r="M382" t="n">
        <v>0</v>
      </c>
      <c r="N382" t="n">
        <v>0</v>
      </c>
      <c r="O382" t="n">
        <v>1</v>
      </c>
      <c r="P382" t="n">
        <v>0</v>
      </c>
      <c r="Q382" t="n">
        <v>1</v>
      </c>
      <c r="R382" s="2" t="inlineStr">
        <is>
          <t>Loppstarr</t>
        </is>
      </c>
      <c r="S382">
        <f>HYPERLINK("https://klasma.github.io/Logging_0188/artfynd/A 14720-2022 artfynd.xlsx", "A 14720-2022")</f>
        <v/>
      </c>
      <c r="T382">
        <f>HYPERLINK("https://klasma.github.io/Logging_0188/kartor/A 14720-2022 karta.png", "A 14720-2022")</f>
        <v/>
      </c>
      <c r="V382">
        <f>HYPERLINK("https://klasma.github.io/Logging_0188/klagomål/A 14720-2022 FSC-klagomål.docx", "A 14720-2022")</f>
        <v/>
      </c>
      <c r="W382">
        <f>HYPERLINK("https://klasma.github.io/Logging_0188/klagomålsmail/A 14720-2022 FSC-klagomål mail.docx", "A 14720-2022")</f>
        <v/>
      </c>
      <c r="X382">
        <f>HYPERLINK("https://klasma.github.io/Logging_0188/tillsyn/A 14720-2022 tillsynsbegäran.docx", "A 14720-2022")</f>
        <v/>
      </c>
      <c r="Y382">
        <f>HYPERLINK("https://klasma.github.io/Logging_0188/tillsynsmail/A 14720-2022 tillsynsbegäran mail.docx", "A 14720-2022")</f>
        <v/>
      </c>
    </row>
    <row r="383" ht="15" customHeight="1">
      <c r="A383" t="inlineStr">
        <is>
          <t>A 16309-2022</t>
        </is>
      </c>
      <c r="B383" s="1" t="n">
        <v>44670</v>
      </c>
      <c r="C383" s="1" t="n">
        <v>45350</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16539-2022</t>
        </is>
      </c>
      <c r="B384" s="1" t="n">
        <v>44672</v>
      </c>
      <c r="C384" s="1" t="n">
        <v>45350</v>
      </c>
      <c r="D384" t="inlineStr">
        <is>
          <t>STOCKHOLMS LÄN</t>
        </is>
      </c>
      <c r="E384" t="inlineStr">
        <is>
          <t>NORRTÄLJE</t>
        </is>
      </c>
      <c r="G384" t="n">
        <v>8.6</v>
      </c>
      <c r="H384" t="n">
        <v>1</v>
      </c>
      <c r="I384" t="n">
        <v>1</v>
      </c>
      <c r="J384" t="n">
        <v>0</v>
      </c>
      <c r="K384" t="n">
        <v>0</v>
      </c>
      <c r="L384" t="n">
        <v>0</v>
      </c>
      <c r="M384" t="n">
        <v>0</v>
      </c>
      <c r="N384" t="n">
        <v>0</v>
      </c>
      <c r="O384" t="n">
        <v>0</v>
      </c>
      <c r="P384" t="n">
        <v>0</v>
      </c>
      <c r="Q384" t="n">
        <v>1</v>
      </c>
      <c r="R384" s="2" t="inlineStr">
        <is>
          <t>Nästrot</t>
        </is>
      </c>
      <c r="S384">
        <f>HYPERLINK("https://klasma.github.io/Logging_0188/artfynd/A 16539-2022 artfynd.xlsx", "A 16539-2022")</f>
        <v/>
      </c>
      <c r="T384">
        <f>HYPERLINK("https://klasma.github.io/Logging_0188/kartor/A 16539-2022 karta.png", "A 16539-2022")</f>
        <v/>
      </c>
      <c r="V384">
        <f>HYPERLINK("https://klasma.github.io/Logging_0188/klagomål/A 16539-2022 FSC-klagomål.docx", "A 16539-2022")</f>
        <v/>
      </c>
      <c r="W384">
        <f>HYPERLINK("https://klasma.github.io/Logging_0188/klagomålsmail/A 16539-2022 FSC-klagomål mail.docx", "A 16539-2022")</f>
        <v/>
      </c>
      <c r="X384">
        <f>HYPERLINK("https://klasma.github.io/Logging_0188/tillsyn/A 16539-2022 tillsynsbegäran.docx", "A 16539-2022")</f>
        <v/>
      </c>
      <c r="Y384">
        <f>HYPERLINK("https://klasma.github.io/Logging_0188/tillsynsmail/A 16539-2022 tillsynsbegäran mail.docx", "A 16539-2022")</f>
        <v/>
      </c>
    </row>
    <row r="385" ht="15" customHeight="1">
      <c r="A385" t="inlineStr">
        <is>
          <t>A 18100-2022</t>
        </is>
      </c>
      <c r="B385" s="1" t="n">
        <v>44684</v>
      </c>
      <c r="C385" s="1" t="n">
        <v>45350</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19829-2022</t>
        </is>
      </c>
      <c r="B386" s="1" t="n">
        <v>44695</v>
      </c>
      <c r="C386" s="1" t="n">
        <v>45350</v>
      </c>
      <c r="D386" t="inlineStr">
        <is>
          <t>STOCKHOLMS LÄN</t>
        </is>
      </c>
      <c r="E386" t="inlineStr">
        <is>
          <t>NORRTÄLJE</t>
        </is>
      </c>
      <c r="G386" t="n">
        <v>2</v>
      </c>
      <c r="H386" t="n">
        <v>1</v>
      </c>
      <c r="I386" t="n">
        <v>1</v>
      </c>
      <c r="J386" t="n">
        <v>0</v>
      </c>
      <c r="K386" t="n">
        <v>0</v>
      </c>
      <c r="L386" t="n">
        <v>0</v>
      </c>
      <c r="M386" t="n">
        <v>0</v>
      </c>
      <c r="N386" t="n">
        <v>0</v>
      </c>
      <c r="O386" t="n">
        <v>0</v>
      </c>
      <c r="P386" t="n">
        <v>0</v>
      </c>
      <c r="Q386" t="n">
        <v>1</v>
      </c>
      <c r="R386" s="2" t="inlineStr">
        <is>
          <t>Guckusko</t>
        </is>
      </c>
      <c r="S386">
        <f>HYPERLINK("https://klasma.github.io/Logging_0188/artfynd/A 19829-2022 artfynd.xlsx", "A 19829-2022")</f>
        <v/>
      </c>
      <c r="T386">
        <f>HYPERLINK("https://klasma.github.io/Logging_0188/kartor/A 19829-2022 karta.png", "A 19829-2022")</f>
        <v/>
      </c>
      <c r="V386">
        <f>HYPERLINK("https://klasma.github.io/Logging_0188/klagomål/A 19829-2022 FSC-klagomål.docx", "A 19829-2022")</f>
        <v/>
      </c>
      <c r="W386">
        <f>HYPERLINK("https://klasma.github.io/Logging_0188/klagomålsmail/A 19829-2022 FSC-klagomål mail.docx", "A 19829-2022")</f>
        <v/>
      </c>
      <c r="X386">
        <f>HYPERLINK("https://klasma.github.io/Logging_0188/tillsyn/A 19829-2022 tillsynsbegäran.docx", "A 19829-2022")</f>
        <v/>
      </c>
      <c r="Y386">
        <f>HYPERLINK("https://klasma.github.io/Logging_0188/tillsynsmail/A 19829-2022 tillsynsbegäran mail.docx", "A 19829-2022")</f>
        <v/>
      </c>
    </row>
    <row r="387" ht="15" customHeight="1">
      <c r="A387" t="inlineStr">
        <is>
          <t>A 20456-2022</t>
        </is>
      </c>
      <c r="B387" s="1" t="n">
        <v>44699</v>
      </c>
      <c r="C387" s="1" t="n">
        <v>45350</v>
      </c>
      <c r="D387" t="inlineStr">
        <is>
          <t>STOCKHOLMS LÄN</t>
        </is>
      </c>
      <c r="E387" t="inlineStr">
        <is>
          <t>NYKVARN</t>
        </is>
      </c>
      <c r="F387" t="inlineStr">
        <is>
          <t>Allmännings- och besparingsskogar</t>
        </is>
      </c>
      <c r="G387" t="n">
        <v>15.4</v>
      </c>
      <c r="H387" t="n">
        <v>0</v>
      </c>
      <c r="I387" t="n">
        <v>1</v>
      </c>
      <c r="J387" t="n">
        <v>0</v>
      </c>
      <c r="K387" t="n">
        <v>0</v>
      </c>
      <c r="L387" t="n">
        <v>0</v>
      </c>
      <c r="M387" t="n">
        <v>0</v>
      </c>
      <c r="N387" t="n">
        <v>0</v>
      </c>
      <c r="O387" t="n">
        <v>0</v>
      </c>
      <c r="P387" t="n">
        <v>0</v>
      </c>
      <c r="Q387" t="n">
        <v>1</v>
      </c>
      <c r="R387" s="2" t="inlineStr">
        <is>
          <t>Grönpyrola</t>
        </is>
      </c>
      <c r="S387">
        <f>HYPERLINK("https://klasma.github.io/Logging_0140/artfynd/A 20456-2022 artfynd.xlsx", "A 20456-2022")</f>
        <v/>
      </c>
      <c r="T387">
        <f>HYPERLINK("https://klasma.github.io/Logging_0140/kartor/A 20456-2022 karta.png", "A 20456-2022")</f>
        <v/>
      </c>
      <c r="V387">
        <f>HYPERLINK("https://klasma.github.io/Logging_0140/klagomål/A 20456-2022 FSC-klagomål.docx", "A 20456-2022")</f>
        <v/>
      </c>
      <c r="W387">
        <f>HYPERLINK("https://klasma.github.io/Logging_0140/klagomålsmail/A 20456-2022 FSC-klagomål mail.docx", "A 20456-2022")</f>
        <v/>
      </c>
      <c r="X387">
        <f>HYPERLINK("https://klasma.github.io/Logging_0140/tillsyn/A 20456-2022 tillsynsbegäran.docx", "A 20456-2022")</f>
        <v/>
      </c>
      <c r="Y387">
        <f>HYPERLINK("https://klasma.github.io/Logging_0140/tillsynsmail/A 20456-2022 tillsynsbegäran mail.docx", "A 20456-2022")</f>
        <v/>
      </c>
    </row>
    <row r="388" ht="15" customHeight="1">
      <c r="A388" t="inlineStr">
        <is>
          <t>A 21150-2022</t>
        </is>
      </c>
      <c r="B388" s="1" t="n">
        <v>44704</v>
      </c>
      <c r="C388" s="1" t="n">
        <v>45350</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22172-2022</t>
        </is>
      </c>
      <c r="B389" s="1" t="n">
        <v>44712</v>
      </c>
      <c r="C389" s="1" t="n">
        <v>45350</v>
      </c>
      <c r="D389" t="inlineStr">
        <is>
          <t>STOCKHOLMS LÄN</t>
        </is>
      </c>
      <c r="E389" t="inlineStr">
        <is>
          <t>ÖSTERÅKER</t>
        </is>
      </c>
      <c r="G389" t="n">
        <v>3.7</v>
      </c>
      <c r="H389" t="n">
        <v>1</v>
      </c>
      <c r="I389" t="n">
        <v>0</v>
      </c>
      <c r="J389" t="n">
        <v>1</v>
      </c>
      <c r="K389" t="n">
        <v>0</v>
      </c>
      <c r="L389" t="n">
        <v>0</v>
      </c>
      <c r="M389" t="n">
        <v>0</v>
      </c>
      <c r="N389" t="n">
        <v>0</v>
      </c>
      <c r="O389" t="n">
        <v>1</v>
      </c>
      <c r="P389" t="n">
        <v>0</v>
      </c>
      <c r="Q389" t="n">
        <v>1</v>
      </c>
      <c r="R389" s="2" t="inlineStr">
        <is>
          <t>Kråka</t>
        </is>
      </c>
      <c r="S389">
        <f>HYPERLINK("https://klasma.github.io/Logging_0117/artfynd/A 22172-2022 artfynd.xlsx", "A 22172-2022")</f>
        <v/>
      </c>
      <c r="T389">
        <f>HYPERLINK("https://klasma.github.io/Logging_0117/kartor/A 22172-2022 karta.png", "A 22172-2022")</f>
        <v/>
      </c>
      <c r="V389">
        <f>HYPERLINK("https://klasma.github.io/Logging_0117/klagomål/A 22172-2022 FSC-klagomål.docx", "A 22172-2022")</f>
        <v/>
      </c>
      <c r="W389">
        <f>HYPERLINK("https://klasma.github.io/Logging_0117/klagomålsmail/A 22172-2022 FSC-klagomål mail.docx", "A 22172-2022")</f>
        <v/>
      </c>
      <c r="X389">
        <f>HYPERLINK("https://klasma.github.io/Logging_0117/tillsyn/A 22172-2022 tillsynsbegäran.docx", "A 22172-2022")</f>
        <v/>
      </c>
      <c r="Y389">
        <f>HYPERLINK("https://klasma.github.io/Logging_0117/tillsynsmail/A 22172-2022 tillsynsbegäran mail.docx", "A 22172-2022")</f>
        <v/>
      </c>
    </row>
    <row r="390" ht="15" customHeight="1">
      <c r="A390" t="inlineStr">
        <is>
          <t>A 30154-2022</t>
        </is>
      </c>
      <c r="B390" s="1" t="n">
        <v>44757</v>
      </c>
      <c r="C390" s="1" t="n">
        <v>45350</v>
      </c>
      <c r="D390" t="inlineStr">
        <is>
          <t>STOCKHOLMS LÄN</t>
        </is>
      </c>
      <c r="E390" t="inlineStr">
        <is>
          <t>VÄRMDÖ</t>
        </is>
      </c>
      <c r="G390" t="n">
        <v>3.1</v>
      </c>
      <c r="H390" t="n">
        <v>0</v>
      </c>
      <c r="I390" t="n">
        <v>0</v>
      </c>
      <c r="J390" t="n">
        <v>1</v>
      </c>
      <c r="K390" t="n">
        <v>0</v>
      </c>
      <c r="L390" t="n">
        <v>0</v>
      </c>
      <c r="M390" t="n">
        <v>0</v>
      </c>
      <c r="N390" t="n">
        <v>0</v>
      </c>
      <c r="O390" t="n">
        <v>1</v>
      </c>
      <c r="P390" t="n">
        <v>0</v>
      </c>
      <c r="Q390" t="n">
        <v>1</v>
      </c>
      <c r="R390" s="2" t="inlineStr">
        <is>
          <t>Lunglav</t>
        </is>
      </c>
      <c r="S390">
        <f>HYPERLINK("https://klasma.github.io/Logging_0120/artfynd/A 30154-2022 artfynd.xlsx", "A 30154-2022")</f>
        <v/>
      </c>
      <c r="T390">
        <f>HYPERLINK("https://klasma.github.io/Logging_0120/kartor/A 30154-2022 karta.png", "A 30154-2022")</f>
        <v/>
      </c>
      <c r="V390">
        <f>HYPERLINK("https://klasma.github.io/Logging_0120/klagomål/A 30154-2022 FSC-klagomål.docx", "A 30154-2022")</f>
        <v/>
      </c>
      <c r="W390">
        <f>HYPERLINK("https://klasma.github.io/Logging_0120/klagomålsmail/A 30154-2022 FSC-klagomål mail.docx", "A 30154-2022")</f>
        <v/>
      </c>
      <c r="X390">
        <f>HYPERLINK("https://klasma.github.io/Logging_0120/tillsyn/A 30154-2022 tillsynsbegäran.docx", "A 30154-2022")</f>
        <v/>
      </c>
      <c r="Y390">
        <f>HYPERLINK("https://klasma.github.io/Logging_0120/tillsynsmail/A 30154-2022 tillsynsbegäran mail.docx", "A 30154-2022")</f>
        <v/>
      </c>
    </row>
    <row r="391" ht="15" customHeight="1">
      <c r="A391" t="inlineStr">
        <is>
          <t>A 31194-2022</t>
        </is>
      </c>
      <c r="B391" s="1" t="n">
        <v>44770</v>
      </c>
      <c r="C391" s="1" t="n">
        <v>45350</v>
      </c>
      <c r="D391" t="inlineStr">
        <is>
          <t>STOCKHOLMS LÄN</t>
        </is>
      </c>
      <c r="E391" t="inlineStr">
        <is>
          <t>NORRTÄLJE</t>
        </is>
      </c>
      <c r="G391" t="n">
        <v>2.7</v>
      </c>
      <c r="H391" t="n">
        <v>1</v>
      </c>
      <c r="I391" t="n">
        <v>0</v>
      </c>
      <c r="J391" t="n">
        <v>0</v>
      </c>
      <c r="K391" t="n">
        <v>0</v>
      </c>
      <c r="L391" t="n">
        <v>1</v>
      </c>
      <c r="M391" t="n">
        <v>0</v>
      </c>
      <c r="N391" t="n">
        <v>0</v>
      </c>
      <c r="O391" t="n">
        <v>1</v>
      </c>
      <c r="P391" t="n">
        <v>1</v>
      </c>
      <c r="Q391" t="n">
        <v>1</v>
      </c>
      <c r="R391" s="2" t="inlineStr">
        <is>
          <t>Asknätfjäril</t>
        </is>
      </c>
      <c r="S391">
        <f>HYPERLINK("https://klasma.github.io/Logging_0188/artfynd/A 31194-2022 artfynd.xlsx", "A 31194-2022")</f>
        <v/>
      </c>
      <c r="T391">
        <f>HYPERLINK("https://klasma.github.io/Logging_0188/kartor/A 31194-2022 karta.png", "A 31194-2022")</f>
        <v/>
      </c>
      <c r="V391">
        <f>HYPERLINK("https://klasma.github.io/Logging_0188/klagomål/A 31194-2022 FSC-klagomål.docx", "A 31194-2022")</f>
        <v/>
      </c>
      <c r="W391">
        <f>HYPERLINK("https://klasma.github.io/Logging_0188/klagomålsmail/A 31194-2022 FSC-klagomål mail.docx", "A 31194-2022")</f>
        <v/>
      </c>
      <c r="X391">
        <f>HYPERLINK("https://klasma.github.io/Logging_0188/tillsyn/A 31194-2022 tillsynsbegäran.docx", "A 31194-2022")</f>
        <v/>
      </c>
      <c r="Y391">
        <f>HYPERLINK("https://klasma.github.io/Logging_0188/tillsynsmail/A 31194-2022 tillsynsbegäran mail.docx", "A 31194-2022")</f>
        <v/>
      </c>
    </row>
    <row r="392" ht="15" customHeight="1">
      <c r="A392" t="inlineStr">
        <is>
          <t>A 33477-2022</t>
        </is>
      </c>
      <c r="B392" s="1" t="n">
        <v>44788</v>
      </c>
      <c r="C392" s="1" t="n">
        <v>45350</v>
      </c>
      <c r="D392" t="inlineStr">
        <is>
          <t>STOCKHOLMS LÄN</t>
        </is>
      </c>
      <c r="E392" t="inlineStr">
        <is>
          <t>NORRTÄLJE</t>
        </is>
      </c>
      <c r="G392" t="n">
        <v>5.7</v>
      </c>
      <c r="H392" t="n">
        <v>1</v>
      </c>
      <c r="I392" t="n">
        <v>1</v>
      </c>
      <c r="J392" t="n">
        <v>0</v>
      </c>
      <c r="K392" t="n">
        <v>0</v>
      </c>
      <c r="L392" t="n">
        <v>0</v>
      </c>
      <c r="M392" t="n">
        <v>0</v>
      </c>
      <c r="N392" t="n">
        <v>0</v>
      </c>
      <c r="O392" t="n">
        <v>0</v>
      </c>
      <c r="P392" t="n">
        <v>0</v>
      </c>
      <c r="Q392" t="n">
        <v>1</v>
      </c>
      <c r="R392" s="2" t="inlineStr">
        <is>
          <t>Nästrot</t>
        </is>
      </c>
      <c r="S392">
        <f>HYPERLINK("https://klasma.github.io/Logging_0188/artfynd/A 33477-2022 artfynd.xlsx", "A 33477-2022")</f>
        <v/>
      </c>
      <c r="T392">
        <f>HYPERLINK("https://klasma.github.io/Logging_0188/kartor/A 33477-2022 karta.png", "A 33477-2022")</f>
        <v/>
      </c>
      <c r="V392">
        <f>HYPERLINK("https://klasma.github.io/Logging_0188/klagomål/A 33477-2022 FSC-klagomål.docx", "A 33477-2022")</f>
        <v/>
      </c>
      <c r="W392">
        <f>HYPERLINK("https://klasma.github.io/Logging_0188/klagomålsmail/A 33477-2022 FSC-klagomål mail.docx", "A 33477-2022")</f>
        <v/>
      </c>
      <c r="X392">
        <f>HYPERLINK("https://klasma.github.io/Logging_0188/tillsyn/A 33477-2022 tillsynsbegäran.docx", "A 33477-2022")</f>
        <v/>
      </c>
      <c r="Y392">
        <f>HYPERLINK("https://klasma.github.io/Logging_0188/tillsynsmail/A 33477-2022 tillsynsbegäran mail.docx", "A 33477-2022")</f>
        <v/>
      </c>
    </row>
    <row r="393" ht="15" customHeight="1">
      <c r="A393" t="inlineStr">
        <is>
          <t>A 34823-2022</t>
        </is>
      </c>
      <c r="B393" s="1" t="n">
        <v>44796</v>
      </c>
      <c r="C393" s="1" t="n">
        <v>45350</v>
      </c>
      <c r="D393" t="inlineStr">
        <is>
          <t>STOCKHOLMS LÄN</t>
        </is>
      </c>
      <c r="E393" t="inlineStr">
        <is>
          <t>HANINGE</t>
        </is>
      </c>
      <c r="G393" t="n">
        <v>12</v>
      </c>
      <c r="H393" t="n">
        <v>0</v>
      </c>
      <c r="I393" t="n">
        <v>0</v>
      </c>
      <c r="J393" t="n">
        <v>0</v>
      </c>
      <c r="K393" t="n">
        <v>1</v>
      </c>
      <c r="L393" t="n">
        <v>0</v>
      </c>
      <c r="M393" t="n">
        <v>0</v>
      </c>
      <c r="N393" t="n">
        <v>0</v>
      </c>
      <c r="O393" t="n">
        <v>1</v>
      </c>
      <c r="P393" t="n">
        <v>1</v>
      </c>
      <c r="Q393" t="n">
        <v>1</v>
      </c>
      <c r="R393" s="2" t="inlineStr">
        <is>
          <t>Mörk kraterlav</t>
        </is>
      </c>
      <c r="S393">
        <f>HYPERLINK("https://klasma.github.io/Logging_0136/artfynd/A 34823-2022 artfynd.xlsx", "A 34823-2022")</f>
        <v/>
      </c>
      <c r="T393">
        <f>HYPERLINK("https://klasma.github.io/Logging_0136/kartor/A 34823-2022 karta.png", "A 34823-2022")</f>
        <v/>
      </c>
      <c r="V393">
        <f>HYPERLINK("https://klasma.github.io/Logging_0136/klagomål/A 34823-2022 FSC-klagomål.docx", "A 34823-2022")</f>
        <v/>
      </c>
      <c r="W393">
        <f>HYPERLINK("https://klasma.github.io/Logging_0136/klagomålsmail/A 34823-2022 FSC-klagomål mail.docx", "A 34823-2022")</f>
        <v/>
      </c>
      <c r="X393">
        <f>HYPERLINK("https://klasma.github.io/Logging_0136/tillsyn/A 34823-2022 tillsynsbegäran.docx", "A 34823-2022")</f>
        <v/>
      </c>
      <c r="Y393">
        <f>HYPERLINK("https://klasma.github.io/Logging_0136/tillsynsmail/A 34823-2022 tillsynsbegäran mail.docx", "A 34823-2022")</f>
        <v/>
      </c>
    </row>
    <row r="394" ht="15" customHeight="1">
      <c r="A394" t="inlineStr">
        <is>
          <t>A 37004-2022</t>
        </is>
      </c>
      <c r="B394" s="1" t="n">
        <v>44806</v>
      </c>
      <c r="C394" s="1" t="n">
        <v>45350</v>
      </c>
      <c r="D394" t="inlineStr">
        <is>
          <t>STOCKHOLMS LÄN</t>
        </is>
      </c>
      <c r="E394" t="inlineStr">
        <is>
          <t>HANINGE</t>
        </is>
      </c>
      <c r="F394" t="inlineStr">
        <is>
          <t>Övriga statliga verk och myndigheter</t>
        </is>
      </c>
      <c r="G394" t="n">
        <v>4.4</v>
      </c>
      <c r="H394" t="n">
        <v>1</v>
      </c>
      <c r="I394" t="n">
        <v>1</v>
      </c>
      <c r="J394" t="n">
        <v>0</v>
      </c>
      <c r="K394" t="n">
        <v>0</v>
      </c>
      <c r="L394" t="n">
        <v>0</v>
      </c>
      <c r="M394" t="n">
        <v>0</v>
      </c>
      <c r="N394" t="n">
        <v>0</v>
      </c>
      <c r="O394" t="n">
        <v>0</v>
      </c>
      <c r="P394" t="n">
        <v>0</v>
      </c>
      <c r="Q394" t="n">
        <v>1</v>
      </c>
      <c r="R394" s="2" t="inlineStr">
        <is>
          <t>Skogsknipprot</t>
        </is>
      </c>
      <c r="S394">
        <f>HYPERLINK("https://klasma.github.io/Logging_0136/artfynd/A 37004-2022 artfynd.xlsx", "A 37004-2022")</f>
        <v/>
      </c>
      <c r="T394">
        <f>HYPERLINK("https://klasma.github.io/Logging_0136/kartor/A 37004-2022 karta.png", "A 37004-2022")</f>
        <v/>
      </c>
      <c r="V394">
        <f>HYPERLINK("https://klasma.github.io/Logging_0136/klagomål/A 37004-2022 FSC-klagomål.docx", "A 37004-2022")</f>
        <v/>
      </c>
      <c r="W394">
        <f>HYPERLINK("https://klasma.github.io/Logging_0136/klagomålsmail/A 37004-2022 FSC-klagomål mail.docx", "A 37004-2022")</f>
        <v/>
      </c>
      <c r="X394">
        <f>HYPERLINK("https://klasma.github.io/Logging_0136/tillsyn/A 37004-2022 tillsynsbegäran.docx", "A 37004-2022")</f>
        <v/>
      </c>
      <c r="Y394">
        <f>HYPERLINK("https://klasma.github.io/Logging_0136/tillsynsmail/A 37004-2022 tillsynsbegäran mail.docx", "A 37004-2022")</f>
        <v/>
      </c>
    </row>
    <row r="395" ht="15" customHeight="1">
      <c r="A395" t="inlineStr">
        <is>
          <t>A 37522-2022</t>
        </is>
      </c>
      <c r="B395" s="1" t="n">
        <v>44809</v>
      </c>
      <c r="C395" s="1" t="n">
        <v>45350</v>
      </c>
      <c r="D395" t="inlineStr">
        <is>
          <t>STOCKHOLMS LÄN</t>
        </is>
      </c>
      <c r="E395" t="inlineStr">
        <is>
          <t>NORRTÄLJE</t>
        </is>
      </c>
      <c r="G395" t="n">
        <v>2.4</v>
      </c>
      <c r="H395" t="n">
        <v>1</v>
      </c>
      <c r="I395" t="n">
        <v>0</v>
      </c>
      <c r="J395" t="n">
        <v>0</v>
      </c>
      <c r="K395" t="n">
        <v>0</v>
      </c>
      <c r="L395" t="n">
        <v>0</v>
      </c>
      <c r="M395" t="n">
        <v>0</v>
      </c>
      <c r="N395" t="n">
        <v>0</v>
      </c>
      <c r="O395" t="n">
        <v>0</v>
      </c>
      <c r="P395" t="n">
        <v>0</v>
      </c>
      <c r="Q395" t="n">
        <v>1</v>
      </c>
      <c r="R395" s="2" t="inlineStr">
        <is>
          <t>Blåsippa</t>
        </is>
      </c>
      <c r="S395">
        <f>HYPERLINK("https://klasma.github.io/Logging_0188/artfynd/A 37522-2022 artfynd.xlsx", "A 37522-2022")</f>
        <v/>
      </c>
      <c r="T395">
        <f>HYPERLINK("https://klasma.github.io/Logging_0188/kartor/A 37522-2022 karta.png", "A 37522-2022")</f>
        <v/>
      </c>
      <c r="V395">
        <f>HYPERLINK("https://klasma.github.io/Logging_0188/klagomål/A 37522-2022 FSC-klagomål.docx", "A 37522-2022")</f>
        <v/>
      </c>
      <c r="W395">
        <f>HYPERLINK("https://klasma.github.io/Logging_0188/klagomålsmail/A 37522-2022 FSC-klagomål mail.docx", "A 37522-2022")</f>
        <v/>
      </c>
      <c r="X395">
        <f>HYPERLINK("https://klasma.github.io/Logging_0188/tillsyn/A 37522-2022 tillsynsbegäran.docx", "A 37522-2022")</f>
        <v/>
      </c>
      <c r="Y395">
        <f>HYPERLINK("https://klasma.github.io/Logging_0188/tillsynsmail/A 37522-2022 tillsynsbegäran mail.docx", "A 37522-2022")</f>
        <v/>
      </c>
    </row>
    <row r="396" ht="15" customHeight="1">
      <c r="A396" t="inlineStr">
        <is>
          <t>A 38452-2022</t>
        </is>
      </c>
      <c r="B396" s="1" t="n">
        <v>44813</v>
      </c>
      <c r="C396" s="1" t="n">
        <v>45350</v>
      </c>
      <c r="D396" t="inlineStr">
        <is>
          <t>STOCKHOLMS LÄN</t>
        </is>
      </c>
      <c r="E396" t="inlineStr">
        <is>
          <t>SÖDERTÄLJE</t>
        </is>
      </c>
      <c r="F396" t="inlineStr">
        <is>
          <t>Kommuner</t>
        </is>
      </c>
      <c r="G396" t="n">
        <v>25</v>
      </c>
      <c r="H396" t="n">
        <v>0</v>
      </c>
      <c r="I396" t="n">
        <v>1</v>
      </c>
      <c r="J396" t="n">
        <v>0</v>
      </c>
      <c r="K396" t="n">
        <v>0</v>
      </c>
      <c r="L396" t="n">
        <v>0</v>
      </c>
      <c r="M396" t="n">
        <v>0</v>
      </c>
      <c r="N396" t="n">
        <v>0</v>
      </c>
      <c r="O396" t="n">
        <v>0</v>
      </c>
      <c r="P396" t="n">
        <v>0</v>
      </c>
      <c r="Q396" t="n">
        <v>1</v>
      </c>
      <c r="R396" s="2" t="inlineStr">
        <is>
          <t>Rödgul trumpetsvamp</t>
        </is>
      </c>
      <c r="S396">
        <f>HYPERLINK("https://klasma.github.io/Logging_0181/artfynd/A 38452-2022 artfynd.xlsx", "A 38452-2022")</f>
        <v/>
      </c>
      <c r="T396">
        <f>HYPERLINK("https://klasma.github.io/Logging_0181/kartor/A 38452-2022 karta.png", "A 38452-2022")</f>
        <v/>
      </c>
      <c r="V396">
        <f>HYPERLINK("https://klasma.github.io/Logging_0181/klagomål/A 38452-2022 FSC-klagomål.docx", "A 38452-2022")</f>
        <v/>
      </c>
      <c r="W396">
        <f>HYPERLINK("https://klasma.github.io/Logging_0181/klagomålsmail/A 38452-2022 FSC-klagomål mail.docx", "A 38452-2022")</f>
        <v/>
      </c>
      <c r="X396">
        <f>HYPERLINK("https://klasma.github.io/Logging_0181/tillsyn/A 38452-2022 tillsynsbegäran.docx", "A 38452-2022")</f>
        <v/>
      </c>
      <c r="Y396">
        <f>HYPERLINK("https://klasma.github.io/Logging_0181/tillsynsmail/A 38452-2022 tillsynsbegäran mail.docx", "A 38452-2022")</f>
        <v/>
      </c>
    </row>
    <row r="397" ht="15" customHeight="1">
      <c r="A397" t="inlineStr">
        <is>
          <t>A 38597-2022</t>
        </is>
      </c>
      <c r="B397" s="1" t="n">
        <v>44813</v>
      </c>
      <c r="C397" s="1" t="n">
        <v>45350</v>
      </c>
      <c r="D397" t="inlineStr">
        <is>
          <t>STOCKHOLMS LÄN</t>
        </is>
      </c>
      <c r="E397" t="inlineStr">
        <is>
          <t>NORRTÄLJE</t>
        </is>
      </c>
      <c r="G397" t="n">
        <v>13.2</v>
      </c>
      <c r="H397" t="n">
        <v>1</v>
      </c>
      <c r="I397" t="n">
        <v>0</v>
      </c>
      <c r="J397" t="n">
        <v>0</v>
      </c>
      <c r="K397" t="n">
        <v>0</v>
      </c>
      <c r="L397" t="n">
        <v>1</v>
      </c>
      <c r="M397" t="n">
        <v>0</v>
      </c>
      <c r="N397" t="n">
        <v>0</v>
      </c>
      <c r="O397" t="n">
        <v>1</v>
      </c>
      <c r="P397" t="n">
        <v>1</v>
      </c>
      <c r="Q397" t="n">
        <v>1</v>
      </c>
      <c r="R397" s="2" t="inlineStr">
        <is>
          <t>Asknätfjäril</t>
        </is>
      </c>
      <c r="S397">
        <f>HYPERLINK("https://klasma.github.io/Logging_0188/artfynd/A 38597-2022 artfynd.xlsx", "A 38597-2022")</f>
        <v/>
      </c>
      <c r="T397">
        <f>HYPERLINK("https://klasma.github.io/Logging_0188/kartor/A 38597-2022 karta.png", "A 38597-2022")</f>
        <v/>
      </c>
      <c r="V397">
        <f>HYPERLINK("https://klasma.github.io/Logging_0188/klagomål/A 38597-2022 FSC-klagomål.docx", "A 38597-2022")</f>
        <v/>
      </c>
      <c r="W397">
        <f>HYPERLINK("https://klasma.github.io/Logging_0188/klagomålsmail/A 38597-2022 FSC-klagomål mail.docx", "A 38597-2022")</f>
        <v/>
      </c>
      <c r="X397">
        <f>HYPERLINK("https://klasma.github.io/Logging_0188/tillsyn/A 38597-2022 tillsynsbegäran.docx", "A 38597-2022")</f>
        <v/>
      </c>
      <c r="Y397">
        <f>HYPERLINK("https://klasma.github.io/Logging_0188/tillsynsmail/A 38597-2022 tillsynsbegäran mail.docx", "A 38597-2022")</f>
        <v/>
      </c>
    </row>
    <row r="398" ht="15" customHeight="1">
      <c r="A398" t="inlineStr">
        <is>
          <t>A 39636-2022</t>
        </is>
      </c>
      <c r="B398" s="1" t="n">
        <v>44818</v>
      </c>
      <c r="C398" s="1" t="n">
        <v>45350</v>
      </c>
      <c r="D398" t="inlineStr">
        <is>
          <t>STOCKHOLMS LÄN</t>
        </is>
      </c>
      <c r="E398" t="inlineStr">
        <is>
          <t>HANINGE</t>
        </is>
      </c>
      <c r="G398" t="n">
        <v>2</v>
      </c>
      <c r="H398" t="n">
        <v>0</v>
      </c>
      <c r="I398" t="n">
        <v>0</v>
      </c>
      <c r="J398" t="n">
        <v>0</v>
      </c>
      <c r="K398" t="n">
        <v>1</v>
      </c>
      <c r="L398" t="n">
        <v>0</v>
      </c>
      <c r="M398" t="n">
        <v>0</v>
      </c>
      <c r="N398" t="n">
        <v>0</v>
      </c>
      <c r="O398" t="n">
        <v>1</v>
      </c>
      <c r="P398" t="n">
        <v>1</v>
      </c>
      <c r="Q398" t="n">
        <v>1</v>
      </c>
      <c r="R398" s="2" t="inlineStr">
        <is>
          <t>Koppartaggsvamp</t>
        </is>
      </c>
      <c r="S398">
        <f>HYPERLINK("https://klasma.github.io/Logging_0136/artfynd/A 39636-2022 artfynd.xlsx", "A 39636-2022")</f>
        <v/>
      </c>
      <c r="T398">
        <f>HYPERLINK("https://klasma.github.io/Logging_0136/kartor/A 39636-2022 karta.png", "A 39636-2022")</f>
        <v/>
      </c>
      <c r="V398">
        <f>HYPERLINK("https://klasma.github.io/Logging_0136/klagomål/A 39636-2022 FSC-klagomål.docx", "A 39636-2022")</f>
        <v/>
      </c>
      <c r="W398">
        <f>HYPERLINK("https://klasma.github.io/Logging_0136/klagomålsmail/A 39636-2022 FSC-klagomål mail.docx", "A 39636-2022")</f>
        <v/>
      </c>
      <c r="X398">
        <f>HYPERLINK("https://klasma.github.io/Logging_0136/tillsyn/A 39636-2022 tillsynsbegäran.docx", "A 39636-2022")</f>
        <v/>
      </c>
      <c r="Y398">
        <f>HYPERLINK("https://klasma.github.io/Logging_0136/tillsynsmail/A 39636-2022 tillsynsbegäran mail.docx", "A 39636-2022")</f>
        <v/>
      </c>
    </row>
    <row r="399" ht="15" customHeight="1">
      <c r="A399" t="inlineStr">
        <is>
          <t>A 40672-2022</t>
        </is>
      </c>
      <c r="B399" s="1" t="n">
        <v>44824</v>
      </c>
      <c r="C399" s="1" t="n">
        <v>45350</v>
      </c>
      <c r="D399" t="inlineStr">
        <is>
          <t>STOCKHOLMS LÄN</t>
        </is>
      </c>
      <c r="E399" t="inlineStr">
        <is>
          <t>NORRTÄLJE</t>
        </is>
      </c>
      <c r="F399" t="inlineStr">
        <is>
          <t>Övriga Aktiebolag</t>
        </is>
      </c>
      <c r="G399" t="n">
        <v>1.3</v>
      </c>
      <c r="H399" t="n">
        <v>0</v>
      </c>
      <c r="I399" t="n">
        <v>0</v>
      </c>
      <c r="J399" t="n">
        <v>1</v>
      </c>
      <c r="K399" t="n">
        <v>0</v>
      </c>
      <c r="L399" t="n">
        <v>0</v>
      </c>
      <c r="M399" t="n">
        <v>0</v>
      </c>
      <c r="N399" t="n">
        <v>0</v>
      </c>
      <c r="O399" t="n">
        <v>1</v>
      </c>
      <c r="P399" t="n">
        <v>0</v>
      </c>
      <c r="Q399" t="n">
        <v>1</v>
      </c>
      <c r="R399" s="2" t="inlineStr">
        <is>
          <t>Månlåsbräken</t>
        </is>
      </c>
      <c r="S399">
        <f>HYPERLINK("https://klasma.github.io/Logging_0188/artfynd/A 40672-2022 artfynd.xlsx", "A 40672-2022")</f>
        <v/>
      </c>
      <c r="T399">
        <f>HYPERLINK("https://klasma.github.io/Logging_0188/kartor/A 40672-2022 karta.png", "A 40672-2022")</f>
        <v/>
      </c>
      <c r="V399">
        <f>HYPERLINK("https://klasma.github.io/Logging_0188/klagomål/A 40672-2022 FSC-klagomål.docx", "A 40672-2022")</f>
        <v/>
      </c>
      <c r="W399">
        <f>HYPERLINK("https://klasma.github.io/Logging_0188/klagomålsmail/A 40672-2022 FSC-klagomål mail.docx", "A 40672-2022")</f>
        <v/>
      </c>
      <c r="X399">
        <f>HYPERLINK("https://klasma.github.io/Logging_0188/tillsyn/A 40672-2022 tillsynsbegäran.docx", "A 40672-2022")</f>
        <v/>
      </c>
      <c r="Y399">
        <f>HYPERLINK("https://klasma.github.io/Logging_0188/tillsynsmail/A 40672-2022 tillsynsbegäran mail.docx", "A 40672-2022")</f>
        <v/>
      </c>
    </row>
    <row r="400" ht="15" customHeight="1">
      <c r="A400" t="inlineStr">
        <is>
          <t>A 44709-2022</t>
        </is>
      </c>
      <c r="B400" s="1" t="n">
        <v>44839</v>
      </c>
      <c r="C400" s="1" t="n">
        <v>45350</v>
      </c>
      <c r="D400" t="inlineStr">
        <is>
          <t>STOCKHOLMS LÄN</t>
        </is>
      </c>
      <c r="E400" t="inlineStr">
        <is>
          <t>NORRTÄLJE</t>
        </is>
      </c>
      <c r="G400" t="n">
        <v>16.3</v>
      </c>
      <c r="H400" t="n">
        <v>0</v>
      </c>
      <c r="I400" t="n">
        <v>0</v>
      </c>
      <c r="J400" t="n">
        <v>1</v>
      </c>
      <c r="K400" t="n">
        <v>0</v>
      </c>
      <c r="L400" t="n">
        <v>0</v>
      </c>
      <c r="M400" t="n">
        <v>0</v>
      </c>
      <c r="N400" t="n">
        <v>0</v>
      </c>
      <c r="O400" t="n">
        <v>1</v>
      </c>
      <c r="P400" t="n">
        <v>0</v>
      </c>
      <c r="Q400" t="n">
        <v>1</v>
      </c>
      <c r="R400" s="2" t="inlineStr">
        <is>
          <t>Asppraktbagge</t>
        </is>
      </c>
      <c r="S400">
        <f>HYPERLINK("https://klasma.github.io/Logging_0188/artfynd/A 44709-2022 artfynd.xlsx", "A 44709-2022")</f>
        <v/>
      </c>
      <c r="T400">
        <f>HYPERLINK("https://klasma.github.io/Logging_0188/kartor/A 44709-2022 karta.png", "A 44709-2022")</f>
        <v/>
      </c>
      <c r="V400">
        <f>HYPERLINK("https://klasma.github.io/Logging_0188/klagomål/A 44709-2022 FSC-klagomål.docx", "A 44709-2022")</f>
        <v/>
      </c>
      <c r="W400">
        <f>HYPERLINK("https://klasma.github.io/Logging_0188/klagomålsmail/A 44709-2022 FSC-klagomål mail.docx", "A 44709-2022")</f>
        <v/>
      </c>
      <c r="X400">
        <f>HYPERLINK("https://klasma.github.io/Logging_0188/tillsyn/A 44709-2022 tillsynsbegäran.docx", "A 44709-2022")</f>
        <v/>
      </c>
      <c r="Y400">
        <f>HYPERLINK("https://klasma.github.io/Logging_0188/tillsynsmail/A 44709-2022 tillsynsbegäran mail.docx", "A 44709-2022")</f>
        <v/>
      </c>
    </row>
    <row r="401" ht="15" customHeight="1">
      <c r="A401" t="inlineStr">
        <is>
          <t>A 44958-2022</t>
        </is>
      </c>
      <c r="B401" s="1" t="n">
        <v>44841</v>
      </c>
      <c r="C401" s="1" t="n">
        <v>45350</v>
      </c>
      <c r="D401" t="inlineStr">
        <is>
          <t>STOCKHOLMS LÄN</t>
        </is>
      </c>
      <c r="E401" t="inlineStr">
        <is>
          <t>SÖDERTÄLJE</t>
        </is>
      </c>
      <c r="F401" t="inlineStr">
        <is>
          <t>Sveaskog</t>
        </is>
      </c>
      <c r="G401" t="n">
        <v>0.5</v>
      </c>
      <c r="H401" t="n">
        <v>0</v>
      </c>
      <c r="I401" t="n">
        <v>0</v>
      </c>
      <c r="J401" t="n">
        <v>1</v>
      </c>
      <c r="K401" t="n">
        <v>0</v>
      </c>
      <c r="L401" t="n">
        <v>0</v>
      </c>
      <c r="M401" t="n">
        <v>0</v>
      </c>
      <c r="N401" t="n">
        <v>0</v>
      </c>
      <c r="O401" t="n">
        <v>1</v>
      </c>
      <c r="P401" t="n">
        <v>0</v>
      </c>
      <c r="Q401" t="n">
        <v>1</v>
      </c>
      <c r="R401" s="2" t="inlineStr">
        <is>
          <t>Slåtterfibbla</t>
        </is>
      </c>
      <c r="S401">
        <f>HYPERLINK("https://klasma.github.io/Logging_0181/artfynd/A 44958-2022 artfynd.xlsx", "A 44958-2022")</f>
        <v/>
      </c>
      <c r="T401">
        <f>HYPERLINK("https://klasma.github.io/Logging_0181/kartor/A 44958-2022 karta.png", "A 44958-2022")</f>
        <v/>
      </c>
      <c r="V401">
        <f>HYPERLINK("https://klasma.github.io/Logging_0181/klagomål/A 44958-2022 FSC-klagomål.docx", "A 44958-2022")</f>
        <v/>
      </c>
      <c r="W401">
        <f>HYPERLINK("https://klasma.github.io/Logging_0181/klagomålsmail/A 44958-2022 FSC-klagomål mail.docx", "A 44958-2022")</f>
        <v/>
      </c>
      <c r="X401">
        <f>HYPERLINK("https://klasma.github.io/Logging_0181/tillsyn/A 44958-2022 tillsynsbegäran.docx", "A 44958-2022")</f>
        <v/>
      </c>
      <c r="Y401">
        <f>HYPERLINK("https://klasma.github.io/Logging_0181/tillsynsmail/A 44958-2022 tillsynsbegäran mail.docx", "A 44958-2022")</f>
        <v/>
      </c>
    </row>
    <row r="402" ht="15" customHeight="1">
      <c r="A402" t="inlineStr">
        <is>
          <t>A 47898-2022</t>
        </is>
      </c>
      <c r="B402" s="1" t="n">
        <v>44855</v>
      </c>
      <c r="C402" s="1" t="n">
        <v>45350</v>
      </c>
      <c r="D402" t="inlineStr">
        <is>
          <t>STOCKHOLMS LÄN</t>
        </is>
      </c>
      <c r="E402" t="inlineStr">
        <is>
          <t>NORRTÄLJE</t>
        </is>
      </c>
      <c r="G402" t="n">
        <v>6.7</v>
      </c>
      <c r="H402" t="n">
        <v>1</v>
      </c>
      <c r="I402" t="n">
        <v>1</v>
      </c>
      <c r="J402" t="n">
        <v>0</v>
      </c>
      <c r="K402" t="n">
        <v>0</v>
      </c>
      <c r="L402" t="n">
        <v>0</v>
      </c>
      <c r="M402" t="n">
        <v>0</v>
      </c>
      <c r="N402" t="n">
        <v>0</v>
      </c>
      <c r="O402" t="n">
        <v>0</v>
      </c>
      <c r="P402" t="n">
        <v>0</v>
      </c>
      <c r="Q402" t="n">
        <v>1</v>
      </c>
      <c r="R402" s="2" t="inlineStr">
        <is>
          <t>Guckusko</t>
        </is>
      </c>
      <c r="S402">
        <f>HYPERLINK("https://klasma.github.io/Logging_0188/artfynd/A 47898-2022 artfynd.xlsx", "A 47898-2022")</f>
        <v/>
      </c>
      <c r="T402">
        <f>HYPERLINK("https://klasma.github.io/Logging_0188/kartor/A 47898-2022 karta.png", "A 47898-2022")</f>
        <v/>
      </c>
      <c r="V402">
        <f>HYPERLINK("https://klasma.github.io/Logging_0188/klagomål/A 47898-2022 FSC-klagomål.docx", "A 47898-2022")</f>
        <v/>
      </c>
      <c r="W402">
        <f>HYPERLINK("https://klasma.github.io/Logging_0188/klagomålsmail/A 47898-2022 FSC-klagomål mail.docx", "A 47898-2022")</f>
        <v/>
      </c>
      <c r="X402">
        <f>HYPERLINK("https://klasma.github.io/Logging_0188/tillsyn/A 47898-2022 tillsynsbegäran.docx", "A 47898-2022")</f>
        <v/>
      </c>
      <c r="Y402">
        <f>HYPERLINK("https://klasma.github.io/Logging_0188/tillsynsmail/A 47898-2022 tillsynsbegäran mail.docx", "A 47898-2022")</f>
        <v/>
      </c>
    </row>
    <row r="403" ht="15" customHeight="1">
      <c r="A403" t="inlineStr">
        <is>
          <t>A 48658-2022</t>
        </is>
      </c>
      <c r="B403" s="1" t="n">
        <v>44859</v>
      </c>
      <c r="C403" s="1" t="n">
        <v>45350</v>
      </c>
      <c r="D403" t="inlineStr">
        <is>
          <t>STOCKHOLMS LÄN</t>
        </is>
      </c>
      <c r="E403" t="inlineStr">
        <is>
          <t>VÄRMDÖ</t>
        </is>
      </c>
      <c r="G403" t="n">
        <v>4.2</v>
      </c>
      <c r="H403" t="n">
        <v>0</v>
      </c>
      <c r="I403" t="n">
        <v>0</v>
      </c>
      <c r="J403" t="n">
        <v>1</v>
      </c>
      <c r="K403" t="n">
        <v>0</v>
      </c>
      <c r="L403" t="n">
        <v>0</v>
      </c>
      <c r="M403" t="n">
        <v>0</v>
      </c>
      <c r="N403" t="n">
        <v>0</v>
      </c>
      <c r="O403" t="n">
        <v>1</v>
      </c>
      <c r="P403" t="n">
        <v>0</v>
      </c>
      <c r="Q403" t="n">
        <v>1</v>
      </c>
      <c r="R403" s="2" t="inlineStr">
        <is>
          <t>Tallticka</t>
        </is>
      </c>
      <c r="S403">
        <f>HYPERLINK("https://klasma.github.io/Logging_0120/artfynd/A 48658-2022 artfynd.xlsx", "A 48658-2022")</f>
        <v/>
      </c>
      <c r="T403">
        <f>HYPERLINK("https://klasma.github.io/Logging_0120/kartor/A 48658-2022 karta.png", "A 48658-2022")</f>
        <v/>
      </c>
      <c r="V403">
        <f>HYPERLINK("https://klasma.github.io/Logging_0120/klagomål/A 48658-2022 FSC-klagomål.docx", "A 48658-2022")</f>
        <v/>
      </c>
      <c r="W403">
        <f>HYPERLINK("https://klasma.github.io/Logging_0120/klagomålsmail/A 48658-2022 FSC-klagomål mail.docx", "A 48658-2022")</f>
        <v/>
      </c>
      <c r="X403">
        <f>HYPERLINK("https://klasma.github.io/Logging_0120/tillsyn/A 48658-2022 tillsynsbegäran.docx", "A 48658-2022")</f>
        <v/>
      </c>
      <c r="Y403">
        <f>HYPERLINK("https://klasma.github.io/Logging_0120/tillsynsmail/A 48658-2022 tillsynsbegäran mail.docx", "A 48658-2022")</f>
        <v/>
      </c>
    </row>
    <row r="404" ht="15" customHeight="1">
      <c r="A404" t="inlineStr">
        <is>
          <t>A 50854-2022</t>
        </is>
      </c>
      <c r="B404" s="1" t="n">
        <v>44863</v>
      </c>
      <c r="C404" s="1" t="n">
        <v>45350</v>
      </c>
      <c r="D404" t="inlineStr">
        <is>
          <t>STOCKHOLMS LÄN</t>
        </is>
      </c>
      <c r="E404" t="inlineStr">
        <is>
          <t>NORRTÄLJE</t>
        </is>
      </c>
      <c r="G404" t="n">
        <v>2.9</v>
      </c>
      <c r="H404" t="n">
        <v>0</v>
      </c>
      <c r="I404" t="n">
        <v>1</v>
      </c>
      <c r="J404" t="n">
        <v>0</v>
      </c>
      <c r="K404" t="n">
        <v>0</v>
      </c>
      <c r="L404" t="n">
        <v>0</v>
      </c>
      <c r="M404" t="n">
        <v>0</v>
      </c>
      <c r="N404" t="n">
        <v>0</v>
      </c>
      <c r="O404" t="n">
        <v>0</v>
      </c>
      <c r="P404" t="n">
        <v>0</v>
      </c>
      <c r="Q404" t="n">
        <v>1</v>
      </c>
      <c r="R404" s="2" t="inlineStr">
        <is>
          <t>Tibast</t>
        </is>
      </c>
      <c r="S404">
        <f>HYPERLINK("https://klasma.github.io/Logging_0188/artfynd/A 50854-2022 artfynd.xlsx", "A 50854-2022")</f>
        <v/>
      </c>
      <c r="T404">
        <f>HYPERLINK("https://klasma.github.io/Logging_0188/kartor/A 50854-2022 karta.png", "A 50854-2022")</f>
        <v/>
      </c>
      <c r="V404">
        <f>HYPERLINK("https://klasma.github.io/Logging_0188/klagomål/A 50854-2022 FSC-klagomål.docx", "A 50854-2022")</f>
        <v/>
      </c>
      <c r="W404">
        <f>HYPERLINK("https://klasma.github.io/Logging_0188/klagomålsmail/A 50854-2022 FSC-klagomål mail.docx", "A 50854-2022")</f>
        <v/>
      </c>
      <c r="X404">
        <f>HYPERLINK("https://klasma.github.io/Logging_0188/tillsyn/A 50854-2022 tillsynsbegäran.docx", "A 50854-2022")</f>
        <v/>
      </c>
      <c r="Y404">
        <f>HYPERLINK("https://klasma.github.io/Logging_0188/tillsynsmail/A 50854-2022 tillsynsbegäran mail.docx", "A 50854-2022")</f>
        <v/>
      </c>
    </row>
    <row r="405" ht="15" customHeight="1">
      <c r="A405" t="inlineStr">
        <is>
          <t>A 51189-2022</t>
        </is>
      </c>
      <c r="B405" s="1" t="n">
        <v>44865</v>
      </c>
      <c r="C405" s="1" t="n">
        <v>45350</v>
      </c>
      <c r="D405" t="inlineStr">
        <is>
          <t>STOCKHOLMS LÄN</t>
        </is>
      </c>
      <c r="E405" t="inlineStr">
        <is>
          <t>SIGTUNA</t>
        </is>
      </c>
      <c r="G405" t="n">
        <v>32.8</v>
      </c>
      <c r="H405" t="n">
        <v>0</v>
      </c>
      <c r="I405" t="n">
        <v>0</v>
      </c>
      <c r="J405" t="n">
        <v>1</v>
      </c>
      <c r="K405" t="n">
        <v>0</v>
      </c>
      <c r="L405" t="n">
        <v>0</v>
      </c>
      <c r="M405" t="n">
        <v>0</v>
      </c>
      <c r="N405" t="n">
        <v>0</v>
      </c>
      <c r="O405" t="n">
        <v>1</v>
      </c>
      <c r="P405" t="n">
        <v>0</v>
      </c>
      <c r="Q405" t="n">
        <v>1</v>
      </c>
      <c r="R405" s="2" t="inlineStr">
        <is>
          <t>Vedskivlav</t>
        </is>
      </c>
      <c r="S405">
        <f>HYPERLINK("https://klasma.github.io/Logging_0191/artfynd/A 51189-2022 artfynd.xlsx", "A 51189-2022")</f>
        <v/>
      </c>
      <c r="T405">
        <f>HYPERLINK("https://klasma.github.io/Logging_0191/kartor/A 51189-2022 karta.png", "A 51189-2022")</f>
        <v/>
      </c>
      <c r="V405">
        <f>HYPERLINK("https://klasma.github.io/Logging_0191/klagomål/A 51189-2022 FSC-klagomål.docx", "A 51189-2022")</f>
        <v/>
      </c>
      <c r="W405">
        <f>HYPERLINK("https://klasma.github.io/Logging_0191/klagomålsmail/A 51189-2022 FSC-klagomål mail.docx", "A 51189-2022")</f>
        <v/>
      </c>
      <c r="X405">
        <f>HYPERLINK("https://klasma.github.io/Logging_0191/tillsyn/A 51189-2022 tillsynsbegäran.docx", "A 51189-2022")</f>
        <v/>
      </c>
      <c r="Y405">
        <f>HYPERLINK("https://klasma.github.io/Logging_0191/tillsynsmail/A 51189-2022 tillsynsbegäran mail.docx", "A 51189-2022")</f>
        <v/>
      </c>
    </row>
    <row r="406" ht="15" customHeight="1">
      <c r="A406" t="inlineStr">
        <is>
          <t>A 52130-2022</t>
        </is>
      </c>
      <c r="B406" s="1" t="n">
        <v>44868</v>
      </c>
      <c r="C406" s="1" t="n">
        <v>45350</v>
      </c>
      <c r="D406" t="inlineStr">
        <is>
          <t>STOCKHOLMS LÄN</t>
        </is>
      </c>
      <c r="E406" t="inlineStr">
        <is>
          <t>NORRTÄLJE</t>
        </is>
      </c>
      <c r="G406" t="n">
        <v>3.7</v>
      </c>
      <c r="H406" t="n">
        <v>0</v>
      </c>
      <c r="I406" t="n">
        <v>0</v>
      </c>
      <c r="J406" t="n">
        <v>1</v>
      </c>
      <c r="K406" t="n">
        <v>0</v>
      </c>
      <c r="L406" t="n">
        <v>0</v>
      </c>
      <c r="M406" t="n">
        <v>0</v>
      </c>
      <c r="N406" t="n">
        <v>0</v>
      </c>
      <c r="O406" t="n">
        <v>1</v>
      </c>
      <c r="P406" t="n">
        <v>0</v>
      </c>
      <c r="Q406" t="n">
        <v>1</v>
      </c>
      <c r="R406" s="2" t="inlineStr">
        <is>
          <t>Flattoppad klubbsvamp</t>
        </is>
      </c>
      <c r="S406">
        <f>HYPERLINK("https://klasma.github.io/Logging_0188/artfynd/A 52130-2022 artfynd.xlsx", "A 52130-2022")</f>
        <v/>
      </c>
      <c r="T406">
        <f>HYPERLINK("https://klasma.github.io/Logging_0188/kartor/A 52130-2022 karta.png", "A 52130-2022")</f>
        <v/>
      </c>
      <c r="V406">
        <f>HYPERLINK("https://klasma.github.io/Logging_0188/klagomål/A 52130-2022 FSC-klagomål.docx", "A 52130-2022")</f>
        <v/>
      </c>
      <c r="W406">
        <f>HYPERLINK("https://klasma.github.io/Logging_0188/klagomålsmail/A 52130-2022 FSC-klagomål mail.docx", "A 52130-2022")</f>
        <v/>
      </c>
      <c r="X406">
        <f>HYPERLINK("https://klasma.github.io/Logging_0188/tillsyn/A 52130-2022 tillsynsbegäran.docx", "A 52130-2022")</f>
        <v/>
      </c>
      <c r="Y406">
        <f>HYPERLINK("https://klasma.github.io/Logging_0188/tillsynsmail/A 52130-2022 tillsynsbegäran mail.docx", "A 52130-2022")</f>
        <v/>
      </c>
    </row>
    <row r="407" ht="15" customHeight="1">
      <c r="A407" t="inlineStr">
        <is>
          <t>A 61011-2022</t>
        </is>
      </c>
      <c r="B407" s="1" t="n">
        <v>44914</v>
      </c>
      <c r="C407" s="1" t="n">
        <v>45350</v>
      </c>
      <c r="D407" t="inlineStr">
        <is>
          <t>STOCKHOLMS LÄN</t>
        </is>
      </c>
      <c r="E407" t="inlineStr">
        <is>
          <t>NORRTÄLJE</t>
        </is>
      </c>
      <c r="G407" t="n">
        <v>2.2</v>
      </c>
      <c r="H407" t="n">
        <v>0</v>
      </c>
      <c r="I407" t="n">
        <v>0</v>
      </c>
      <c r="J407" t="n">
        <v>1</v>
      </c>
      <c r="K407" t="n">
        <v>0</v>
      </c>
      <c r="L407" t="n">
        <v>0</v>
      </c>
      <c r="M407" t="n">
        <v>0</v>
      </c>
      <c r="N407" t="n">
        <v>0</v>
      </c>
      <c r="O407" t="n">
        <v>1</v>
      </c>
      <c r="P407" t="n">
        <v>0</v>
      </c>
      <c r="Q407" t="n">
        <v>1</v>
      </c>
      <c r="R407" s="2" t="inlineStr">
        <is>
          <t>Orange taggsvamp</t>
        </is>
      </c>
      <c r="S407">
        <f>HYPERLINK("https://klasma.github.io/Logging_0188/artfynd/A 61011-2022 artfynd.xlsx", "A 61011-2022")</f>
        <v/>
      </c>
      <c r="T407">
        <f>HYPERLINK("https://klasma.github.io/Logging_0188/kartor/A 61011-2022 karta.png", "A 61011-2022")</f>
        <v/>
      </c>
      <c r="V407">
        <f>HYPERLINK("https://klasma.github.io/Logging_0188/klagomål/A 61011-2022 FSC-klagomål.docx", "A 61011-2022")</f>
        <v/>
      </c>
      <c r="W407">
        <f>HYPERLINK("https://klasma.github.io/Logging_0188/klagomålsmail/A 61011-2022 FSC-klagomål mail.docx", "A 61011-2022")</f>
        <v/>
      </c>
      <c r="X407">
        <f>HYPERLINK("https://klasma.github.io/Logging_0188/tillsyn/A 61011-2022 tillsynsbegäran.docx", "A 61011-2022")</f>
        <v/>
      </c>
      <c r="Y407">
        <f>HYPERLINK("https://klasma.github.io/Logging_0188/tillsynsmail/A 61011-2022 tillsynsbegäran mail.docx", "A 61011-2022")</f>
        <v/>
      </c>
    </row>
    <row r="408" ht="15" customHeight="1">
      <c r="A408" t="inlineStr">
        <is>
          <t>A 61732-2022</t>
        </is>
      </c>
      <c r="B408" s="1" t="n">
        <v>44917</v>
      </c>
      <c r="C408" s="1" t="n">
        <v>45350</v>
      </c>
      <c r="D408" t="inlineStr">
        <is>
          <t>STOCKHOLMS LÄN</t>
        </is>
      </c>
      <c r="E408" t="inlineStr">
        <is>
          <t>ÖSTERÅKER</t>
        </is>
      </c>
      <c r="G408" t="n">
        <v>2.2</v>
      </c>
      <c r="H408" t="n">
        <v>0</v>
      </c>
      <c r="I408" t="n">
        <v>0</v>
      </c>
      <c r="J408" t="n">
        <v>1</v>
      </c>
      <c r="K408" t="n">
        <v>0</v>
      </c>
      <c r="L408" t="n">
        <v>0</v>
      </c>
      <c r="M408" t="n">
        <v>0</v>
      </c>
      <c r="N408" t="n">
        <v>0</v>
      </c>
      <c r="O408" t="n">
        <v>1</v>
      </c>
      <c r="P408" t="n">
        <v>0</v>
      </c>
      <c r="Q408" t="n">
        <v>1</v>
      </c>
      <c r="R408" s="2" t="inlineStr">
        <is>
          <t>Ullticka</t>
        </is>
      </c>
      <c r="S408">
        <f>HYPERLINK("https://klasma.github.io/Logging_0117/artfynd/A 61732-2022 artfynd.xlsx", "A 61732-2022")</f>
        <v/>
      </c>
      <c r="T408">
        <f>HYPERLINK("https://klasma.github.io/Logging_0117/kartor/A 61732-2022 karta.png", "A 61732-2022")</f>
        <v/>
      </c>
      <c r="V408">
        <f>HYPERLINK("https://klasma.github.io/Logging_0117/klagomål/A 61732-2022 FSC-klagomål.docx", "A 61732-2022")</f>
        <v/>
      </c>
      <c r="W408">
        <f>HYPERLINK("https://klasma.github.io/Logging_0117/klagomålsmail/A 61732-2022 FSC-klagomål mail.docx", "A 61732-2022")</f>
        <v/>
      </c>
      <c r="X408">
        <f>HYPERLINK("https://klasma.github.io/Logging_0117/tillsyn/A 61732-2022 tillsynsbegäran.docx", "A 61732-2022")</f>
        <v/>
      </c>
      <c r="Y408">
        <f>HYPERLINK("https://klasma.github.io/Logging_0117/tillsynsmail/A 61732-2022 tillsynsbegäran mail.docx", "A 61732-2022")</f>
        <v/>
      </c>
    </row>
    <row r="409" ht="15" customHeight="1">
      <c r="A409" t="inlineStr">
        <is>
          <t>A 847-2023</t>
        </is>
      </c>
      <c r="B409" s="1" t="n">
        <v>44931</v>
      </c>
      <c r="C409" s="1" t="n">
        <v>45350</v>
      </c>
      <c r="D409" t="inlineStr">
        <is>
          <t>STOCKHOLMS LÄN</t>
        </is>
      </c>
      <c r="E409" t="inlineStr">
        <is>
          <t>ÖSTERÅKER</t>
        </is>
      </c>
      <c r="G409" t="n">
        <v>3</v>
      </c>
      <c r="H409" t="n">
        <v>1</v>
      </c>
      <c r="I409" t="n">
        <v>0</v>
      </c>
      <c r="J409" t="n">
        <v>1</v>
      </c>
      <c r="K409" t="n">
        <v>0</v>
      </c>
      <c r="L409" t="n">
        <v>0</v>
      </c>
      <c r="M409" t="n">
        <v>0</v>
      </c>
      <c r="N409" t="n">
        <v>0</v>
      </c>
      <c r="O409" t="n">
        <v>1</v>
      </c>
      <c r="P409" t="n">
        <v>0</v>
      </c>
      <c r="Q409" t="n">
        <v>1</v>
      </c>
      <c r="R409" s="2" t="inlineStr">
        <is>
          <t>Talltita</t>
        </is>
      </c>
      <c r="S409">
        <f>HYPERLINK("https://klasma.github.io/Logging_0117/artfynd/A 847-2023 artfynd.xlsx", "A 847-2023")</f>
        <v/>
      </c>
      <c r="T409">
        <f>HYPERLINK("https://klasma.github.io/Logging_0117/kartor/A 847-2023 karta.png", "A 847-2023")</f>
        <v/>
      </c>
      <c r="V409">
        <f>HYPERLINK("https://klasma.github.io/Logging_0117/klagomål/A 847-2023 FSC-klagomål.docx", "A 847-2023")</f>
        <v/>
      </c>
      <c r="W409">
        <f>HYPERLINK("https://klasma.github.io/Logging_0117/klagomålsmail/A 847-2023 FSC-klagomål mail.docx", "A 847-2023")</f>
        <v/>
      </c>
      <c r="X409">
        <f>HYPERLINK("https://klasma.github.io/Logging_0117/tillsyn/A 847-2023 tillsynsbegäran.docx", "A 847-2023")</f>
        <v/>
      </c>
      <c r="Y409">
        <f>HYPERLINK("https://klasma.github.io/Logging_0117/tillsynsmail/A 847-2023 tillsynsbegäran mail.docx", "A 847-2023")</f>
        <v/>
      </c>
      <c r="Z409">
        <f>HYPERLINK("https://klasma.github.io/Logging_0117/fåglar/A 847-2023 prioriterade fågelarter.docx", "A 847-2023")</f>
        <v/>
      </c>
    </row>
    <row r="410" ht="15" customHeight="1">
      <c r="A410" t="inlineStr">
        <is>
          <t>A 1691-2023</t>
        </is>
      </c>
      <c r="B410" s="1" t="n">
        <v>44938</v>
      </c>
      <c r="C410" s="1" t="n">
        <v>45350</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2987-2023</t>
        </is>
      </c>
      <c r="B411" s="1" t="n">
        <v>44945</v>
      </c>
      <c r="C411" s="1" t="n">
        <v>45350</v>
      </c>
      <c r="D411" t="inlineStr">
        <is>
          <t>STOCKHOLMS LÄN</t>
        </is>
      </c>
      <c r="E411" t="inlineStr">
        <is>
          <t>SALEM</t>
        </is>
      </c>
      <c r="F411" t="inlineStr">
        <is>
          <t>Kommuner</t>
        </is>
      </c>
      <c r="G411" t="n">
        <v>6.2</v>
      </c>
      <c r="H411" t="n">
        <v>0</v>
      </c>
      <c r="I411" t="n">
        <v>0</v>
      </c>
      <c r="J411" t="n">
        <v>1</v>
      </c>
      <c r="K411" t="n">
        <v>0</v>
      </c>
      <c r="L411" t="n">
        <v>0</v>
      </c>
      <c r="M411" t="n">
        <v>0</v>
      </c>
      <c r="N411" t="n">
        <v>0</v>
      </c>
      <c r="O411" t="n">
        <v>1</v>
      </c>
      <c r="P411" t="n">
        <v>0</v>
      </c>
      <c r="Q411" t="n">
        <v>1</v>
      </c>
      <c r="R411" s="2" t="inlineStr">
        <is>
          <t>Tallticka</t>
        </is>
      </c>
      <c r="S411">
        <f>HYPERLINK("https://klasma.github.io/Logging_0128/artfynd/A 2987-2023 artfynd.xlsx", "A 2987-2023")</f>
        <v/>
      </c>
      <c r="T411">
        <f>HYPERLINK("https://klasma.github.io/Logging_0128/kartor/A 2987-2023 karta.png", "A 2987-2023")</f>
        <v/>
      </c>
      <c r="V411">
        <f>HYPERLINK("https://klasma.github.io/Logging_0128/klagomål/A 2987-2023 FSC-klagomål.docx", "A 2987-2023")</f>
        <v/>
      </c>
      <c r="W411">
        <f>HYPERLINK("https://klasma.github.io/Logging_0128/klagomålsmail/A 2987-2023 FSC-klagomål mail.docx", "A 2987-2023")</f>
        <v/>
      </c>
      <c r="X411">
        <f>HYPERLINK("https://klasma.github.io/Logging_0128/tillsyn/A 2987-2023 tillsynsbegäran.docx", "A 2987-2023")</f>
        <v/>
      </c>
      <c r="Y411">
        <f>HYPERLINK("https://klasma.github.io/Logging_0128/tillsynsmail/A 2987-2023 tillsynsbegäran mail.docx", "A 2987-2023")</f>
        <v/>
      </c>
    </row>
    <row r="412" ht="15" customHeight="1">
      <c r="A412" t="inlineStr">
        <is>
          <t>A 3919-2023</t>
        </is>
      </c>
      <c r="B412" s="1" t="n">
        <v>44952</v>
      </c>
      <c r="C412" s="1" t="n">
        <v>45350</v>
      </c>
      <c r="D412" t="inlineStr">
        <is>
          <t>STOCKHOLMS LÄN</t>
        </is>
      </c>
      <c r="E412" t="inlineStr">
        <is>
          <t>ÖSTERÅKER</t>
        </is>
      </c>
      <c r="F412" t="inlineStr">
        <is>
          <t>Kommuner</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HYPERLINK("https://klasma.github.io/Logging_0117/artfynd/A 3919-2023 artfynd.xlsx", "A 3919-2023")</f>
        <v/>
      </c>
      <c r="T412">
        <f>HYPERLINK("https://klasma.github.io/Logging_0117/kartor/A 3919-2023 karta.png", "A 3919-2023")</f>
        <v/>
      </c>
      <c r="V412">
        <f>HYPERLINK("https://klasma.github.io/Logging_0117/klagomål/A 3919-2023 FSC-klagomål.docx", "A 3919-2023")</f>
        <v/>
      </c>
      <c r="W412">
        <f>HYPERLINK("https://klasma.github.io/Logging_0117/klagomålsmail/A 3919-2023 FSC-klagomål mail.docx", "A 3919-2023")</f>
        <v/>
      </c>
      <c r="X412">
        <f>HYPERLINK("https://klasma.github.io/Logging_0117/tillsyn/A 3919-2023 tillsynsbegäran.docx", "A 3919-2023")</f>
        <v/>
      </c>
      <c r="Y412">
        <f>HYPERLINK("https://klasma.github.io/Logging_0117/tillsynsmail/A 3919-2023 tillsynsbegäran mail.docx", "A 3919-2023")</f>
        <v/>
      </c>
    </row>
    <row r="413" ht="15" customHeight="1">
      <c r="A413" t="inlineStr">
        <is>
          <t>A 3914-2023</t>
        </is>
      </c>
      <c r="B413" s="1" t="n">
        <v>44952</v>
      </c>
      <c r="C413" s="1" t="n">
        <v>45350</v>
      </c>
      <c r="D413" t="inlineStr">
        <is>
          <t>STOCKHOLMS LÄN</t>
        </is>
      </c>
      <c r="E413" t="inlineStr">
        <is>
          <t>ÖSTERÅKER</t>
        </is>
      </c>
      <c r="F413" t="inlineStr">
        <is>
          <t>Kommuner</t>
        </is>
      </c>
      <c r="G413" t="n">
        <v>15.3</v>
      </c>
      <c r="H413" t="n">
        <v>1</v>
      </c>
      <c r="I413" t="n">
        <v>0</v>
      </c>
      <c r="J413" t="n">
        <v>1</v>
      </c>
      <c r="K413" t="n">
        <v>0</v>
      </c>
      <c r="L413" t="n">
        <v>0</v>
      </c>
      <c r="M413" t="n">
        <v>0</v>
      </c>
      <c r="N413" t="n">
        <v>0</v>
      </c>
      <c r="O413" t="n">
        <v>1</v>
      </c>
      <c r="P413" t="n">
        <v>0</v>
      </c>
      <c r="Q413" t="n">
        <v>1</v>
      </c>
      <c r="R413" s="2" t="inlineStr">
        <is>
          <t>Kråka</t>
        </is>
      </c>
      <c r="S413">
        <f>HYPERLINK("https://klasma.github.io/Logging_0117/artfynd/A 3914-2023 artfynd.xlsx", "A 3914-2023")</f>
        <v/>
      </c>
      <c r="T413">
        <f>HYPERLINK("https://klasma.github.io/Logging_0117/kartor/A 3914-2023 karta.png", "A 3914-2023")</f>
        <v/>
      </c>
      <c r="V413">
        <f>HYPERLINK("https://klasma.github.io/Logging_0117/klagomål/A 3914-2023 FSC-klagomål.docx", "A 3914-2023")</f>
        <v/>
      </c>
      <c r="W413">
        <f>HYPERLINK("https://klasma.github.io/Logging_0117/klagomålsmail/A 3914-2023 FSC-klagomål mail.docx", "A 3914-2023")</f>
        <v/>
      </c>
      <c r="X413">
        <f>HYPERLINK("https://klasma.github.io/Logging_0117/tillsyn/A 3914-2023 tillsynsbegäran.docx", "A 3914-2023")</f>
        <v/>
      </c>
      <c r="Y413">
        <f>HYPERLINK("https://klasma.github.io/Logging_0117/tillsynsmail/A 3914-2023 tillsynsbegäran mail.docx", "A 3914-2023")</f>
        <v/>
      </c>
    </row>
    <row r="414" ht="15" customHeight="1">
      <c r="A414" t="inlineStr">
        <is>
          <t>A 4595-2023</t>
        </is>
      </c>
      <c r="B414" s="1" t="n">
        <v>44956</v>
      </c>
      <c r="C414" s="1" t="n">
        <v>45350</v>
      </c>
      <c r="D414" t="inlineStr">
        <is>
          <t>STOCKHOLMS LÄN</t>
        </is>
      </c>
      <c r="E414" t="inlineStr">
        <is>
          <t>NORRTÄLJE</t>
        </is>
      </c>
      <c r="G414" t="n">
        <v>0.6</v>
      </c>
      <c r="H414" t="n">
        <v>1</v>
      </c>
      <c r="I414" t="n">
        <v>0</v>
      </c>
      <c r="J414" t="n">
        <v>0</v>
      </c>
      <c r="K414" t="n">
        <v>0</v>
      </c>
      <c r="L414" t="n">
        <v>0</v>
      </c>
      <c r="M414" t="n">
        <v>0</v>
      </c>
      <c r="N414" t="n">
        <v>0</v>
      </c>
      <c r="O414" t="n">
        <v>0</v>
      </c>
      <c r="P414" t="n">
        <v>0</v>
      </c>
      <c r="Q414" t="n">
        <v>1</v>
      </c>
      <c r="R414" s="2" t="inlineStr">
        <is>
          <t>Blåsippa</t>
        </is>
      </c>
      <c r="S414">
        <f>HYPERLINK("https://klasma.github.io/Logging_0188/artfynd/A 4595-2023 artfynd.xlsx", "A 4595-2023")</f>
        <v/>
      </c>
      <c r="T414">
        <f>HYPERLINK("https://klasma.github.io/Logging_0188/kartor/A 4595-2023 karta.png", "A 4595-2023")</f>
        <v/>
      </c>
      <c r="V414">
        <f>HYPERLINK("https://klasma.github.io/Logging_0188/klagomål/A 4595-2023 FSC-klagomål.docx", "A 4595-2023")</f>
        <v/>
      </c>
      <c r="W414">
        <f>HYPERLINK("https://klasma.github.io/Logging_0188/klagomålsmail/A 4595-2023 FSC-klagomål mail.docx", "A 4595-2023")</f>
        <v/>
      </c>
      <c r="X414">
        <f>HYPERLINK("https://klasma.github.io/Logging_0188/tillsyn/A 4595-2023 tillsynsbegäran.docx", "A 4595-2023")</f>
        <v/>
      </c>
      <c r="Y414">
        <f>HYPERLINK("https://klasma.github.io/Logging_0188/tillsynsmail/A 4595-2023 tillsynsbegäran mail.docx", "A 4595-2023")</f>
        <v/>
      </c>
    </row>
    <row r="415" ht="15" customHeight="1">
      <c r="A415" t="inlineStr">
        <is>
          <t>A 5574-2023</t>
        </is>
      </c>
      <c r="B415" s="1" t="n">
        <v>44960</v>
      </c>
      <c r="C415" s="1" t="n">
        <v>45350</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5574-2023 artfynd.xlsx", "A 5574-2023")</f>
        <v/>
      </c>
      <c r="T415">
        <f>HYPERLINK("https://klasma.github.io/Logging_0127/kartor/A 5574-2023 karta.png", "A 5574-2023")</f>
        <v/>
      </c>
      <c r="V415">
        <f>HYPERLINK("https://klasma.github.io/Logging_0127/klagomål/A 5574-2023 FSC-klagomål.docx", "A 5574-2023")</f>
        <v/>
      </c>
      <c r="W415">
        <f>HYPERLINK("https://klasma.github.io/Logging_0127/klagomålsmail/A 5574-2023 FSC-klagomål mail.docx", "A 5574-2023")</f>
        <v/>
      </c>
      <c r="X415">
        <f>HYPERLINK("https://klasma.github.io/Logging_0127/tillsyn/A 5574-2023 tillsynsbegäran.docx", "A 5574-2023")</f>
        <v/>
      </c>
      <c r="Y415">
        <f>HYPERLINK("https://klasma.github.io/Logging_0127/tillsynsmail/A 5574-2023 tillsynsbegäran mail.docx", "A 5574-2023")</f>
        <v/>
      </c>
    </row>
    <row r="416" ht="15" customHeight="1">
      <c r="A416" t="inlineStr">
        <is>
          <t>A 6381-2023</t>
        </is>
      </c>
      <c r="B416" s="1" t="n">
        <v>44965</v>
      </c>
      <c r="C416" s="1" t="n">
        <v>45350</v>
      </c>
      <c r="D416" t="inlineStr">
        <is>
          <t>STOCKHOLMS LÄN</t>
        </is>
      </c>
      <c r="E416" t="inlineStr">
        <is>
          <t>NORRTÄLJE</t>
        </is>
      </c>
      <c r="G416" t="n">
        <v>3.5</v>
      </c>
      <c r="H416" t="n">
        <v>1</v>
      </c>
      <c r="I416" t="n">
        <v>1</v>
      </c>
      <c r="J416" t="n">
        <v>0</v>
      </c>
      <c r="K416" t="n">
        <v>0</v>
      </c>
      <c r="L416" t="n">
        <v>0</v>
      </c>
      <c r="M416" t="n">
        <v>0</v>
      </c>
      <c r="N416" t="n">
        <v>0</v>
      </c>
      <c r="O416" t="n">
        <v>0</v>
      </c>
      <c r="P416" t="n">
        <v>0</v>
      </c>
      <c r="Q416" t="n">
        <v>1</v>
      </c>
      <c r="R416" s="2" t="inlineStr">
        <is>
          <t>Guckusko</t>
        </is>
      </c>
      <c r="S416">
        <f>HYPERLINK("https://klasma.github.io/Logging_0188/artfynd/A 6381-2023 artfynd.xlsx", "A 6381-2023")</f>
        <v/>
      </c>
      <c r="T416">
        <f>HYPERLINK("https://klasma.github.io/Logging_0188/kartor/A 6381-2023 karta.png", "A 6381-2023")</f>
        <v/>
      </c>
      <c r="V416">
        <f>HYPERLINK("https://klasma.github.io/Logging_0188/klagomål/A 6381-2023 FSC-klagomål.docx", "A 6381-2023")</f>
        <v/>
      </c>
      <c r="W416">
        <f>HYPERLINK("https://klasma.github.io/Logging_0188/klagomålsmail/A 6381-2023 FSC-klagomål mail.docx", "A 6381-2023")</f>
        <v/>
      </c>
      <c r="X416">
        <f>HYPERLINK("https://klasma.github.io/Logging_0188/tillsyn/A 6381-2023 tillsynsbegäran.docx", "A 6381-2023")</f>
        <v/>
      </c>
      <c r="Y416">
        <f>HYPERLINK("https://klasma.github.io/Logging_0188/tillsynsmail/A 6381-2023 tillsynsbegäran mail.docx", "A 6381-2023")</f>
        <v/>
      </c>
    </row>
    <row r="417" ht="15" customHeight="1">
      <c r="A417" t="inlineStr">
        <is>
          <t>A 6435-2023</t>
        </is>
      </c>
      <c r="B417" s="1" t="n">
        <v>44965</v>
      </c>
      <c r="C417" s="1" t="n">
        <v>45350</v>
      </c>
      <c r="D417" t="inlineStr">
        <is>
          <t>STOCKHOLMS LÄN</t>
        </is>
      </c>
      <c r="E417" t="inlineStr">
        <is>
          <t>NYNÄSHAMN</t>
        </is>
      </c>
      <c r="G417" t="n">
        <v>1.8</v>
      </c>
      <c r="H417" t="n">
        <v>0</v>
      </c>
      <c r="I417" t="n">
        <v>0</v>
      </c>
      <c r="J417" t="n">
        <v>1</v>
      </c>
      <c r="K417" t="n">
        <v>0</v>
      </c>
      <c r="L417" t="n">
        <v>0</v>
      </c>
      <c r="M417" t="n">
        <v>0</v>
      </c>
      <c r="N417" t="n">
        <v>0</v>
      </c>
      <c r="O417" t="n">
        <v>1</v>
      </c>
      <c r="P417" t="n">
        <v>0</v>
      </c>
      <c r="Q417" t="n">
        <v>1</v>
      </c>
      <c r="R417" s="2" t="inlineStr">
        <is>
          <t>Tallticka</t>
        </is>
      </c>
      <c r="S417">
        <f>HYPERLINK("https://klasma.github.io/Logging_0192/artfynd/A 6435-2023 artfynd.xlsx", "A 6435-2023")</f>
        <v/>
      </c>
      <c r="T417">
        <f>HYPERLINK("https://klasma.github.io/Logging_0192/kartor/A 6435-2023 karta.png", "A 6435-2023")</f>
        <v/>
      </c>
      <c r="V417">
        <f>HYPERLINK("https://klasma.github.io/Logging_0192/klagomål/A 6435-2023 FSC-klagomål.docx", "A 6435-2023")</f>
        <v/>
      </c>
      <c r="W417">
        <f>HYPERLINK("https://klasma.github.io/Logging_0192/klagomålsmail/A 6435-2023 FSC-klagomål mail.docx", "A 6435-2023")</f>
        <v/>
      </c>
      <c r="X417">
        <f>HYPERLINK("https://klasma.github.io/Logging_0192/tillsyn/A 6435-2023 tillsynsbegäran.docx", "A 6435-2023")</f>
        <v/>
      </c>
      <c r="Y417">
        <f>HYPERLINK("https://klasma.github.io/Logging_0192/tillsynsmail/A 6435-2023 tillsynsbegäran mail.docx", "A 6435-2023")</f>
        <v/>
      </c>
    </row>
    <row r="418" ht="15" customHeight="1">
      <c r="A418" t="inlineStr">
        <is>
          <t>A 7540-2023</t>
        </is>
      </c>
      <c r="B418" s="1" t="n">
        <v>44972</v>
      </c>
      <c r="C418" s="1" t="n">
        <v>45350</v>
      </c>
      <c r="D418" t="inlineStr">
        <is>
          <t>STOCKHOLMS LÄN</t>
        </is>
      </c>
      <c r="E418" t="inlineStr">
        <is>
          <t>NYNÄSHAMN</t>
        </is>
      </c>
      <c r="G418" t="n">
        <v>3.4</v>
      </c>
      <c r="H418" t="n">
        <v>1</v>
      </c>
      <c r="I418" t="n">
        <v>0</v>
      </c>
      <c r="J418" t="n">
        <v>1</v>
      </c>
      <c r="K418" t="n">
        <v>0</v>
      </c>
      <c r="L418" t="n">
        <v>0</v>
      </c>
      <c r="M418" t="n">
        <v>0</v>
      </c>
      <c r="N418" t="n">
        <v>0</v>
      </c>
      <c r="O418" t="n">
        <v>1</v>
      </c>
      <c r="P418" t="n">
        <v>0</v>
      </c>
      <c r="Q418" t="n">
        <v>1</v>
      </c>
      <c r="R418" s="2" t="inlineStr">
        <is>
          <t>Fjällvråk</t>
        </is>
      </c>
      <c r="S418">
        <f>HYPERLINK("https://klasma.github.io/Logging_0192/artfynd/A 7540-2023 artfynd.xlsx", "A 7540-2023")</f>
        <v/>
      </c>
      <c r="T418">
        <f>HYPERLINK("https://klasma.github.io/Logging_0192/kartor/A 7540-2023 karta.png", "A 7540-2023")</f>
        <v/>
      </c>
      <c r="V418">
        <f>HYPERLINK("https://klasma.github.io/Logging_0192/klagomål/A 7540-2023 FSC-klagomål.docx", "A 7540-2023")</f>
        <v/>
      </c>
      <c r="W418">
        <f>HYPERLINK("https://klasma.github.io/Logging_0192/klagomålsmail/A 7540-2023 FSC-klagomål mail.docx", "A 7540-2023")</f>
        <v/>
      </c>
      <c r="X418">
        <f>HYPERLINK("https://klasma.github.io/Logging_0192/tillsyn/A 7540-2023 tillsynsbegäran.docx", "A 7540-2023")</f>
        <v/>
      </c>
      <c r="Y418">
        <f>HYPERLINK("https://klasma.github.io/Logging_0192/tillsynsmail/A 7540-2023 tillsynsbegäran mail.docx", "A 7540-2023")</f>
        <v/>
      </c>
      <c r="Z418">
        <f>HYPERLINK("https://klasma.github.io/Logging_0192/fåglar/A 7540-2023 prioriterade fågelarter.docx", "A 7540-2023")</f>
        <v/>
      </c>
    </row>
    <row r="419" ht="15" customHeight="1">
      <c r="A419" t="inlineStr">
        <is>
          <t>A 7890-2023</t>
        </is>
      </c>
      <c r="B419" s="1" t="n">
        <v>44973</v>
      </c>
      <c r="C419" s="1" t="n">
        <v>45350</v>
      </c>
      <c r="D419" t="inlineStr">
        <is>
          <t>STOCKHOLMS LÄN</t>
        </is>
      </c>
      <c r="E419" t="inlineStr">
        <is>
          <t>VALLENTUNA</t>
        </is>
      </c>
      <c r="G419" t="n">
        <v>0.5</v>
      </c>
      <c r="H419" t="n">
        <v>0</v>
      </c>
      <c r="I419" t="n">
        <v>0</v>
      </c>
      <c r="J419" t="n">
        <v>1</v>
      </c>
      <c r="K419" t="n">
        <v>0</v>
      </c>
      <c r="L419" t="n">
        <v>0</v>
      </c>
      <c r="M419" t="n">
        <v>0</v>
      </c>
      <c r="N419" t="n">
        <v>0</v>
      </c>
      <c r="O419" t="n">
        <v>1</v>
      </c>
      <c r="P419" t="n">
        <v>0</v>
      </c>
      <c r="Q419" t="n">
        <v>1</v>
      </c>
      <c r="R419" s="2" t="inlineStr">
        <is>
          <t>Ullticka</t>
        </is>
      </c>
      <c r="S419">
        <f>HYPERLINK("https://klasma.github.io/Logging_0115/artfynd/A 7890-2023 artfynd.xlsx", "A 7890-2023")</f>
        <v/>
      </c>
      <c r="T419">
        <f>HYPERLINK("https://klasma.github.io/Logging_0115/kartor/A 7890-2023 karta.png", "A 7890-2023")</f>
        <v/>
      </c>
      <c r="V419">
        <f>HYPERLINK("https://klasma.github.io/Logging_0115/klagomål/A 7890-2023 FSC-klagomål.docx", "A 7890-2023")</f>
        <v/>
      </c>
      <c r="W419">
        <f>HYPERLINK("https://klasma.github.io/Logging_0115/klagomålsmail/A 7890-2023 FSC-klagomål mail.docx", "A 7890-2023")</f>
        <v/>
      </c>
      <c r="X419">
        <f>HYPERLINK("https://klasma.github.io/Logging_0115/tillsyn/A 7890-2023 tillsynsbegäran.docx", "A 7890-2023")</f>
        <v/>
      </c>
      <c r="Y419">
        <f>HYPERLINK("https://klasma.github.io/Logging_0115/tillsynsmail/A 7890-2023 tillsynsbegäran mail.docx", "A 7890-2023")</f>
        <v/>
      </c>
    </row>
    <row r="420" ht="15" customHeight="1">
      <c r="A420" t="inlineStr">
        <is>
          <t>A 7955-2023</t>
        </is>
      </c>
      <c r="B420" s="1" t="n">
        <v>44973</v>
      </c>
      <c r="C420" s="1" t="n">
        <v>45350</v>
      </c>
      <c r="D420" t="inlineStr">
        <is>
          <t>STOCKHOLMS LÄN</t>
        </is>
      </c>
      <c r="E420" t="inlineStr">
        <is>
          <t>UPPLANDS-BRO</t>
        </is>
      </c>
      <c r="G420" t="n">
        <v>2.9</v>
      </c>
      <c r="H420" t="n">
        <v>1</v>
      </c>
      <c r="I420" t="n">
        <v>0</v>
      </c>
      <c r="J420" t="n">
        <v>0</v>
      </c>
      <c r="K420" t="n">
        <v>1</v>
      </c>
      <c r="L420" t="n">
        <v>0</v>
      </c>
      <c r="M420" t="n">
        <v>0</v>
      </c>
      <c r="N420" t="n">
        <v>0</v>
      </c>
      <c r="O420" t="n">
        <v>1</v>
      </c>
      <c r="P420" t="n">
        <v>1</v>
      </c>
      <c r="Q420" t="n">
        <v>1</v>
      </c>
      <c r="R420" s="2" t="inlineStr">
        <is>
          <t>Bombmurkla</t>
        </is>
      </c>
      <c r="S420">
        <f>HYPERLINK("https://klasma.github.io/Logging_0139/artfynd/A 7955-2023 artfynd.xlsx", "A 7955-2023")</f>
        <v/>
      </c>
      <c r="T420">
        <f>HYPERLINK("https://klasma.github.io/Logging_0139/kartor/A 7955-2023 karta.png", "A 7955-2023")</f>
        <v/>
      </c>
      <c r="V420">
        <f>HYPERLINK("https://klasma.github.io/Logging_0139/klagomål/A 7955-2023 FSC-klagomål.docx", "A 7955-2023")</f>
        <v/>
      </c>
      <c r="W420">
        <f>HYPERLINK("https://klasma.github.io/Logging_0139/klagomålsmail/A 7955-2023 FSC-klagomål mail.docx", "A 7955-2023")</f>
        <v/>
      </c>
      <c r="X420">
        <f>HYPERLINK("https://klasma.github.io/Logging_0139/tillsyn/A 7955-2023 tillsynsbegäran.docx", "A 7955-2023")</f>
        <v/>
      </c>
      <c r="Y420">
        <f>HYPERLINK("https://klasma.github.io/Logging_0139/tillsynsmail/A 7955-2023 tillsynsbegäran mail.docx", "A 7955-2023")</f>
        <v/>
      </c>
    </row>
    <row r="421" ht="15" customHeight="1">
      <c r="A421" t="inlineStr">
        <is>
          <t>A 8149-2023</t>
        </is>
      </c>
      <c r="B421" s="1" t="n">
        <v>44974</v>
      </c>
      <c r="C421" s="1" t="n">
        <v>45350</v>
      </c>
      <c r="D421" t="inlineStr">
        <is>
          <t>STOCKHOLMS LÄN</t>
        </is>
      </c>
      <c r="E421" t="inlineStr">
        <is>
          <t>SIGTUNA</t>
        </is>
      </c>
      <c r="G421" t="n">
        <v>11.5</v>
      </c>
      <c r="H421" t="n">
        <v>0</v>
      </c>
      <c r="I421" t="n">
        <v>0</v>
      </c>
      <c r="J421" t="n">
        <v>0</v>
      </c>
      <c r="K421" t="n">
        <v>1</v>
      </c>
      <c r="L421" t="n">
        <v>0</v>
      </c>
      <c r="M421" t="n">
        <v>0</v>
      </c>
      <c r="N421" t="n">
        <v>0</v>
      </c>
      <c r="O421" t="n">
        <v>1</v>
      </c>
      <c r="P421" t="n">
        <v>1</v>
      </c>
      <c r="Q421" t="n">
        <v>1</v>
      </c>
      <c r="R421" s="2" t="inlineStr">
        <is>
          <t>Trubbdaggkåpa</t>
        </is>
      </c>
      <c r="S421">
        <f>HYPERLINK("https://klasma.github.io/Logging_0191/artfynd/A 8149-2023 artfynd.xlsx", "A 8149-2023")</f>
        <v/>
      </c>
      <c r="T421">
        <f>HYPERLINK("https://klasma.github.io/Logging_0191/kartor/A 8149-2023 karta.png", "A 8149-2023")</f>
        <v/>
      </c>
      <c r="V421">
        <f>HYPERLINK("https://klasma.github.io/Logging_0191/klagomål/A 8149-2023 FSC-klagomål.docx", "A 8149-2023")</f>
        <v/>
      </c>
      <c r="W421">
        <f>HYPERLINK("https://klasma.github.io/Logging_0191/klagomålsmail/A 8149-2023 FSC-klagomål mail.docx", "A 8149-2023")</f>
        <v/>
      </c>
      <c r="X421">
        <f>HYPERLINK("https://klasma.github.io/Logging_0191/tillsyn/A 8149-2023 tillsynsbegäran.docx", "A 8149-2023")</f>
        <v/>
      </c>
      <c r="Y421">
        <f>HYPERLINK("https://klasma.github.io/Logging_0191/tillsynsmail/A 8149-2023 tillsynsbegäran mail.docx", "A 8149-2023")</f>
        <v/>
      </c>
    </row>
    <row r="422" ht="15" customHeight="1">
      <c r="A422" t="inlineStr">
        <is>
          <t>A 9214-2023</t>
        </is>
      </c>
      <c r="B422" s="1" t="n">
        <v>44980</v>
      </c>
      <c r="C422" s="1" t="n">
        <v>45350</v>
      </c>
      <c r="D422" t="inlineStr">
        <is>
          <t>STOCKHOLMS LÄN</t>
        </is>
      </c>
      <c r="E422" t="inlineStr">
        <is>
          <t>NORRTÄLJE</t>
        </is>
      </c>
      <c r="G422" t="n">
        <v>10.6</v>
      </c>
      <c r="H422" t="n">
        <v>1</v>
      </c>
      <c r="I422" t="n">
        <v>1</v>
      </c>
      <c r="J422" t="n">
        <v>0</v>
      </c>
      <c r="K422" t="n">
        <v>0</v>
      </c>
      <c r="L422" t="n">
        <v>0</v>
      </c>
      <c r="M422" t="n">
        <v>0</v>
      </c>
      <c r="N422" t="n">
        <v>0</v>
      </c>
      <c r="O422" t="n">
        <v>0</v>
      </c>
      <c r="P422" t="n">
        <v>0</v>
      </c>
      <c r="Q422" t="n">
        <v>1</v>
      </c>
      <c r="R422" s="2" t="inlineStr">
        <is>
          <t>Guckusko</t>
        </is>
      </c>
      <c r="S422">
        <f>HYPERLINK("https://klasma.github.io/Logging_0188/artfynd/A 9214-2023 artfynd.xlsx", "A 9214-2023")</f>
        <v/>
      </c>
      <c r="T422">
        <f>HYPERLINK("https://klasma.github.io/Logging_0188/kartor/A 9214-2023 karta.png", "A 9214-2023")</f>
        <v/>
      </c>
      <c r="V422">
        <f>HYPERLINK("https://klasma.github.io/Logging_0188/klagomål/A 9214-2023 FSC-klagomål.docx", "A 9214-2023")</f>
        <v/>
      </c>
      <c r="W422">
        <f>HYPERLINK("https://klasma.github.io/Logging_0188/klagomålsmail/A 9214-2023 FSC-klagomål mail.docx", "A 9214-2023")</f>
        <v/>
      </c>
      <c r="X422">
        <f>HYPERLINK("https://klasma.github.io/Logging_0188/tillsyn/A 9214-2023 tillsynsbegäran.docx", "A 9214-2023")</f>
        <v/>
      </c>
      <c r="Y422">
        <f>HYPERLINK("https://klasma.github.io/Logging_0188/tillsynsmail/A 9214-2023 tillsynsbegäran mail.docx", "A 9214-2023")</f>
        <v/>
      </c>
    </row>
    <row r="423" ht="15" customHeight="1">
      <c r="A423" t="inlineStr">
        <is>
          <t>A 9271-2023</t>
        </is>
      </c>
      <c r="B423" s="1" t="n">
        <v>44980</v>
      </c>
      <c r="C423" s="1" t="n">
        <v>45350</v>
      </c>
      <c r="D423" t="inlineStr">
        <is>
          <t>STOCKHOLMS LÄN</t>
        </is>
      </c>
      <c r="E423" t="inlineStr">
        <is>
          <t>NORRTÄLJE</t>
        </is>
      </c>
      <c r="G423" t="n">
        <v>5.3</v>
      </c>
      <c r="H423" t="n">
        <v>1</v>
      </c>
      <c r="I423" t="n">
        <v>0</v>
      </c>
      <c r="J423" t="n">
        <v>0</v>
      </c>
      <c r="K423" t="n">
        <v>1</v>
      </c>
      <c r="L423" t="n">
        <v>0</v>
      </c>
      <c r="M423" t="n">
        <v>0</v>
      </c>
      <c r="N423" t="n">
        <v>0</v>
      </c>
      <c r="O423" t="n">
        <v>1</v>
      </c>
      <c r="P423" t="n">
        <v>1</v>
      </c>
      <c r="Q423" t="n">
        <v>1</v>
      </c>
      <c r="R423" s="2" t="inlineStr">
        <is>
          <t>Hällebräcka</t>
        </is>
      </c>
      <c r="S423">
        <f>HYPERLINK("https://klasma.github.io/Logging_0188/artfynd/A 9271-2023 artfynd.xlsx", "A 9271-2023")</f>
        <v/>
      </c>
      <c r="T423">
        <f>HYPERLINK("https://klasma.github.io/Logging_0188/kartor/A 9271-2023 karta.png", "A 9271-2023")</f>
        <v/>
      </c>
      <c r="V423">
        <f>HYPERLINK("https://klasma.github.io/Logging_0188/klagomål/A 9271-2023 FSC-klagomål.docx", "A 9271-2023")</f>
        <v/>
      </c>
      <c r="W423">
        <f>HYPERLINK("https://klasma.github.io/Logging_0188/klagomålsmail/A 9271-2023 FSC-klagomål mail.docx", "A 9271-2023")</f>
        <v/>
      </c>
      <c r="X423">
        <f>HYPERLINK("https://klasma.github.io/Logging_0188/tillsyn/A 9271-2023 tillsynsbegäran.docx", "A 9271-2023")</f>
        <v/>
      </c>
      <c r="Y423">
        <f>HYPERLINK("https://klasma.github.io/Logging_0188/tillsynsmail/A 9271-2023 tillsynsbegäran mail.docx", "A 9271-2023")</f>
        <v/>
      </c>
    </row>
    <row r="424" ht="15" customHeight="1">
      <c r="A424" t="inlineStr">
        <is>
          <t>A 9268-2023</t>
        </is>
      </c>
      <c r="B424" s="1" t="n">
        <v>44980</v>
      </c>
      <c r="C424" s="1" t="n">
        <v>45350</v>
      </c>
      <c r="D424" t="inlineStr">
        <is>
          <t>STOCKHOLMS LÄN</t>
        </is>
      </c>
      <c r="E424" t="inlineStr">
        <is>
          <t>NYNÄSHAMN</t>
        </is>
      </c>
      <c r="G424" t="n">
        <v>4.9</v>
      </c>
      <c r="H424" t="n">
        <v>0</v>
      </c>
      <c r="I424" t="n">
        <v>0</v>
      </c>
      <c r="J424" t="n">
        <v>1</v>
      </c>
      <c r="K424" t="n">
        <v>0</v>
      </c>
      <c r="L424" t="n">
        <v>0</v>
      </c>
      <c r="M424" t="n">
        <v>0</v>
      </c>
      <c r="N424" t="n">
        <v>0</v>
      </c>
      <c r="O424" t="n">
        <v>1</v>
      </c>
      <c r="P424" t="n">
        <v>0</v>
      </c>
      <c r="Q424" t="n">
        <v>1</v>
      </c>
      <c r="R424" s="2" t="inlineStr">
        <is>
          <t>Tallticka</t>
        </is>
      </c>
      <c r="S424">
        <f>HYPERLINK("https://klasma.github.io/Logging_0192/artfynd/A 9268-2023 artfynd.xlsx", "A 9268-2023")</f>
        <v/>
      </c>
      <c r="T424">
        <f>HYPERLINK("https://klasma.github.io/Logging_0192/kartor/A 9268-2023 karta.png", "A 9268-2023")</f>
        <v/>
      </c>
      <c r="V424">
        <f>HYPERLINK("https://klasma.github.io/Logging_0192/klagomål/A 9268-2023 FSC-klagomål.docx", "A 9268-2023")</f>
        <v/>
      </c>
      <c r="W424">
        <f>HYPERLINK("https://klasma.github.io/Logging_0192/klagomålsmail/A 9268-2023 FSC-klagomål mail.docx", "A 9268-2023")</f>
        <v/>
      </c>
      <c r="X424">
        <f>HYPERLINK("https://klasma.github.io/Logging_0192/tillsyn/A 9268-2023 tillsynsbegäran.docx", "A 9268-2023")</f>
        <v/>
      </c>
      <c r="Y424">
        <f>HYPERLINK("https://klasma.github.io/Logging_0192/tillsynsmail/A 9268-2023 tillsynsbegäran mail.docx", "A 9268-2023")</f>
        <v/>
      </c>
    </row>
    <row r="425" ht="15" customHeight="1">
      <c r="A425" t="inlineStr">
        <is>
          <t>A 9522-2023</t>
        </is>
      </c>
      <c r="B425" s="1" t="n">
        <v>44981</v>
      </c>
      <c r="C425" s="1" t="n">
        <v>45350</v>
      </c>
      <c r="D425" t="inlineStr">
        <is>
          <t>STOCKHOLMS LÄN</t>
        </is>
      </c>
      <c r="E425" t="inlineStr">
        <is>
          <t>NORRTÄLJE</t>
        </is>
      </c>
      <c r="F425" t="inlineStr">
        <is>
          <t>Holmen skog AB</t>
        </is>
      </c>
      <c r="G425" t="n">
        <v>7.5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9522-2023 artfynd.xlsx", "A 9522-2023")</f>
        <v/>
      </c>
      <c r="T425">
        <f>HYPERLINK("https://klasma.github.io/Logging_0188/kartor/A 9522-2023 karta.png", "A 9522-2023")</f>
        <v/>
      </c>
      <c r="V425">
        <f>HYPERLINK("https://klasma.github.io/Logging_0188/klagomål/A 9522-2023 FSC-klagomål.docx", "A 9522-2023")</f>
        <v/>
      </c>
      <c r="W425">
        <f>HYPERLINK("https://klasma.github.io/Logging_0188/klagomålsmail/A 9522-2023 FSC-klagomål mail.docx", "A 9522-2023")</f>
        <v/>
      </c>
      <c r="X425">
        <f>HYPERLINK("https://klasma.github.io/Logging_0188/tillsyn/A 9522-2023 tillsynsbegäran.docx", "A 9522-2023")</f>
        <v/>
      </c>
      <c r="Y425">
        <f>HYPERLINK("https://klasma.github.io/Logging_0188/tillsynsmail/A 9522-2023 tillsynsbegäran mail.docx", "A 9522-2023")</f>
        <v/>
      </c>
    </row>
    <row r="426" ht="15" customHeight="1">
      <c r="A426" t="inlineStr">
        <is>
          <t>A 10019-2023</t>
        </is>
      </c>
      <c r="B426" s="1" t="n">
        <v>44985</v>
      </c>
      <c r="C426" s="1" t="n">
        <v>45350</v>
      </c>
      <c r="D426" t="inlineStr">
        <is>
          <t>STOCKHOLMS LÄN</t>
        </is>
      </c>
      <c r="E426" t="inlineStr">
        <is>
          <t>NORRTÄLJE</t>
        </is>
      </c>
      <c r="G426" t="n">
        <v>8.4</v>
      </c>
      <c r="H426" t="n">
        <v>0</v>
      </c>
      <c r="I426" t="n">
        <v>1</v>
      </c>
      <c r="J426" t="n">
        <v>0</v>
      </c>
      <c r="K426" t="n">
        <v>0</v>
      </c>
      <c r="L426" t="n">
        <v>0</v>
      </c>
      <c r="M426" t="n">
        <v>0</v>
      </c>
      <c r="N426" t="n">
        <v>0</v>
      </c>
      <c r="O426" t="n">
        <v>0</v>
      </c>
      <c r="P426" t="n">
        <v>0</v>
      </c>
      <c r="Q426" t="n">
        <v>1</v>
      </c>
      <c r="R426" s="2" t="inlineStr">
        <is>
          <t>Underviol</t>
        </is>
      </c>
      <c r="S426">
        <f>HYPERLINK("https://klasma.github.io/Logging_0188/artfynd/A 10019-2023 artfynd.xlsx", "A 10019-2023")</f>
        <v/>
      </c>
      <c r="T426">
        <f>HYPERLINK("https://klasma.github.io/Logging_0188/kartor/A 10019-2023 karta.png", "A 10019-2023")</f>
        <v/>
      </c>
      <c r="V426">
        <f>HYPERLINK("https://klasma.github.io/Logging_0188/klagomål/A 10019-2023 FSC-klagomål.docx", "A 10019-2023")</f>
        <v/>
      </c>
      <c r="W426">
        <f>HYPERLINK("https://klasma.github.io/Logging_0188/klagomålsmail/A 10019-2023 FSC-klagomål mail.docx", "A 10019-2023")</f>
        <v/>
      </c>
      <c r="X426">
        <f>HYPERLINK("https://klasma.github.io/Logging_0188/tillsyn/A 10019-2023 tillsynsbegäran.docx", "A 10019-2023")</f>
        <v/>
      </c>
      <c r="Y426">
        <f>HYPERLINK("https://klasma.github.io/Logging_0188/tillsynsmail/A 10019-2023 tillsynsbegäran mail.docx", "A 10019-2023")</f>
        <v/>
      </c>
    </row>
    <row r="427" ht="15" customHeight="1">
      <c r="A427" t="inlineStr">
        <is>
          <t>A 11244-2023</t>
        </is>
      </c>
      <c r="B427" s="1" t="n">
        <v>44992</v>
      </c>
      <c r="C427" s="1" t="n">
        <v>45350</v>
      </c>
      <c r="D427" t="inlineStr">
        <is>
          <t>STOCKHOLMS LÄN</t>
        </is>
      </c>
      <c r="E427" t="inlineStr">
        <is>
          <t>VALLENTUNA</t>
        </is>
      </c>
      <c r="G427" t="n">
        <v>4.3</v>
      </c>
      <c r="H427" t="n">
        <v>1</v>
      </c>
      <c r="I427" t="n">
        <v>0</v>
      </c>
      <c r="J427" t="n">
        <v>0</v>
      </c>
      <c r="K427" t="n">
        <v>0</v>
      </c>
      <c r="L427" t="n">
        <v>0</v>
      </c>
      <c r="M427" t="n">
        <v>0</v>
      </c>
      <c r="N427" t="n">
        <v>0</v>
      </c>
      <c r="O427" t="n">
        <v>0</v>
      </c>
      <c r="P427" t="n">
        <v>0</v>
      </c>
      <c r="Q427" t="n">
        <v>1</v>
      </c>
      <c r="R427" s="2" t="inlineStr">
        <is>
          <t>Revlummer</t>
        </is>
      </c>
      <c r="S427">
        <f>HYPERLINK("https://klasma.github.io/Logging_0115/artfynd/A 11244-2023 artfynd.xlsx", "A 11244-2023")</f>
        <v/>
      </c>
      <c r="T427">
        <f>HYPERLINK("https://klasma.github.io/Logging_0115/kartor/A 11244-2023 karta.png", "A 11244-2023")</f>
        <v/>
      </c>
      <c r="V427">
        <f>HYPERLINK("https://klasma.github.io/Logging_0115/klagomål/A 11244-2023 FSC-klagomål.docx", "A 11244-2023")</f>
        <v/>
      </c>
      <c r="W427">
        <f>HYPERLINK("https://klasma.github.io/Logging_0115/klagomålsmail/A 11244-2023 FSC-klagomål mail.docx", "A 11244-2023")</f>
        <v/>
      </c>
      <c r="X427">
        <f>HYPERLINK("https://klasma.github.io/Logging_0115/tillsyn/A 11244-2023 tillsynsbegäran.docx", "A 11244-2023")</f>
        <v/>
      </c>
      <c r="Y427">
        <f>HYPERLINK("https://klasma.github.io/Logging_0115/tillsynsmail/A 11244-2023 tillsynsbegäran mail.docx", "A 11244-2023")</f>
        <v/>
      </c>
    </row>
    <row r="428" ht="15" customHeight="1">
      <c r="A428" t="inlineStr">
        <is>
          <t>A 11429-2023</t>
        </is>
      </c>
      <c r="B428" s="1" t="n">
        <v>44993</v>
      </c>
      <c r="C428" s="1" t="n">
        <v>45350</v>
      </c>
      <c r="D428" t="inlineStr">
        <is>
          <t>STOCKHOLMS LÄN</t>
        </is>
      </c>
      <c r="E428" t="inlineStr">
        <is>
          <t>NORRTÄLJE</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HYPERLINK("https://klasma.github.io/Logging_0188/artfynd/A 11429-2023 artfynd.xlsx", "A 11429-2023")</f>
        <v/>
      </c>
      <c r="T428">
        <f>HYPERLINK("https://klasma.github.io/Logging_0188/kartor/A 11429-2023 karta.png", "A 11429-2023")</f>
        <v/>
      </c>
      <c r="V428">
        <f>HYPERLINK("https://klasma.github.io/Logging_0188/klagomål/A 11429-2023 FSC-klagomål.docx", "A 11429-2023")</f>
        <v/>
      </c>
      <c r="W428">
        <f>HYPERLINK("https://klasma.github.io/Logging_0188/klagomålsmail/A 11429-2023 FSC-klagomål mail.docx", "A 11429-2023")</f>
        <v/>
      </c>
      <c r="X428">
        <f>HYPERLINK("https://klasma.github.io/Logging_0188/tillsyn/A 11429-2023 tillsynsbegäran.docx", "A 11429-2023")</f>
        <v/>
      </c>
      <c r="Y428">
        <f>HYPERLINK("https://klasma.github.io/Logging_0188/tillsynsmail/A 11429-2023 tillsynsbegäran mail.docx", "A 11429-2023")</f>
        <v/>
      </c>
    </row>
    <row r="429" ht="15" customHeight="1">
      <c r="A429" t="inlineStr">
        <is>
          <t>A 12442-2023</t>
        </is>
      </c>
      <c r="B429" s="1" t="n">
        <v>44999</v>
      </c>
      <c r="C429" s="1" t="n">
        <v>45350</v>
      </c>
      <c r="D429" t="inlineStr">
        <is>
          <t>STOCKHOLMS LÄN</t>
        </is>
      </c>
      <c r="E429" t="inlineStr">
        <is>
          <t>NORRTÄLJE</t>
        </is>
      </c>
      <c r="G429" t="n">
        <v>1.9</v>
      </c>
      <c r="H429" t="n">
        <v>1</v>
      </c>
      <c r="I429" t="n">
        <v>0</v>
      </c>
      <c r="J429" t="n">
        <v>0</v>
      </c>
      <c r="K429" t="n">
        <v>0</v>
      </c>
      <c r="L429" t="n">
        <v>0</v>
      </c>
      <c r="M429" t="n">
        <v>0</v>
      </c>
      <c r="N429" t="n">
        <v>0</v>
      </c>
      <c r="O429" t="n">
        <v>0</v>
      </c>
      <c r="P429" t="n">
        <v>0</v>
      </c>
      <c r="Q429" t="n">
        <v>1</v>
      </c>
      <c r="R429" s="2" t="inlineStr">
        <is>
          <t>Gullviva</t>
        </is>
      </c>
      <c r="S429">
        <f>HYPERLINK("https://klasma.github.io/Logging_0188/artfynd/A 12442-2023 artfynd.xlsx", "A 12442-2023")</f>
        <v/>
      </c>
      <c r="T429">
        <f>HYPERLINK("https://klasma.github.io/Logging_0188/kartor/A 12442-2023 karta.png", "A 12442-2023")</f>
        <v/>
      </c>
      <c r="V429">
        <f>HYPERLINK("https://klasma.github.io/Logging_0188/klagomål/A 12442-2023 FSC-klagomål.docx", "A 12442-2023")</f>
        <v/>
      </c>
      <c r="W429">
        <f>HYPERLINK("https://klasma.github.io/Logging_0188/klagomålsmail/A 12442-2023 FSC-klagomål mail.docx", "A 12442-2023")</f>
        <v/>
      </c>
      <c r="X429">
        <f>HYPERLINK("https://klasma.github.io/Logging_0188/tillsyn/A 12442-2023 tillsynsbegäran.docx", "A 12442-2023")</f>
        <v/>
      </c>
      <c r="Y429">
        <f>HYPERLINK("https://klasma.github.io/Logging_0188/tillsynsmail/A 12442-2023 tillsynsbegäran mail.docx", "A 12442-2023")</f>
        <v/>
      </c>
    </row>
    <row r="430" ht="15" customHeight="1">
      <c r="A430" t="inlineStr">
        <is>
          <t>A 12575-2023</t>
        </is>
      </c>
      <c r="B430" s="1" t="n">
        <v>45000</v>
      </c>
      <c r="C430" s="1" t="n">
        <v>45350</v>
      </c>
      <c r="D430" t="inlineStr">
        <is>
          <t>STOCKHOLMS LÄN</t>
        </is>
      </c>
      <c r="E430" t="inlineStr">
        <is>
          <t>VALLENTUNA</t>
        </is>
      </c>
      <c r="G430" t="n">
        <v>5.1</v>
      </c>
      <c r="H430" t="n">
        <v>1</v>
      </c>
      <c r="I430" t="n">
        <v>0</v>
      </c>
      <c r="J430" t="n">
        <v>0</v>
      </c>
      <c r="K430" t="n">
        <v>0</v>
      </c>
      <c r="L430" t="n">
        <v>0</v>
      </c>
      <c r="M430" t="n">
        <v>0</v>
      </c>
      <c r="N430" t="n">
        <v>0</v>
      </c>
      <c r="O430" t="n">
        <v>0</v>
      </c>
      <c r="P430" t="n">
        <v>0</v>
      </c>
      <c r="Q430" t="n">
        <v>1</v>
      </c>
      <c r="R430" s="2" t="inlineStr">
        <is>
          <t>Blåsippa</t>
        </is>
      </c>
      <c r="S430">
        <f>HYPERLINK("https://klasma.github.io/Logging_0115/artfynd/A 12575-2023 artfynd.xlsx", "A 12575-2023")</f>
        <v/>
      </c>
      <c r="T430">
        <f>HYPERLINK("https://klasma.github.io/Logging_0115/kartor/A 12575-2023 karta.png", "A 12575-2023")</f>
        <v/>
      </c>
      <c r="V430">
        <f>HYPERLINK("https://klasma.github.io/Logging_0115/klagomål/A 12575-2023 FSC-klagomål.docx", "A 12575-2023")</f>
        <v/>
      </c>
      <c r="W430">
        <f>HYPERLINK("https://klasma.github.io/Logging_0115/klagomålsmail/A 12575-2023 FSC-klagomål mail.docx", "A 12575-2023")</f>
        <v/>
      </c>
      <c r="X430">
        <f>HYPERLINK("https://klasma.github.io/Logging_0115/tillsyn/A 12575-2023 tillsynsbegäran.docx", "A 12575-2023")</f>
        <v/>
      </c>
      <c r="Y430">
        <f>HYPERLINK("https://klasma.github.io/Logging_0115/tillsynsmail/A 12575-2023 tillsynsbegäran mail.docx", "A 12575-2023")</f>
        <v/>
      </c>
    </row>
    <row r="431" ht="15" customHeight="1">
      <c r="A431" t="inlineStr">
        <is>
          <t>A 13794-2023</t>
        </is>
      </c>
      <c r="B431" s="1" t="n">
        <v>45007</v>
      </c>
      <c r="C431" s="1" t="n">
        <v>45350</v>
      </c>
      <c r="D431" t="inlineStr">
        <is>
          <t>STOCKHOLMS LÄN</t>
        </is>
      </c>
      <c r="E431" t="inlineStr">
        <is>
          <t>EKERÖ</t>
        </is>
      </c>
      <c r="G431" t="n">
        <v>4.8</v>
      </c>
      <c r="H431" t="n">
        <v>0</v>
      </c>
      <c r="I431" t="n">
        <v>0</v>
      </c>
      <c r="J431" t="n">
        <v>1</v>
      </c>
      <c r="K431" t="n">
        <v>0</v>
      </c>
      <c r="L431" t="n">
        <v>0</v>
      </c>
      <c r="M431" t="n">
        <v>0</v>
      </c>
      <c r="N431" t="n">
        <v>0</v>
      </c>
      <c r="O431" t="n">
        <v>1</v>
      </c>
      <c r="P431" t="n">
        <v>0</v>
      </c>
      <c r="Q431" t="n">
        <v>1</v>
      </c>
      <c r="R431" s="2" t="inlineStr">
        <is>
          <t>Tallticka</t>
        </is>
      </c>
      <c r="S431">
        <f>HYPERLINK("https://klasma.github.io/Logging_0125/artfynd/A 13794-2023 artfynd.xlsx", "A 13794-2023")</f>
        <v/>
      </c>
      <c r="T431">
        <f>HYPERLINK("https://klasma.github.io/Logging_0125/kartor/A 13794-2023 karta.png", "A 13794-2023")</f>
        <v/>
      </c>
      <c r="V431">
        <f>HYPERLINK("https://klasma.github.io/Logging_0125/klagomål/A 13794-2023 FSC-klagomål.docx", "A 13794-2023")</f>
        <v/>
      </c>
      <c r="W431">
        <f>HYPERLINK("https://klasma.github.io/Logging_0125/klagomålsmail/A 13794-2023 FSC-klagomål mail.docx", "A 13794-2023")</f>
        <v/>
      </c>
      <c r="X431">
        <f>HYPERLINK("https://klasma.github.io/Logging_0125/tillsyn/A 13794-2023 tillsynsbegäran.docx", "A 13794-2023")</f>
        <v/>
      </c>
      <c r="Y431">
        <f>HYPERLINK("https://klasma.github.io/Logging_0125/tillsynsmail/A 13794-2023 tillsynsbegäran mail.docx", "A 13794-2023")</f>
        <v/>
      </c>
    </row>
    <row r="432" ht="15" customHeight="1">
      <c r="A432" t="inlineStr">
        <is>
          <t>A 14014-2023</t>
        </is>
      </c>
      <c r="B432" s="1" t="n">
        <v>45008</v>
      </c>
      <c r="C432" s="1" t="n">
        <v>45350</v>
      </c>
      <c r="D432" t="inlineStr">
        <is>
          <t>STOCKHOLMS LÄN</t>
        </is>
      </c>
      <c r="E432" t="inlineStr">
        <is>
          <t>EKERÖ</t>
        </is>
      </c>
      <c r="G432" t="n">
        <v>4.7</v>
      </c>
      <c r="H432" t="n">
        <v>1</v>
      </c>
      <c r="I432" t="n">
        <v>0</v>
      </c>
      <c r="J432" t="n">
        <v>0</v>
      </c>
      <c r="K432" t="n">
        <v>0</v>
      </c>
      <c r="L432" t="n">
        <v>0</v>
      </c>
      <c r="M432" t="n">
        <v>0</v>
      </c>
      <c r="N432" t="n">
        <v>0</v>
      </c>
      <c r="O432" t="n">
        <v>0</v>
      </c>
      <c r="P432" t="n">
        <v>0</v>
      </c>
      <c r="Q432" t="n">
        <v>1</v>
      </c>
      <c r="R432" s="2" t="inlineStr">
        <is>
          <t>Gröngöling</t>
        </is>
      </c>
      <c r="S432">
        <f>HYPERLINK("https://klasma.github.io/Logging_0125/artfynd/A 14014-2023 artfynd.xlsx", "A 14014-2023")</f>
        <v/>
      </c>
      <c r="T432">
        <f>HYPERLINK("https://klasma.github.io/Logging_0125/kartor/A 14014-2023 karta.png", "A 14014-2023")</f>
        <v/>
      </c>
      <c r="V432">
        <f>HYPERLINK("https://klasma.github.io/Logging_0125/klagomål/A 14014-2023 FSC-klagomål.docx", "A 14014-2023")</f>
        <v/>
      </c>
      <c r="W432">
        <f>HYPERLINK("https://klasma.github.io/Logging_0125/klagomålsmail/A 14014-2023 FSC-klagomål mail.docx", "A 14014-2023")</f>
        <v/>
      </c>
      <c r="X432">
        <f>HYPERLINK("https://klasma.github.io/Logging_0125/tillsyn/A 14014-2023 tillsynsbegäran.docx", "A 14014-2023")</f>
        <v/>
      </c>
      <c r="Y432">
        <f>HYPERLINK("https://klasma.github.io/Logging_0125/tillsynsmail/A 14014-2023 tillsynsbegäran mail.docx", "A 14014-2023")</f>
        <v/>
      </c>
      <c r="Z432">
        <f>HYPERLINK("https://klasma.github.io/Logging_0125/fåglar/A 14014-2023 prioriterade fågelarter.docx", "A 14014-2023")</f>
        <v/>
      </c>
    </row>
    <row r="433" ht="15" customHeight="1">
      <c r="A433" t="inlineStr">
        <is>
          <t>A 15452-2023</t>
        </is>
      </c>
      <c r="B433" s="1" t="n">
        <v>45020</v>
      </c>
      <c r="C433" s="1" t="n">
        <v>45350</v>
      </c>
      <c r="D433" t="inlineStr">
        <is>
          <t>STOCKHOLMS LÄN</t>
        </is>
      </c>
      <c r="E433" t="inlineStr">
        <is>
          <t>SIGTUNA</t>
        </is>
      </c>
      <c r="F433" t="inlineStr">
        <is>
          <t>Allmännings- och besparingsskogar</t>
        </is>
      </c>
      <c r="G433" t="n">
        <v>4.5</v>
      </c>
      <c r="H433" t="n">
        <v>1</v>
      </c>
      <c r="I433" t="n">
        <v>0</v>
      </c>
      <c r="J433" t="n">
        <v>0</v>
      </c>
      <c r="K433" t="n">
        <v>0</v>
      </c>
      <c r="L433" t="n">
        <v>0</v>
      </c>
      <c r="M433" t="n">
        <v>0</v>
      </c>
      <c r="N433" t="n">
        <v>0</v>
      </c>
      <c r="O433" t="n">
        <v>0</v>
      </c>
      <c r="P433" t="n">
        <v>0</v>
      </c>
      <c r="Q433" t="n">
        <v>1</v>
      </c>
      <c r="R433" s="2" t="inlineStr">
        <is>
          <t>Trana</t>
        </is>
      </c>
      <c r="S433">
        <f>HYPERLINK("https://klasma.github.io/Logging_0191/artfynd/A 15452-2023 artfynd.xlsx", "A 15452-2023")</f>
        <v/>
      </c>
      <c r="T433">
        <f>HYPERLINK("https://klasma.github.io/Logging_0191/kartor/A 15452-2023 karta.png", "A 15452-2023")</f>
        <v/>
      </c>
      <c r="V433">
        <f>HYPERLINK("https://klasma.github.io/Logging_0191/klagomål/A 15452-2023 FSC-klagomål.docx", "A 15452-2023")</f>
        <v/>
      </c>
      <c r="W433">
        <f>HYPERLINK("https://klasma.github.io/Logging_0191/klagomålsmail/A 15452-2023 FSC-klagomål mail.docx", "A 15452-2023")</f>
        <v/>
      </c>
      <c r="X433">
        <f>HYPERLINK("https://klasma.github.io/Logging_0191/tillsyn/A 15452-2023 tillsynsbegäran.docx", "A 15452-2023")</f>
        <v/>
      </c>
      <c r="Y433">
        <f>HYPERLINK("https://klasma.github.io/Logging_0191/tillsynsmail/A 15452-2023 tillsynsbegäran mail.docx", "A 15452-2023")</f>
        <v/>
      </c>
      <c r="Z433">
        <f>HYPERLINK("https://klasma.github.io/Logging_0191/fåglar/A 15452-2023 prioriterade fågelarter.docx", "A 15452-2023")</f>
        <v/>
      </c>
    </row>
    <row r="434" ht="15" customHeight="1">
      <c r="A434" t="inlineStr">
        <is>
          <t>A 15644-2023</t>
        </is>
      </c>
      <c r="B434" s="1" t="n">
        <v>45021</v>
      </c>
      <c r="C434" s="1" t="n">
        <v>45350</v>
      </c>
      <c r="D434" t="inlineStr">
        <is>
          <t>STOCKHOLMS LÄN</t>
        </is>
      </c>
      <c r="E434" t="inlineStr">
        <is>
          <t>NORRTÄLJE</t>
        </is>
      </c>
      <c r="F434" t="inlineStr">
        <is>
          <t>Holmen skog AB</t>
        </is>
      </c>
      <c r="G434" t="n">
        <v>13</v>
      </c>
      <c r="H434" t="n">
        <v>1</v>
      </c>
      <c r="I434" t="n">
        <v>0</v>
      </c>
      <c r="J434" t="n">
        <v>0</v>
      </c>
      <c r="K434" t="n">
        <v>0</v>
      </c>
      <c r="L434" t="n">
        <v>1</v>
      </c>
      <c r="M434" t="n">
        <v>0</v>
      </c>
      <c r="N434" t="n">
        <v>0</v>
      </c>
      <c r="O434" t="n">
        <v>1</v>
      </c>
      <c r="P434" t="n">
        <v>1</v>
      </c>
      <c r="Q434" t="n">
        <v>1</v>
      </c>
      <c r="R434" s="2" t="inlineStr">
        <is>
          <t>Asknätfjäril</t>
        </is>
      </c>
      <c r="S434">
        <f>HYPERLINK("https://klasma.github.io/Logging_0188/artfynd/A 15644-2023 artfynd.xlsx", "A 15644-2023")</f>
        <v/>
      </c>
      <c r="T434">
        <f>HYPERLINK("https://klasma.github.io/Logging_0188/kartor/A 15644-2023 karta.png", "A 15644-2023")</f>
        <v/>
      </c>
      <c r="V434">
        <f>HYPERLINK("https://klasma.github.io/Logging_0188/klagomål/A 15644-2023 FSC-klagomål.docx", "A 15644-2023")</f>
        <v/>
      </c>
      <c r="W434">
        <f>HYPERLINK("https://klasma.github.io/Logging_0188/klagomålsmail/A 15644-2023 FSC-klagomål mail.docx", "A 15644-2023")</f>
        <v/>
      </c>
      <c r="X434">
        <f>HYPERLINK("https://klasma.github.io/Logging_0188/tillsyn/A 15644-2023 tillsynsbegäran.docx", "A 15644-2023")</f>
        <v/>
      </c>
      <c r="Y434">
        <f>HYPERLINK("https://klasma.github.io/Logging_0188/tillsynsmail/A 15644-2023 tillsynsbegäran mail.docx", "A 15644-2023")</f>
        <v/>
      </c>
    </row>
    <row r="435" ht="15" customHeight="1">
      <c r="A435" t="inlineStr">
        <is>
          <t>A 18216-2023</t>
        </is>
      </c>
      <c r="B435" s="1" t="n">
        <v>45041</v>
      </c>
      <c r="C435" s="1" t="n">
        <v>45350</v>
      </c>
      <c r="D435" t="inlineStr">
        <is>
          <t>STOCKHOLMS LÄN</t>
        </is>
      </c>
      <c r="E435" t="inlineStr">
        <is>
          <t>NORRTÄLJE</t>
        </is>
      </c>
      <c r="F435" t="inlineStr">
        <is>
          <t>Holmen skog AB</t>
        </is>
      </c>
      <c r="G435" t="n">
        <v>1.9</v>
      </c>
      <c r="H435" t="n">
        <v>0</v>
      </c>
      <c r="I435" t="n">
        <v>1</v>
      </c>
      <c r="J435" t="n">
        <v>0</v>
      </c>
      <c r="K435" t="n">
        <v>0</v>
      </c>
      <c r="L435" t="n">
        <v>0</v>
      </c>
      <c r="M435" t="n">
        <v>0</v>
      </c>
      <c r="N435" t="n">
        <v>0</v>
      </c>
      <c r="O435" t="n">
        <v>0</v>
      </c>
      <c r="P435" t="n">
        <v>0</v>
      </c>
      <c r="Q435" t="n">
        <v>1</v>
      </c>
      <c r="R435" s="2" t="inlineStr">
        <is>
          <t>Vårärt</t>
        </is>
      </c>
      <c r="S435">
        <f>HYPERLINK("https://klasma.github.io/Logging_0188/artfynd/A 18216-2023 artfynd.xlsx", "A 18216-2023")</f>
        <v/>
      </c>
      <c r="T435">
        <f>HYPERLINK("https://klasma.github.io/Logging_0188/kartor/A 18216-2023 karta.png", "A 18216-2023")</f>
        <v/>
      </c>
      <c r="V435">
        <f>HYPERLINK("https://klasma.github.io/Logging_0188/klagomål/A 18216-2023 FSC-klagomål.docx", "A 18216-2023")</f>
        <v/>
      </c>
      <c r="W435">
        <f>HYPERLINK("https://klasma.github.io/Logging_0188/klagomålsmail/A 18216-2023 FSC-klagomål mail.docx", "A 18216-2023")</f>
        <v/>
      </c>
      <c r="X435">
        <f>HYPERLINK("https://klasma.github.io/Logging_0188/tillsyn/A 18216-2023 tillsynsbegäran.docx", "A 18216-2023")</f>
        <v/>
      </c>
      <c r="Y435">
        <f>HYPERLINK("https://klasma.github.io/Logging_0188/tillsynsmail/A 18216-2023 tillsynsbegäran mail.docx", "A 18216-2023")</f>
        <v/>
      </c>
    </row>
    <row r="436" ht="15" customHeight="1">
      <c r="A436" t="inlineStr">
        <is>
          <t>A 19489-2023</t>
        </is>
      </c>
      <c r="B436" s="1" t="n">
        <v>45050</v>
      </c>
      <c r="C436" s="1" t="n">
        <v>45350</v>
      </c>
      <c r="D436" t="inlineStr">
        <is>
          <t>STOCKHOLMS LÄN</t>
        </is>
      </c>
      <c r="E436" t="inlineStr">
        <is>
          <t>NYKVARN</t>
        </is>
      </c>
      <c r="F436" t="inlineStr">
        <is>
          <t>Sveaskog</t>
        </is>
      </c>
      <c r="G436" t="n">
        <v>0.7</v>
      </c>
      <c r="H436" t="n">
        <v>1</v>
      </c>
      <c r="I436" t="n">
        <v>0</v>
      </c>
      <c r="J436" t="n">
        <v>0</v>
      </c>
      <c r="K436" t="n">
        <v>0</v>
      </c>
      <c r="L436" t="n">
        <v>0</v>
      </c>
      <c r="M436" t="n">
        <v>0</v>
      </c>
      <c r="N436" t="n">
        <v>0</v>
      </c>
      <c r="O436" t="n">
        <v>0</v>
      </c>
      <c r="P436" t="n">
        <v>0</v>
      </c>
      <c r="Q436" t="n">
        <v>1</v>
      </c>
      <c r="R436" s="2" t="inlineStr">
        <is>
          <t>Blåsippa</t>
        </is>
      </c>
      <c r="S436">
        <f>HYPERLINK("https://klasma.github.io/Logging_0140/artfynd/A 19489-2023 artfynd.xlsx", "A 19489-2023")</f>
        <v/>
      </c>
      <c r="T436">
        <f>HYPERLINK("https://klasma.github.io/Logging_0140/kartor/A 19489-2023 karta.png", "A 19489-2023")</f>
        <v/>
      </c>
      <c r="V436">
        <f>HYPERLINK("https://klasma.github.io/Logging_0140/klagomål/A 19489-2023 FSC-klagomål.docx", "A 19489-2023")</f>
        <v/>
      </c>
      <c r="W436">
        <f>HYPERLINK("https://klasma.github.io/Logging_0140/klagomålsmail/A 19489-2023 FSC-klagomål mail.docx", "A 19489-2023")</f>
        <v/>
      </c>
      <c r="X436">
        <f>HYPERLINK("https://klasma.github.io/Logging_0140/tillsyn/A 19489-2023 tillsynsbegäran.docx", "A 19489-2023")</f>
        <v/>
      </c>
      <c r="Y436">
        <f>HYPERLINK("https://klasma.github.io/Logging_0140/tillsynsmail/A 19489-2023 tillsynsbegäran mail.docx", "A 19489-2023")</f>
        <v/>
      </c>
    </row>
    <row r="437" ht="15" customHeight="1">
      <c r="A437" t="inlineStr">
        <is>
          <t>A 21431-2023</t>
        </is>
      </c>
      <c r="B437" s="1" t="n">
        <v>45063</v>
      </c>
      <c r="C437" s="1" t="n">
        <v>45350</v>
      </c>
      <c r="D437" t="inlineStr">
        <is>
          <t>STOCKHOLMS LÄN</t>
        </is>
      </c>
      <c r="E437" t="inlineStr">
        <is>
          <t>NORRTÄLJE</t>
        </is>
      </c>
      <c r="F437" t="inlineStr">
        <is>
          <t>Holmen skog AB</t>
        </is>
      </c>
      <c r="G437" t="n">
        <v>4</v>
      </c>
      <c r="H437" t="n">
        <v>1</v>
      </c>
      <c r="I437" t="n">
        <v>1</v>
      </c>
      <c r="J437" t="n">
        <v>0</v>
      </c>
      <c r="K437" t="n">
        <v>0</v>
      </c>
      <c r="L437" t="n">
        <v>0</v>
      </c>
      <c r="M437" t="n">
        <v>0</v>
      </c>
      <c r="N437" t="n">
        <v>0</v>
      </c>
      <c r="O437" t="n">
        <v>0</v>
      </c>
      <c r="P437" t="n">
        <v>0</v>
      </c>
      <c r="Q437" t="n">
        <v>1</v>
      </c>
      <c r="R437" s="2" t="inlineStr">
        <is>
          <t>Nästrot</t>
        </is>
      </c>
      <c r="S437">
        <f>HYPERLINK("https://klasma.github.io/Logging_0188/artfynd/A 21431-2023 artfynd.xlsx", "A 21431-2023")</f>
        <v/>
      </c>
      <c r="T437">
        <f>HYPERLINK("https://klasma.github.io/Logging_0188/kartor/A 21431-2023 karta.png", "A 21431-2023")</f>
        <v/>
      </c>
      <c r="V437">
        <f>HYPERLINK("https://klasma.github.io/Logging_0188/klagomål/A 21431-2023 FSC-klagomål.docx", "A 21431-2023")</f>
        <v/>
      </c>
      <c r="W437">
        <f>HYPERLINK("https://klasma.github.io/Logging_0188/klagomålsmail/A 21431-2023 FSC-klagomål mail.docx", "A 21431-2023")</f>
        <v/>
      </c>
      <c r="X437">
        <f>HYPERLINK("https://klasma.github.io/Logging_0188/tillsyn/A 21431-2023 tillsynsbegäran.docx", "A 21431-2023")</f>
        <v/>
      </c>
      <c r="Y437">
        <f>HYPERLINK("https://klasma.github.io/Logging_0188/tillsynsmail/A 21431-2023 tillsynsbegäran mail.docx", "A 21431-2023")</f>
        <v/>
      </c>
    </row>
    <row r="438" ht="15" customHeight="1">
      <c r="A438" t="inlineStr">
        <is>
          <t>A 21744-2023</t>
        </is>
      </c>
      <c r="B438" s="1" t="n">
        <v>45065</v>
      </c>
      <c r="C438" s="1" t="n">
        <v>45350</v>
      </c>
      <c r="D438" t="inlineStr">
        <is>
          <t>STOCKHOLMS LÄN</t>
        </is>
      </c>
      <c r="E438" t="inlineStr">
        <is>
          <t>NORRTÄLJE</t>
        </is>
      </c>
      <c r="F438" t="inlineStr">
        <is>
          <t>Holmen skog AB</t>
        </is>
      </c>
      <c r="G438" t="n">
        <v>4.2</v>
      </c>
      <c r="H438" t="n">
        <v>0</v>
      </c>
      <c r="I438" t="n">
        <v>1</v>
      </c>
      <c r="J438" t="n">
        <v>0</v>
      </c>
      <c r="K438" t="n">
        <v>0</v>
      </c>
      <c r="L438" t="n">
        <v>0</v>
      </c>
      <c r="M438" t="n">
        <v>0</v>
      </c>
      <c r="N438" t="n">
        <v>0</v>
      </c>
      <c r="O438" t="n">
        <v>0</v>
      </c>
      <c r="P438" t="n">
        <v>0</v>
      </c>
      <c r="Q438" t="n">
        <v>1</v>
      </c>
      <c r="R438" s="2" t="inlineStr">
        <is>
          <t>Korallblylav</t>
        </is>
      </c>
      <c r="S438">
        <f>HYPERLINK("https://klasma.github.io/Logging_0188/artfynd/A 21744-2023 artfynd.xlsx", "A 21744-2023")</f>
        <v/>
      </c>
      <c r="T438">
        <f>HYPERLINK("https://klasma.github.io/Logging_0188/kartor/A 21744-2023 karta.png", "A 21744-2023")</f>
        <v/>
      </c>
      <c r="V438">
        <f>HYPERLINK("https://klasma.github.io/Logging_0188/klagomål/A 21744-2023 FSC-klagomål.docx", "A 21744-2023")</f>
        <v/>
      </c>
      <c r="W438">
        <f>HYPERLINK("https://klasma.github.io/Logging_0188/klagomålsmail/A 21744-2023 FSC-klagomål mail.docx", "A 21744-2023")</f>
        <v/>
      </c>
      <c r="X438">
        <f>HYPERLINK("https://klasma.github.io/Logging_0188/tillsyn/A 21744-2023 tillsynsbegäran.docx", "A 21744-2023")</f>
        <v/>
      </c>
      <c r="Y438">
        <f>HYPERLINK("https://klasma.github.io/Logging_0188/tillsynsmail/A 21744-2023 tillsynsbegäran mail.docx", "A 21744-2023")</f>
        <v/>
      </c>
    </row>
    <row r="439" ht="15" customHeight="1">
      <c r="A439" t="inlineStr">
        <is>
          <t>A 24233-2023</t>
        </is>
      </c>
      <c r="B439" s="1" t="n">
        <v>45076</v>
      </c>
      <c r="C439" s="1" t="n">
        <v>45350</v>
      </c>
      <c r="D439" t="inlineStr">
        <is>
          <t>STOCKHOLMS LÄN</t>
        </is>
      </c>
      <c r="E439" t="inlineStr">
        <is>
          <t>HUDDINGE</t>
        </is>
      </c>
      <c r="G439" t="n">
        <v>3.7</v>
      </c>
      <c r="H439" t="n">
        <v>0</v>
      </c>
      <c r="I439" t="n">
        <v>0</v>
      </c>
      <c r="J439" t="n">
        <v>1</v>
      </c>
      <c r="K439" t="n">
        <v>0</v>
      </c>
      <c r="L439" t="n">
        <v>0</v>
      </c>
      <c r="M439" t="n">
        <v>0</v>
      </c>
      <c r="N439" t="n">
        <v>0</v>
      </c>
      <c r="O439" t="n">
        <v>1</v>
      </c>
      <c r="P439" t="n">
        <v>0</v>
      </c>
      <c r="Q439" t="n">
        <v>1</v>
      </c>
      <c r="R439" s="2" t="inlineStr">
        <is>
          <t>Svartvit taggsvamp</t>
        </is>
      </c>
      <c r="S439">
        <f>HYPERLINK("https://klasma.github.io/Logging_0126/artfynd/A 24233-2023 artfynd.xlsx", "A 24233-2023")</f>
        <v/>
      </c>
      <c r="T439">
        <f>HYPERLINK("https://klasma.github.io/Logging_0126/kartor/A 24233-2023 karta.png", "A 24233-2023")</f>
        <v/>
      </c>
      <c r="V439">
        <f>HYPERLINK("https://klasma.github.io/Logging_0126/klagomål/A 24233-2023 FSC-klagomål.docx", "A 24233-2023")</f>
        <v/>
      </c>
      <c r="W439">
        <f>HYPERLINK("https://klasma.github.io/Logging_0126/klagomålsmail/A 24233-2023 FSC-klagomål mail.docx", "A 24233-2023")</f>
        <v/>
      </c>
      <c r="X439">
        <f>HYPERLINK("https://klasma.github.io/Logging_0126/tillsyn/A 24233-2023 tillsynsbegäran.docx", "A 24233-2023")</f>
        <v/>
      </c>
      <c r="Y439">
        <f>HYPERLINK("https://klasma.github.io/Logging_0126/tillsynsmail/A 24233-2023 tillsynsbegäran mail.docx", "A 24233-2023")</f>
        <v/>
      </c>
    </row>
    <row r="440" ht="15" customHeight="1">
      <c r="A440" t="inlineStr">
        <is>
          <t>A 24384-2023</t>
        </is>
      </c>
      <c r="B440" s="1" t="n">
        <v>45076</v>
      </c>
      <c r="C440" s="1" t="n">
        <v>45350</v>
      </c>
      <c r="D440" t="inlineStr">
        <is>
          <t>STOCKHOLMS LÄN</t>
        </is>
      </c>
      <c r="E440" t="inlineStr">
        <is>
          <t>HUDDINGE</t>
        </is>
      </c>
      <c r="G440" t="n">
        <v>1</v>
      </c>
      <c r="H440" t="n">
        <v>0</v>
      </c>
      <c r="I440" t="n">
        <v>0</v>
      </c>
      <c r="J440" t="n">
        <v>1</v>
      </c>
      <c r="K440" t="n">
        <v>0</v>
      </c>
      <c r="L440" t="n">
        <v>0</v>
      </c>
      <c r="M440" t="n">
        <v>0</v>
      </c>
      <c r="N440" t="n">
        <v>0</v>
      </c>
      <c r="O440" t="n">
        <v>1</v>
      </c>
      <c r="P440" t="n">
        <v>0</v>
      </c>
      <c r="Q440" t="n">
        <v>1</v>
      </c>
      <c r="R440" s="2" t="inlineStr">
        <is>
          <t>Kolflarnlav</t>
        </is>
      </c>
      <c r="S440">
        <f>HYPERLINK("https://klasma.github.io/Logging_0126/artfynd/A 24384-2023 artfynd.xlsx", "A 24384-2023")</f>
        <v/>
      </c>
      <c r="T440">
        <f>HYPERLINK("https://klasma.github.io/Logging_0126/kartor/A 24384-2023 karta.png", "A 24384-2023")</f>
        <v/>
      </c>
      <c r="V440">
        <f>HYPERLINK("https://klasma.github.io/Logging_0126/klagomål/A 24384-2023 FSC-klagomål.docx", "A 24384-2023")</f>
        <v/>
      </c>
      <c r="W440">
        <f>HYPERLINK("https://klasma.github.io/Logging_0126/klagomålsmail/A 24384-2023 FSC-klagomål mail.docx", "A 24384-2023")</f>
        <v/>
      </c>
      <c r="X440">
        <f>HYPERLINK("https://klasma.github.io/Logging_0126/tillsyn/A 24384-2023 tillsynsbegäran.docx", "A 24384-2023")</f>
        <v/>
      </c>
      <c r="Y440">
        <f>HYPERLINK("https://klasma.github.io/Logging_0126/tillsynsmail/A 24384-2023 tillsynsbegäran mail.docx", "A 24384-2023")</f>
        <v/>
      </c>
    </row>
    <row r="441" ht="15" customHeight="1">
      <c r="A441" t="inlineStr">
        <is>
          <t>A 23829-2023</t>
        </is>
      </c>
      <c r="B441" s="1" t="n">
        <v>45078</v>
      </c>
      <c r="C441" s="1" t="n">
        <v>45350</v>
      </c>
      <c r="D441" t="inlineStr">
        <is>
          <t>STOCKHOLMS LÄN</t>
        </is>
      </c>
      <c r="E441" t="inlineStr">
        <is>
          <t>BOTKYRKA</t>
        </is>
      </c>
      <c r="F441" t="inlineStr">
        <is>
          <t>Kommuner</t>
        </is>
      </c>
      <c r="G441" t="n">
        <v>3.7</v>
      </c>
      <c r="H441" t="n">
        <v>0</v>
      </c>
      <c r="I441" t="n">
        <v>1</v>
      </c>
      <c r="J441" t="n">
        <v>0</v>
      </c>
      <c r="K441" t="n">
        <v>0</v>
      </c>
      <c r="L441" t="n">
        <v>0</v>
      </c>
      <c r="M441" t="n">
        <v>0</v>
      </c>
      <c r="N441" t="n">
        <v>0</v>
      </c>
      <c r="O441" t="n">
        <v>0</v>
      </c>
      <c r="P441" t="n">
        <v>0</v>
      </c>
      <c r="Q441" t="n">
        <v>1</v>
      </c>
      <c r="R441" s="2" t="inlineStr">
        <is>
          <t>Fjällig taggsvamp s.str.</t>
        </is>
      </c>
      <c r="S441">
        <f>HYPERLINK("https://klasma.github.io/Logging_0127/artfynd/A 23829-2023 artfynd.xlsx", "A 23829-2023")</f>
        <v/>
      </c>
      <c r="T441">
        <f>HYPERLINK("https://klasma.github.io/Logging_0127/kartor/A 23829-2023 karta.png", "A 23829-2023")</f>
        <v/>
      </c>
      <c r="V441">
        <f>HYPERLINK("https://klasma.github.io/Logging_0127/klagomål/A 23829-2023 FSC-klagomål.docx", "A 23829-2023")</f>
        <v/>
      </c>
      <c r="W441">
        <f>HYPERLINK("https://klasma.github.io/Logging_0127/klagomålsmail/A 23829-2023 FSC-klagomål mail.docx", "A 23829-2023")</f>
        <v/>
      </c>
      <c r="X441">
        <f>HYPERLINK("https://klasma.github.io/Logging_0127/tillsyn/A 23829-2023 tillsynsbegäran.docx", "A 23829-2023")</f>
        <v/>
      </c>
      <c r="Y441">
        <f>HYPERLINK("https://klasma.github.io/Logging_0127/tillsynsmail/A 23829-2023 tillsynsbegäran mail.docx", "A 23829-2023")</f>
        <v/>
      </c>
    </row>
    <row r="442" ht="15" customHeight="1">
      <c r="A442" t="inlineStr">
        <is>
          <t>A 23823-2023</t>
        </is>
      </c>
      <c r="B442" s="1" t="n">
        <v>45078</v>
      </c>
      <c r="C442" s="1" t="n">
        <v>45350</v>
      </c>
      <c r="D442" t="inlineStr">
        <is>
          <t>STOCKHOLMS LÄN</t>
        </is>
      </c>
      <c r="E442" t="inlineStr">
        <is>
          <t>SALEM</t>
        </is>
      </c>
      <c r="F442" t="inlineStr">
        <is>
          <t>Kommuner</t>
        </is>
      </c>
      <c r="G442" t="n">
        <v>2.1</v>
      </c>
      <c r="H442" t="n">
        <v>1</v>
      </c>
      <c r="I442" t="n">
        <v>0</v>
      </c>
      <c r="J442" t="n">
        <v>0</v>
      </c>
      <c r="K442" t="n">
        <v>0</v>
      </c>
      <c r="L442" t="n">
        <v>0</v>
      </c>
      <c r="M442" t="n">
        <v>0</v>
      </c>
      <c r="N442" t="n">
        <v>0</v>
      </c>
      <c r="O442" t="n">
        <v>0</v>
      </c>
      <c r="P442" t="n">
        <v>0</v>
      </c>
      <c r="Q442" t="n">
        <v>1</v>
      </c>
      <c r="R442" s="2" t="inlineStr">
        <is>
          <t>Revlummer</t>
        </is>
      </c>
      <c r="S442">
        <f>HYPERLINK("https://klasma.github.io/Logging_0128/artfynd/A 23823-2023 artfynd.xlsx", "A 23823-2023")</f>
        <v/>
      </c>
      <c r="T442">
        <f>HYPERLINK("https://klasma.github.io/Logging_0128/kartor/A 23823-2023 karta.png", "A 23823-2023")</f>
        <v/>
      </c>
      <c r="V442">
        <f>HYPERLINK("https://klasma.github.io/Logging_0128/klagomål/A 23823-2023 FSC-klagomål.docx", "A 23823-2023")</f>
        <v/>
      </c>
      <c r="W442">
        <f>HYPERLINK("https://klasma.github.io/Logging_0128/klagomålsmail/A 23823-2023 FSC-klagomål mail.docx", "A 23823-2023")</f>
        <v/>
      </c>
      <c r="X442">
        <f>HYPERLINK("https://klasma.github.io/Logging_0128/tillsyn/A 23823-2023 tillsynsbegäran.docx", "A 23823-2023")</f>
        <v/>
      </c>
      <c r="Y442">
        <f>HYPERLINK("https://klasma.github.io/Logging_0128/tillsynsmail/A 23823-2023 tillsynsbegäran mail.docx", "A 23823-2023")</f>
        <v/>
      </c>
    </row>
    <row r="443" ht="15" customHeight="1">
      <c r="A443" t="inlineStr">
        <is>
          <t>A 24535-2023</t>
        </is>
      </c>
      <c r="B443" s="1" t="n">
        <v>45082</v>
      </c>
      <c r="C443" s="1" t="n">
        <v>45350</v>
      </c>
      <c r="D443" t="inlineStr">
        <is>
          <t>STOCKHOLMS LÄN</t>
        </is>
      </c>
      <c r="E443" t="inlineStr">
        <is>
          <t>NORRTÄLJE</t>
        </is>
      </c>
      <c r="F443" t="inlineStr">
        <is>
          <t>Kommuner</t>
        </is>
      </c>
      <c r="G443" t="n">
        <v>2</v>
      </c>
      <c r="H443" t="n">
        <v>1</v>
      </c>
      <c r="I443" t="n">
        <v>0</v>
      </c>
      <c r="J443" t="n">
        <v>0</v>
      </c>
      <c r="K443" t="n">
        <v>0</v>
      </c>
      <c r="L443" t="n">
        <v>0</v>
      </c>
      <c r="M443" t="n">
        <v>0</v>
      </c>
      <c r="N443" t="n">
        <v>0</v>
      </c>
      <c r="O443" t="n">
        <v>0</v>
      </c>
      <c r="P443" t="n">
        <v>0</v>
      </c>
      <c r="Q443" t="n">
        <v>1</v>
      </c>
      <c r="R443" s="2" t="inlineStr">
        <is>
          <t>Blåsippa</t>
        </is>
      </c>
      <c r="S443">
        <f>HYPERLINK("https://klasma.github.io/Logging_0188/artfynd/A 24535-2023 artfynd.xlsx", "A 24535-2023")</f>
        <v/>
      </c>
      <c r="T443">
        <f>HYPERLINK("https://klasma.github.io/Logging_0188/kartor/A 24535-2023 karta.png", "A 24535-2023")</f>
        <v/>
      </c>
      <c r="V443">
        <f>HYPERLINK("https://klasma.github.io/Logging_0188/klagomål/A 24535-2023 FSC-klagomål.docx", "A 24535-2023")</f>
        <v/>
      </c>
      <c r="W443">
        <f>HYPERLINK("https://klasma.github.io/Logging_0188/klagomålsmail/A 24535-2023 FSC-klagomål mail.docx", "A 24535-2023")</f>
        <v/>
      </c>
      <c r="X443">
        <f>HYPERLINK("https://klasma.github.io/Logging_0188/tillsyn/A 24535-2023 tillsynsbegäran.docx", "A 24535-2023")</f>
        <v/>
      </c>
      <c r="Y443">
        <f>HYPERLINK("https://klasma.github.io/Logging_0188/tillsynsmail/A 24535-2023 tillsynsbegäran mail.docx", "A 24535-2023")</f>
        <v/>
      </c>
    </row>
    <row r="444" ht="15" customHeight="1">
      <c r="A444" t="inlineStr">
        <is>
          <t>A 26635-2023</t>
        </is>
      </c>
      <c r="B444" s="1" t="n">
        <v>45092</v>
      </c>
      <c r="C444" s="1" t="n">
        <v>45350</v>
      </c>
      <c r="D444" t="inlineStr">
        <is>
          <t>STOCKHOLMS LÄN</t>
        </is>
      </c>
      <c r="E444" t="inlineStr">
        <is>
          <t>NORRTÄLJE</t>
        </is>
      </c>
      <c r="G444" t="n">
        <v>3.1</v>
      </c>
      <c r="H444" t="n">
        <v>1</v>
      </c>
      <c r="I444" t="n">
        <v>0</v>
      </c>
      <c r="J444" t="n">
        <v>0</v>
      </c>
      <c r="K444" t="n">
        <v>0</v>
      </c>
      <c r="L444" t="n">
        <v>0</v>
      </c>
      <c r="M444" t="n">
        <v>0</v>
      </c>
      <c r="N444" t="n">
        <v>0</v>
      </c>
      <c r="O444" t="n">
        <v>0</v>
      </c>
      <c r="P444" t="n">
        <v>0</v>
      </c>
      <c r="Q444" t="n">
        <v>1</v>
      </c>
      <c r="R444" s="2" t="inlineStr">
        <is>
          <t>Fläcknycklar</t>
        </is>
      </c>
      <c r="S444">
        <f>HYPERLINK("https://klasma.github.io/Logging_0188/artfynd/A 26635-2023 artfynd.xlsx", "A 26635-2023")</f>
        <v/>
      </c>
      <c r="T444">
        <f>HYPERLINK("https://klasma.github.io/Logging_0188/kartor/A 26635-2023 karta.png", "A 26635-2023")</f>
        <v/>
      </c>
      <c r="V444">
        <f>HYPERLINK("https://klasma.github.io/Logging_0188/klagomål/A 26635-2023 FSC-klagomål.docx", "A 26635-2023")</f>
        <v/>
      </c>
      <c r="W444">
        <f>HYPERLINK("https://klasma.github.io/Logging_0188/klagomålsmail/A 26635-2023 FSC-klagomål mail.docx", "A 26635-2023")</f>
        <v/>
      </c>
      <c r="X444">
        <f>HYPERLINK("https://klasma.github.io/Logging_0188/tillsyn/A 26635-2023 tillsynsbegäran.docx", "A 26635-2023")</f>
        <v/>
      </c>
      <c r="Y444">
        <f>HYPERLINK("https://klasma.github.io/Logging_0188/tillsynsmail/A 26635-2023 tillsynsbegäran mail.docx", "A 26635-2023")</f>
        <v/>
      </c>
    </row>
    <row r="445" ht="15" customHeight="1">
      <c r="A445" t="inlineStr">
        <is>
          <t>A 31142-2023</t>
        </is>
      </c>
      <c r="B445" s="1" t="n">
        <v>45113</v>
      </c>
      <c r="C445" s="1" t="n">
        <v>45350</v>
      </c>
      <c r="D445" t="inlineStr">
        <is>
          <t>STOCKHOLMS LÄN</t>
        </is>
      </c>
      <c r="E445" t="inlineStr">
        <is>
          <t>NYNÄSHAMN</t>
        </is>
      </c>
      <c r="G445" t="n">
        <v>5.7</v>
      </c>
      <c r="H445" t="n">
        <v>0</v>
      </c>
      <c r="I445" t="n">
        <v>0</v>
      </c>
      <c r="J445" t="n">
        <v>0</v>
      </c>
      <c r="K445" t="n">
        <v>0</v>
      </c>
      <c r="L445" t="n">
        <v>1</v>
      </c>
      <c r="M445" t="n">
        <v>0</v>
      </c>
      <c r="N445" t="n">
        <v>0</v>
      </c>
      <c r="O445" t="n">
        <v>1</v>
      </c>
      <c r="P445" t="n">
        <v>1</v>
      </c>
      <c r="Q445" t="n">
        <v>1</v>
      </c>
      <c r="R445" s="2" t="inlineStr">
        <is>
          <t>Ask</t>
        </is>
      </c>
      <c r="S445">
        <f>HYPERLINK("https://klasma.github.io/Logging_0192/artfynd/A 31142-2023 artfynd.xlsx", "A 31142-2023")</f>
        <v/>
      </c>
      <c r="T445">
        <f>HYPERLINK("https://klasma.github.io/Logging_0192/kartor/A 31142-2023 karta.png", "A 31142-2023")</f>
        <v/>
      </c>
      <c r="V445">
        <f>HYPERLINK("https://klasma.github.io/Logging_0192/klagomål/A 31142-2023 FSC-klagomål.docx", "A 31142-2023")</f>
        <v/>
      </c>
      <c r="W445">
        <f>HYPERLINK("https://klasma.github.io/Logging_0192/klagomålsmail/A 31142-2023 FSC-klagomål mail.docx", "A 31142-2023")</f>
        <v/>
      </c>
      <c r="X445">
        <f>HYPERLINK("https://klasma.github.io/Logging_0192/tillsyn/A 31142-2023 tillsynsbegäran.docx", "A 31142-2023")</f>
        <v/>
      </c>
      <c r="Y445">
        <f>HYPERLINK("https://klasma.github.io/Logging_0192/tillsynsmail/A 31142-2023 tillsynsbegäran mail.docx", "A 31142-2023")</f>
        <v/>
      </c>
    </row>
    <row r="446" ht="15" customHeight="1">
      <c r="A446" t="inlineStr">
        <is>
          <t>A 31828-2023</t>
        </is>
      </c>
      <c r="B446" s="1" t="n">
        <v>45118</v>
      </c>
      <c r="C446" s="1" t="n">
        <v>45350</v>
      </c>
      <c r="D446" t="inlineStr">
        <is>
          <t>STOCKHOLMS LÄN</t>
        </is>
      </c>
      <c r="E446" t="inlineStr">
        <is>
          <t>NYNÄSHAMN</t>
        </is>
      </c>
      <c r="F446" t="inlineStr">
        <is>
          <t>Kommuner</t>
        </is>
      </c>
      <c r="G446" t="n">
        <v>2.7</v>
      </c>
      <c r="H446" t="n">
        <v>0</v>
      </c>
      <c r="I446" t="n">
        <v>1</v>
      </c>
      <c r="J446" t="n">
        <v>0</v>
      </c>
      <c r="K446" t="n">
        <v>0</v>
      </c>
      <c r="L446" t="n">
        <v>0</v>
      </c>
      <c r="M446" t="n">
        <v>0</v>
      </c>
      <c r="N446" t="n">
        <v>0</v>
      </c>
      <c r="O446" t="n">
        <v>0</v>
      </c>
      <c r="P446" t="n">
        <v>0</v>
      </c>
      <c r="Q446" t="n">
        <v>1</v>
      </c>
      <c r="R446" s="2" t="inlineStr">
        <is>
          <t>Björksplintborre</t>
        </is>
      </c>
      <c r="S446">
        <f>HYPERLINK("https://klasma.github.io/Logging_0192/artfynd/A 31828-2023 artfynd.xlsx", "A 31828-2023")</f>
        <v/>
      </c>
      <c r="T446">
        <f>HYPERLINK("https://klasma.github.io/Logging_0192/kartor/A 31828-2023 karta.png", "A 31828-2023")</f>
        <v/>
      </c>
      <c r="V446">
        <f>HYPERLINK("https://klasma.github.io/Logging_0192/klagomål/A 31828-2023 FSC-klagomål.docx", "A 31828-2023")</f>
        <v/>
      </c>
      <c r="W446">
        <f>HYPERLINK("https://klasma.github.io/Logging_0192/klagomålsmail/A 31828-2023 FSC-klagomål mail.docx", "A 31828-2023")</f>
        <v/>
      </c>
      <c r="X446">
        <f>HYPERLINK("https://klasma.github.io/Logging_0192/tillsyn/A 31828-2023 tillsynsbegäran.docx", "A 31828-2023")</f>
        <v/>
      </c>
      <c r="Y446">
        <f>HYPERLINK("https://klasma.github.io/Logging_0192/tillsynsmail/A 31828-2023 tillsynsbegäran mail.docx", "A 31828-2023")</f>
        <v/>
      </c>
    </row>
    <row r="447" ht="15" customHeight="1">
      <c r="A447" t="inlineStr">
        <is>
          <t>A 31842-2023</t>
        </is>
      </c>
      <c r="B447" s="1" t="n">
        <v>45118</v>
      </c>
      <c r="C447" s="1" t="n">
        <v>45350</v>
      </c>
      <c r="D447" t="inlineStr">
        <is>
          <t>STOCKHOLMS LÄN</t>
        </is>
      </c>
      <c r="E447" t="inlineStr">
        <is>
          <t>NYNÄSHAMN</t>
        </is>
      </c>
      <c r="F447" t="inlineStr">
        <is>
          <t>Kommuner</t>
        </is>
      </c>
      <c r="G447" t="n">
        <v>3.8</v>
      </c>
      <c r="H447" t="n">
        <v>1</v>
      </c>
      <c r="I447" t="n">
        <v>1</v>
      </c>
      <c r="J447" t="n">
        <v>0</v>
      </c>
      <c r="K447" t="n">
        <v>0</v>
      </c>
      <c r="L447" t="n">
        <v>0</v>
      </c>
      <c r="M447" t="n">
        <v>0</v>
      </c>
      <c r="N447" t="n">
        <v>0</v>
      </c>
      <c r="O447" t="n">
        <v>0</v>
      </c>
      <c r="P447" t="n">
        <v>0</v>
      </c>
      <c r="Q447" t="n">
        <v>1</v>
      </c>
      <c r="R447" s="2" t="inlineStr">
        <is>
          <t>Grön sköldmossa</t>
        </is>
      </c>
      <c r="S447">
        <f>HYPERLINK("https://klasma.github.io/Logging_0192/artfynd/A 31842-2023 artfynd.xlsx", "A 31842-2023")</f>
        <v/>
      </c>
      <c r="T447">
        <f>HYPERLINK("https://klasma.github.io/Logging_0192/kartor/A 31842-2023 karta.png", "A 31842-2023")</f>
        <v/>
      </c>
      <c r="V447">
        <f>HYPERLINK("https://klasma.github.io/Logging_0192/klagomål/A 31842-2023 FSC-klagomål.docx", "A 31842-2023")</f>
        <v/>
      </c>
      <c r="W447">
        <f>HYPERLINK("https://klasma.github.io/Logging_0192/klagomålsmail/A 31842-2023 FSC-klagomål mail.docx", "A 31842-2023")</f>
        <v/>
      </c>
      <c r="X447">
        <f>HYPERLINK("https://klasma.github.io/Logging_0192/tillsyn/A 31842-2023 tillsynsbegäran.docx", "A 31842-2023")</f>
        <v/>
      </c>
      <c r="Y447">
        <f>HYPERLINK("https://klasma.github.io/Logging_0192/tillsynsmail/A 31842-2023 tillsynsbegäran mail.docx", "A 31842-2023")</f>
        <v/>
      </c>
    </row>
    <row r="448" ht="15" customHeight="1">
      <c r="A448" t="inlineStr">
        <is>
          <t>A 32338-2023</t>
        </is>
      </c>
      <c r="B448" s="1" t="n">
        <v>45120</v>
      </c>
      <c r="C448" s="1" t="n">
        <v>45350</v>
      </c>
      <c r="D448" t="inlineStr">
        <is>
          <t>STOCKHOLMS LÄN</t>
        </is>
      </c>
      <c r="E448" t="inlineStr">
        <is>
          <t>VÄRMDÖ</t>
        </is>
      </c>
      <c r="G448" t="n">
        <v>11.3</v>
      </c>
      <c r="H448" t="n">
        <v>0</v>
      </c>
      <c r="I448" t="n">
        <v>1</v>
      </c>
      <c r="J448" t="n">
        <v>0</v>
      </c>
      <c r="K448" t="n">
        <v>0</v>
      </c>
      <c r="L448" t="n">
        <v>0</v>
      </c>
      <c r="M448" t="n">
        <v>0</v>
      </c>
      <c r="N448" t="n">
        <v>0</v>
      </c>
      <c r="O448" t="n">
        <v>0</v>
      </c>
      <c r="P448" t="n">
        <v>0</v>
      </c>
      <c r="Q448" t="n">
        <v>1</v>
      </c>
      <c r="R448" s="2" t="inlineStr">
        <is>
          <t>Strävlosta</t>
        </is>
      </c>
      <c r="S448">
        <f>HYPERLINK("https://klasma.github.io/Logging_0120/artfynd/A 32338-2023 artfynd.xlsx", "A 32338-2023")</f>
        <v/>
      </c>
      <c r="T448">
        <f>HYPERLINK("https://klasma.github.io/Logging_0120/kartor/A 32338-2023 karta.png", "A 32338-2023")</f>
        <v/>
      </c>
      <c r="V448">
        <f>HYPERLINK("https://klasma.github.io/Logging_0120/klagomål/A 32338-2023 FSC-klagomål.docx", "A 32338-2023")</f>
        <v/>
      </c>
      <c r="W448">
        <f>HYPERLINK("https://klasma.github.io/Logging_0120/klagomålsmail/A 32338-2023 FSC-klagomål mail.docx", "A 32338-2023")</f>
        <v/>
      </c>
      <c r="X448">
        <f>HYPERLINK("https://klasma.github.io/Logging_0120/tillsyn/A 32338-2023 tillsynsbegäran.docx", "A 32338-2023")</f>
        <v/>
      </c>
      <c r="Y448">
        <f>HYPERLINK("https://klasma.github.io/Logging_0120/tillsynsmail/A 32338-2023 tillsynsbegäran mail.docx", "A 32338-2023")</f>
        <v/>
      </c>
    </row>
    <row r="449" ht="15" customHeight="1">
      <c r="A449" t="inlineStr">
        <is>
          <t>A 33528-2023</t>
        </is>
      </c>
      <c r="B449" s="1" t="n">
        <v>45131</v>
      </c>
      <c r="C449" s="1" t="n">
        <v>45350</v>
      </c>
      <c r="D449" t="inlineStr">
        <is>
          <t>STOCKHOLMS LÄN</t>
        </is>
      </c>
      <c r="E449" t="inlineStr">
        <is>
          <t>NYNÄSHAMN</t>
        </is>
      </c>
      <c r="G449" t="n">
        <v>4</v>
      </c>
      <c r="H449" t="n">
        <v>0</v>
      </c>
      <c r="I449" t="n">
        <v>1</v>
      </c>
      <c r="J449" t="n">
        <v>0</v>
      </c>
      <c r="K449" t="n">
        <v>0</v>
      </c>
      <c r="L449" t="n">
        <v>0</v>
      </c>
      <c r="M449" t="n">
        <v>0</v>
      </c>
      <c r="N449" t="n">
        <v>0</v>
      </c>
      <c r="O449" t="n">
        <v>0</v>
      </c>
      <c r="P449" t="n">
        <v>0</v>
      </c>
      <c r="Q449" t="n">
        <v>1</v>
      </c>
      <c r="R449" s="2" t="inlineStr">
        <is>
          <t>Strutbräken</t>
        </is>
      </c>
      <c r="S449">
        <f>HYPERLINK("https://klasma.github.io/Logging_0192/artfynd/A 33528-2023 artfynd.xlsx", "A 33528-2023")</f>
        <v/>
      </c>
      <c r="T449">
        <f>HYPERLINK("https://klasma.github.io/Logging_0192/kartor/A 33528-2023 karta.png", "A 33528-2023")</f>
        <v/>
      </c>
      <c r="V449">
        <f>HYPERLINK("https://klasma.github.io/Logging_0192/klagomål/A 33528-2023 FSC-klagomål.docx", "A 33528-2023")</f>
        <v/>
      </c>
      <c r="W449">
        <f>HYPERLINK("https://klasma.github.io/Logging_0192/klagomålsmail/A 33528-2023 FSC-klagomål mail.docx", "A 33528-2023")</f>
        <v/>
      </c>
      <c r="X449">
        <f>HYPERLINK("https://klasma.github.io/Logging_0192/tillsyn/A 33528-2023 tillsynsbegäran.docx", "A 33528-2023")</f>
        <v/>
      </c>
      <c r="Y449">
        <f>HYPERLINK("https://klasma.github.io/Logging_0192/tillsynsmail/A 33528-2023 tillsynsbegäran mail.docx", "A 33528-2023")</f>
        <v/>
      </c>
    </row>
    <row r="450" ht="15" customHeight="1">
      <c r="A450" t="inlineStr">
        <is>
          <t>A 35155-2023</t>
        </is>
      </c>
      <c r="B450" s="1" t="n">
        <v>45145</v>
      </c>
      <c r="C450" s="1" t="n">
        <v>45350</v>
      </c>
      <c r="D450" t="inlineStr">
        <is>
          <t>STOCKHOLMS LÄN</t>
        </is>
      </c>
      <c r="E450" t="inlineStr">
        <is>
          <t>SÖDERTÄLJE</t>
        </is>
      </c>
      <c r="G450" t="n">
        <v>4.1</v>
      </c>
      <c r="H450" t="n">
        <v>1</v>
      </c>
      <c r="I450" t="n">
        <v>0</v>
      </c>
      <c r="J450" t="n">
        <v>0</v>
      </c>
      <c r="K450" t="n">
        <v>0</v>
      </c>
      <c r="L450" t="n">
        <v>0</v>
      </c>
      <c r="M450" t="n">
        <v>0</v>
      </c>
      <c r="N450" t="n">
        <v>0</v>
      </c>
      <c r="O450" t="n">
        <v>0</v>
      </c>
      <c r="P450" t="n">
        <v>0</v>
      </c>
      <c r="Q450" t="n">
        <v>1</v>
      </c>
      <c r="R450" s="2" t="inlineStr">
        <is>
          <t>Mattlummer</t>
        </is>
      </c>
      <c r="S450">
        <f>HYPERLINK("https://klasma.github.io/Logging_0181/artfynd/A 35155-2023 artfynd.xlsx", "A 35155-2023")</f>
        <v/>
      </c>
      <c r="T450">
        <f>HYPERLINK("https://klasma.github.io/Logging_0181/kartor/A 35155-2023 karta.png", "A 35155-2023")</f>
        <v/>
      </c>
      <c r="V450">
        <f>HYPERLINK("https://klasma.github.io/Logging_0181/klagomål/A 35155-2023 FSC-klagomål.docx", "A 35155-2023")</f>
        <v/>
      </c>
      <c r="W450">
        <f>HYPERLINK("https://klasma.github.io/Logging_0181/klagomålsmail/A 35155-2023 FSC-klagomål mail.docx", "A 35155-2023")</f>
        <v/>
      </c>
      <c r="X450">
        <f>HYPERLINK("https://klasma.github.io/Logging_0181/tillsyn/A 35155-2023 tillsynsbegäran.docx", "A 35155-2023")</f>
        <v/>
      </c>
      <c r="Y450">
        <f>HYPERLINK("https://klasma.github.io/Logging_0181/tillsynsmail/A 35155-2023 tillsynsbegäran mail.docx", "A 35155-2023")</f>
        <v/>
      </c>
    </row>
    <row r="451" ht="15" customHeight="1">
      <c r="A451" t="inlineStr">
        <is>
          <t>A 35649-2023</t>
        </is>
      </c>
      <c r="B451" s="1" t="n">
        <v>45146</v>
      </c>
      <c r="C451" s="1" t="n">
        <v>45350</v>
      </c>
      <c r="D451" t="inlineStr">
        <is>
          <t>STOCKHOLMS LÄN</t>
        </is>
      </c>
      <c r="E451" t="inlineStr">
        <is>
          <t>NORRTÄLJE</t>
        </is>
      </c>
      <c r="G451" t="n">
        <v>25.1</v>
      </c>
      <c r="H451" t="n">
        <v>0</v>
      </c>
      <c r="I451" t="n">
        <v>0</v>
      </c>
      <c r="J451" t="n">
        <v>1</v>
      </c>
      <c r="K451" t="n">
        <v>0</v>
      </c>
      <c r="L451" t="n">
        <v>0</v>
      </c>
      <c r="M451" t="n">
        <v>0</v>
      </c>
      <c r="N451" t="n">
        <v>0</v>
      </c>
      <c r="O451" t="n">
        <v>1</v>
      </c>
      <c r="P451" t="n">
        <v>0</v>
      </c>
      <c r="Q451" t="n">
        <v>1</v>
      </c>
      <c r="R451" s="2" t="inlineStr">
        <is>
          <t>Månlåsbräken</t>
        </is>
      </c>
      <c r="S451">
        <f>HYPERLINK("https://klasma.github.io/Logging_0188/artfynd/A 35649-2023 artfynd.xlsx", "A 35649-2023")</f>
        <v/>
      </c>
      <c r="T451">
        <f>HYPERLINK("https://klasma.github.io/Logging_0188/kartor/A 35649-2023 karta.png", "A 35649-2023")</f>
        <v/>
      </c>
      <c r="V451">
        <f>HYPERLINK("https://klasma.github.io/Logging_0188/klagomål/A 35649-2023 FSC-klagomål.docx", "A 35649-2023")</f>
        <v/>
      </c>
      <c r="W451">
        <f>HYPERLINK("https://klasma.github.io/Logging_0188/klagomålsmail/A 35649-2023 FSC-klagomål mail.docx", "A 35649-2023")</f>
        <v/>
      </c>
      <c r="X451">
        <f>HYPERLINK("https://klasma.github.io/Logging_0188/tillsyn/A 35649-2023 tillsynsbegäran.docx", "A 35649-2023")</f>
        <v/>
      </c>
      <c r="Y451">
        <f>HYPERLINK("https://klasma.github.io/Logging_0188/tillsynsmail/A 35649-2023 tillsynsbegäran mail.docx", "A 35649-2023")</f>
        <v/>
      </c>
    </row>
    <row r="452" ht="15" customHeight="1">
      <c r="A452" t="inlineStr">
        <is>
          <t>A 35953-2023</t>
        </is>
      </c>
      <c r="B452" s="1" t="n">
        <v>45148</v>
      </c>
      <c r="C452" s="1" t="n">
        <v>45350</v>
      </c>
      <c r="D452" t="inlineStr">
        <is>
          <t>STOCKHOLMS LÄN</t>
        </is>
      </c>
      <c r="E452" t="inlineStr">
        <is>
          <t>EKERÖ</t>
        </is>
      </c>
      <c r="G452" t="n">
        <v>2.1</v>
      </c>
      <c r="H452" t="n">
        <v>1</v>
      </c>
      <c r="I452" t="n">
        <v>0</v>
      </c>
      <c r="J452" t="n">
        <v>0</v>
      </c>
      <c r="K452" t="n">
        <v>0</v>
      </c>
      <c r="L452" t="n">
        <v>0</v>
      </c>
      <c r="M452" t="n">
        <v>0</v>
      </c>
      <c r="N452" t="n">
        <v>0</v>
      </c>
      <c r="O452" t="n">
        <v>0</v>
      </c>
      <c r="P452" t="n">
        <v>0</v>
      </c>
      <c r="Q452" t="n">
        <v>1</v>
      </c>
      <c r="R452" s="2" t="inlineStr">
        <is>
          <t>Vanlig groda</t>
        </is>
      </c>
      <c r="S452">
        <f>HYPERLINK("https://klasma.github.io/Logging_0125/artfynd/A 35953-2023 artfynd.xlsx", "A 35953-2023")</f>
        <v/>
      </c>
      <c r="T452">
        <f>HYPERLINK("https://klasma.github.io/Logging_0125/kartor/A 35953-2023 karta.png", "A 35953-2023")</f>
        <v/>
      </c>
      <c r="V452">
        <f>HYPERLINK("https://klasma.github.io/Logging_0125/klagomål/A 35953-2023 FSC-klagomål.docx", "A 35953-2023")</f>
        <v/>
      </c>
      <c r="W452">
        <f>HYPERLINK("https://klasma.github.io/Logging_0125/klagomålsmail/A 35953-2023 FSC-klagomål mail.docx", "A 35953-2023")</f>
        <v/>
      </c>
      <c r="X452">
        <f>HYPERLINK("https://klasma.github.io/Logging_0125/tillsyn/A 35953-2023 tillsynsbegäran.docx", "A 35953-2023")</f>
        <v/>
      </c>
      <c r="Y452">
        <f>HYPERLINK("https://klasma.github.io/Logging_0125/tillsynsmail/A 35953-2023 tillsynsbegäran mail.docx", "A 35953-2023")</f>
        <v/>
      </c>
    </row>
    <row r="453" ht="15" customHeight="1">
      <c r="A453" t="inlineStr">
        <is>
          <t>A 38553-2023</t>
        </is>
      </c>
      <c r="B453" s="1" t="n">
        <v>45162</v>
      </c>
      <c r="C453" s="1" t="n">
        <v>45350</v>
      </c>
      <c r="D453" t="inlineStr">
        <is>
          <t>STOCKHOLMS LÄN</t>
        </is>
      </c>
      <c r="E453" t="inlineStr">
        <is>
          <t>VALLENTUNA</t>
        </is>
      </c>
      <c r="G453" t="n">
        <v>4.7</v>
      </c>
      <c r="H453" t="n">
        <v>0</v>
      </c>
      <c r="I453" t="n">
        <v>1</v>
      </c>
      <c r="J453" t="n">
        <v>0</v>
      </c>
      <c r="K453" t="n">
        <v>0</v>
      </c>
      <c r="L453" t="n">
        <v>0</v>
      </c>
      <c r="M453" t="n">
        <v>0</v>
      </c>
      <c r="N453" t="n">
        <v>0</v>
      </c>
      <c r="O453" t="n">
        <v>0</v>
      </c>
      <c r="P453" t="n">
        <v>0</v>
      </c>
      <c r="Q453" t="n">
        <v>1</v>
      </c>
      <c r="R453" s="2" t="inlineStr">
        <is>
          <t>Kamjordstjärna</t>
        </is>
      </c>
      <c r="S453">
        <f>HYPERLINK("https://klasma.github.io/Logging_0115/artfynd/A 38553-2023 artfynd.xlsx", "A 38553-2023")</f>
        <v/>
      </c>
      <c r="T453">
        <f>HYPERLINK("https://klasma.github.io/Logging_0115/kartor/A 38553-2023 karta.png", "A 38553-2023")</f>
        <v/>
      </c>
      <c r="V453">
        <f>HYPERLINK("https://klasma.github.io/Logging_0115/klagomål/A 38553-2023 FSC-klagomål.docx", "A 38553-2023")</f>
        <v/>
      </c>
      <c r="W453">
        <f>HYPERLINK("https://klasma.github.io/Logging_0115/klagomålsmail/A 38553-2023 FSC-klagomål mail.docx", "A 38553-2023")</f>
        <v/>
      </c>
      <c r="X453">
        <f>HYPERLINK("https://klasma.github.io/Logging_0115/tillsyn/A 38553-2023 tillsynsbegäran.docx", "A 38553-2023")</f>
        <v/>
      </c>
      <c r="Y453">
        <f>HYPERLINK("https://klasma.github.io/Logging_0115/tillsynsmail/A 38553-2023 tillsynsbegäran mail.docx", "A 38553-2023")</f>
        <v/>
      </c>
    </row>
    <row r="454" ht="15" customHeight="1">
      <c r="A454" t="inlineStr">
        <is>
          <t>A 39255-2023</t>
        </is>
      </c>
      <c r="B454" s="1" t="n">
        <v>45166</v>
      </c>
      <c r="C454" s="1" t="n">
        <v>45350</v>
      </c>
      <c r="D454" t="inlineStr">
        <is>
          <t>STOCKHOLMS LÄN</t>
        </is>
      </c>
      <c r="E454" t="inlineStr">
        <is>
          <t>NORRTÄLJE</t>
        </is>
      </c>
      <c r="G454" t="n">
        <v>14.2</v>
      </c>
      <c r="H454" t="n">
        <v>1</v>
      </c>
      <c r="I454" t="n">
        <v>0</v>
      </c>
      <c r="J454" t="n">
        <v>0</v>
      </c>
      <c r="K454" t="n">
        <v>0</v>
      </c>
      <c r="L454" t="n">
        <v>0</v>
      </c>
      <c r="M454" t="n">
        <v>0</v>
      </c>
      <c r="N454" t="n">
        <v>0</v>
      </c>
      <c r="O454" t="n">
        <v>0</v>
      </c>
      <c r="P454" t="n">
        <v>0</v>
      </c>
      <c r="Q454" t="n">
        <v>1</v>
      </c>
      <c r="R454" s="2" t="inlineStr">
        <is>
          <t>Lopplummer</t>
        </is>
      </c>
      <c r="S454">
        <f>HYPERLINK("https://klasma.github.io/Logging_0188/artfynd/A 39255-2023 artfynd.xlsx", "A 39255-2023")</f>
        <v/>
      </c>
      <c r="T454">
        <f>HYPERLINK("https://klasma.github.io/Logging_0188/kartor/A 39255-2023 karta.png", "A 39255-2023")</f>
        <v/>
      </c>
      <c r="V454">
        <f>HYPERLINK("https://klasma.github.io/Logging_0188/klagomål/A 39255-2023 FSC-klagomål.docx", "A 39255-2023")</f>
        <v/>
      </c>
      <c r="W454">
        <f>HYPERLINK("https://klasma.github.io/Logging_0188/klagomålsmail/A 39255-2023 FSC-klagomål mail.docx", "A 39255-2023")</f>
        <v/>
      </c>
      <c r="X454">
        <f>HYPERLINK("https://klasma.github.io/Logging_0188/tillsyn/A 39255-2023 tillsynsbegäran.docx", "A 39255-2023")</f>
        <v/>
      </c>
      <c r="Y454">
        <f>HYPERLINK("https://klasma.github.io/Logging_0188/tillsynsmail/A 39255-2023 tillsynsbegäran mail.docx", "A 39255-2023")</f>
        <v/>
      </c>
    </row>
    <row r="455" ht="15" customHeight="1">
      <c r="A455" t="inlineStr">
        <is>
          <t>A 39716-2023</t>
        </is>
      </c>
      <c r="B455" s="1" t="n">
        <v>45166</v>
      </c>
      <c r="C455" s="1" t="n">
        <v>45350</v>
      </c>
      <c r="D455" t="inlineStr">
        <is>
          <t>STOCKHOLMS LÄN</t>
        </is>
      </c>
      <c r="E455" t="inlineStr">
        <is>
          <t>SIGTUNA</t>
        </is>
      </c>
      <c r="G455" t="n">
        <v>3.5</v>
      </c>
      <c r="H455" t="n">
        <v>1</v>
      </c>
      <c r="I455" t="n">
        <v>0</v>
      </c>
      <c r="J455" t="n">
        <v>1</v>
      </c>
      <c r="K455" t="n">
        <v>0</v>
      </c>
      <c r="L455" t="n">
        <v>0</v>
      </c>
      <c r="M455" t="n">
        <v>0</v>
      </c>
      <c r="N455" t="n">
        <v>0</v>
      </c>
      <c r="O455" t="n">
        <v>1</v>
      </c>
      <c r="P455" t="n">
        <v>0</v>
      </c>
      <c r="Q455" t="n">
        <v>1</v>
      </c>
      <c r="R455" s="2" t="inlineStr">
        <is>
          <t>Hornuggla</t>
        </is>
      </c>
      <c r="S455">
        <f>HYPERLINK("https://klasma.github.io/Logging_0191/artfynd/A 39716-2023 artfynd.xlsx", "A 39716-2023")</f>
        <v/>
      </c>
      <c r="T455">
        <f>HYPERLINK("https://klasma.github.io/Logging_0191/kartor/A 39716-2023 karta.png", "A 39716-2023")</f>
        <v/>
      </c>
      <c r="V455">
        <f>HYPERLINK("https://klasma.github.io/Logging_0191/klagomål/A 39716-2023 FSC-klagomål.docx", "A 39716-2023")</f>
        <v/>
      </c>
      <c r="W455">
        <f>HYPERLINK("https://klasma.github.io/Logging_0191/klagomålsmail/A 39716-2023 FSC-klagomål mail.docx", "A 39716-2023")</f>
        <v/>
      </c>
      <c r="X455">
        <f>HYPERLINK("https://klasma.github.io/Logging_0191/tillsyn/A 39716-2023 tillsynsbegäran.docx", "A 39716-2023")</f>
        <v/>
      </c>
      <c r="Y455">
        <f>HYPERLINK("https://klasma.github.io/Logging_0191/tillsynsmail/A 39716-2023 tillsynsbegäran mail.docx", "A 39716-2023")</f>
        <v/>
      </c>
    </row>
    <row r="456" ht="15" customHeight="1">
      <c r="A456" t="inlineStr">
        <is>
          <t>A 43178-2023</t>
        </is>
      </c>
      <c r="B456" s="1" t="n">
        <v>45183</v>
      </c>
      <c r="C456" s="1" t="n">
        <v>45350</v>
      </c>
      <c r="D456" t="inlineStr">
        <is>
          <t>STOCKHOLMS LÄN</t>
        </is>
      </c>
      <c r="E456" t="inlineStr">
        <is>
          <t>NORRTÄLJE</t>
        </is>
      </c>
      <c r="F456" t="inlineStr">
        <is>
          <t>Kyrkan</t>
        </is>
      </c>
      <c r="G456" t="n">
        <v>1.5</v>
      </c>
      <c r="H456" t="n">
        <v>0</v>
      </c>
      <c r="I456" t="n">
        <v>0</v>
      </c>
      <c r="J456" t="n">
        <v>1</v>
      </c>
      <c r="K456" t="n">
        <v>0</v>
      </c>
      <c r="L456" t="n">
        <v>0</v>
      </c>
      <c r="M456" t="n">
        <v>0</v>
      </c>
      <c r="N456" t="n">
        <v>0</v>
      </c>
      <c r="O456" t="n">
        <v>1</v>
      </c>
      <c r="P456" t="n">
        <v>0</v>
      </c>
      <c r="Q456" t="n">
        <v>1</v>
      </c>
      <c r="R456" s="2" t="inlineStr">
        <is>
          <t>Mindre bastardsvärmare</t>
        </is>
      </c>
      <c r="S456">
        <f>HYPERLINK("https://klasma.github.io/Logging_0188/artfynd/A 43178-2023 artfynd.xlsx", "A 43178-2023")</f>
        <v/>
      </c>
      <c r="T456">
        <f>HYPERLINK("https://klasma.github.io/Logging_0188/kartor/A 43178-2023 karta.png", "A 43178-2023")</f>
        <v/>
      </c>
      <c r="V456">
        <f>HYPERLINK("https://klasma.github.io/Logging_0188/klagomål/A 43178-2023 FSC-klagomål.docx", "A 43178-2023")</f>
        <v/>
      </c>
      <c r="W456">
        <f>HYPERLINK("https://klasma.github.io/Logging_0188/klagomålsmail/A 43178-2023 FSC-klagomål mail.docx", "A 43178-2023")</f>
        <v/>
      </c>
      <c r="X456">
        <f>HYPERLINK("https://klasma.github.io/Logging_0188/tillsyn/A 43178-2023 tillsynsbegäran.docx", "A 43178-2023")</f>
        <v/>
      </c>
      <c r="Y456">
        <f>HYPERLINK("https://klasma.github.io/Logging_0188/tillsynsmail/A 43178-2023 tillsynsbegäran mail.docx", "A 43178-2023")</f>
        <v/>
      </c>
    </row>
    <row r="457" ht="15" customHeight="1">
      <c r="A457" t="inlineStr">
        <is>
          <t>A 43171-2023</t>
        </is>
      </c>
      <c r="B457" s="1" t="n">
        <v>45183</v>
      </c>
      <c r="C457" s="1" t="n">
        <v>45350</v>
      </c>
      <c r="D457" t="inlineStr">
        <is>
          <t>STOCKHOLMS LÄN</t>
        </is>
      </c>
      <c r="E457" t="inlineStr">
        <is>
          <t>NORRTÄLJE</t>
        </is>
      </c>
      <c r="F457" t="inlineStr">
        <is>
          <t>Kyrkan</t>
        </is>
      </c>
      <c r="G457" t="n">
        <v>1.3</v>
      </c>
      <c r="H457" t="n">
        <v>0</v>
      </c>
      <c r="I457" t="n">
        <v>0</v>
      </c>
      <c r="J457" t="n">
        <v>0</v>
      </c>
      <c r="K457" t="n">
        <v>0</v>
      </c>
      <c r="L457" t="n">
        <v>1</v>
      </c>
      <c r="M457" t="n">
        <v>0</v>
      </c>
      <c r="N457" t="n">
        <v>0</v>
      </c>
      <c r="O457" t="n">
        <v>1</v>
      </c>
      <c r="P457" t="n">
        <v>1</v>
      </c>
      <c r="Q457" t="n">
        <v>1</v>
      </c>
      <c r="R457" s="2" t="inlineStr">
        <is>
          <t>Ryl</t>
        </is>
      </c>
      <c r="S457">
        <f>HYPERLINK("https://klasma.github.io/Logging_0188/artfynd/A 43171-2023 artfynd.xlsx", "A 43171-2023")</f>
        <v/>
      </c>
      <c r="T457">
        <f>HYPERLINK("https://klasma.github.io/Logging_0188/kartor/A 43171-2023 karta.png", "A 43171-2023")</f>
        <v/>
      </c>
      <c r="U457">
        <f>HYPERLINK("https://klasma.github.io/Logging_0188/knärot/A 43171-2023 karta knärot.png", "A 43171-2023")</f>
        <v/>
      </c>
      <c r="V457">
        <f>HYPERLINK("https://klasma.github.io/Logging_0188/klagomål/A 43171-2023 FSC-klagomål.docx", "A 43171-2023")</f>
        <v/>
      </c>
      <c r="W457">
        <f>HYPERLINK("https://klasma.github.io/Logging_0188/klagomålsmail/A 43171-2023 FSC-klagomål mail.docx", "A 43171-2023")</f>
        <v/>
      </c>
      <c r="X457">
        <f>HYPERLINK("https://klasma.github.io/Logging_0188/tillsyn/A 43171-2023 tillsynsbegäran.docx", "A 43171-2023")</f>
        <v/>
      </c>
      <c r="Y457">
        <f>HYPERLINK("https://klasma.github.io/Logging_0188/tillsynsmail/A 43171-2023 tillsynsbegäran mail.docx", "A 43171-2023")</f>
        <v/>
      </c>
    </row>
    <row r="458" ht="15" customHeight="1">
      <c r="A458" t="inlineStr">
        <is>
          <t>A 43350-2023</t>
        </is>
      </c>
      <c r="B458" s="1" t="n">
        <v>45183</v>
      </c>
      <c r="C458" s="1" t="n">
        <v>45350</v>
      </c>
      <c r="D458" t="inlineStr">
        <is>
          <t>STOCKHOLMS LÄN</t>
        </is>
      </c>
      <c r="E458" t="inlineStr">
        <is>
          <t>NORRTÄLJE</t>
        </is>
      </c>
      <c r="F458" t="inlineStr">
        <is>
          <t>Holmen skog AB</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HYPERLINK("https://klasma.github.io/Logging_0188/artfynd/A 43350-2023 artfynd.xlsx", "A 43350-2023")</f>
        <v/>
      </c>
      <c r="T458">
        <f>HYPERLINK("https://klasma.github.io/Logging_0188/kartor/A 43350-2023 karta.png", "A 43350-2023")</f>
        <v/>
      </c>
      <c r="V458">
        <f>HYPERLINK("https://klasma.github.io/Logging_0188/klagomål/A 43350-2023 FSC-klagomål.docx", "A 43350-2023")</f>
        <v/>
      </c>
      <c r="W458">
        <f>HYPERLINK("https://klasma.github.io/Logging_0188/klagomålsmail/A 43350-2023 FSC-klagomål mail.docx", "A 43350-2023")</f>
        <v/>
      </c>
      <c r="X458">
        <f>HYPERLINK("https://klasma.github.io/Logging_0188/tillsyn/A 43350-2023 tillsynsbegäran.docx", "A 43350-2023")</f>
        <v/>
      </c>
      <c r="Y458">
        <f>HYPERLINK("https://klasma.github.io/Logging_0188/tillsynsmail/A 43350-2023 tillsynsbegäran mail.docx", "A 43350-2023")</f>
        <v/>
      </c>
    </row>
    <row r="459" ht="15" customHeight="1">
      <c r="A459" t="inlineStr">
        <is>
          <t>A 43354-2023</t>
        </is>
      </c>
      <c r="B459" s="1" t="n">
        <v>45183</v>
      </c>
      <c r="C459" s="1" t="n">
        <v>45350</v>
      </c>
      <c r="D459" t="inlineStr">
        <is>
          <t>STOCKHOLMS LÄN</t>
        </is>
      </c>
      <c r="E459" t="inlineStr">
        <is>
          <t>NORRTÄLJE</t>
        </is>
      </c>
      <c r="F459" t="inlineStr">
        <is>
          <t>Holmen skog AB</t>
        </is>
      </c>
      <c r="G459" t="n">
        <v>9.9</v>
      </c>
      <c r="H459" t="n">
        <v>0</v>
      </c>
      <c r="I459" t="n">
        <v>1</v>
      </c>
      <c r="J459" t="n">
        <v>0</v>
      </c>
      <c r="K459" t="n">
        <v>0</v>
      </c>
      <c r="L459" t="n">
        <v>0</v>
      </c>
      <c r="M459" t="n">
        <v>0</v>
      </c>
      <c r="N459" t="n">
        <v>0</v>
      </c>
      <c r="O459" t="n">
        <v>0</v>
      </c>
      <c r="P459" t="n">
        <v>0</v>
      </c>
      <c r="Q459" t="n">
        <v>1</v>
      </c>
      <c r="R459" s="2" t="inlineStr">
        <is>
          <t>Tibast</t>
        </is>
      </c>
      <c r="S459">
        <f>HYPERLINK("https://klasma.github.io/Logging_0188/artfynd/A 43354-2023 artfynd.xlsx", "A 43354-2023")</f>
        <v/>
      </c>
      <c r="T459">
        <f>HYPERLINK("https://klasma.github.io/Logging_0188/kartor/A 43354-2023 karta.png", "A 43354-2023")</f>
        <v/>
      </c>
      <c r="V459">
        <f>HYPERLINK("https://klasma.github.io/Logging_0188/klagomål/A 43354-2023 FSC-klagomål.docx", "A 43354-2023")</f>
        <v/>
      </c>
      <c r="W459">
        <f>HYPERLINK("https://klasma.github.io/Logging_0188/klagomålsmail/A 43354-2023 FSC-klagomål mail.docx", "A 43354-2023")</f>
        <v/>
      </c>
      <c r="X459">
        <f>HYPERLINK("https://klasma.github.io/Logging_0188/tillsyn/A 43354-2023 tillsynsbegäran.docx", "A 43354-2023")</f>
        <v/>
      </c>
      <c r="Y459">
        <f>HYPERLINK("https://klasma.github.io/Logging_0188/tillsynsmail/A 43354-2023 tillsynsbegäran mail.docx", "A 43354-2023")</f>
        <v/>
      </c>
    </row>
    <row r="460" ht="15" customHeight="1">
      <c r="A460" t="inlineStr">
        <is>
          <t>A 45172-2023</t>
        </is>
      </c>
      <c r="B460" s="1" t="n">
        <v>45191</v>
      </c>
      <c r="C460" s="1" t="n">
        <v>45350</v>
      </c>
      <c r="D460" t="inlineStr">
        <is>
          <t>STOCKHOLMS LÄN</t>
        </is>
      </c>
      <c r="E460" t="inlineStr">
        <is>
          <t>NORRTÄLJE</t>
        </is>
      </c>
      <c r="F460" t="inlineStr">
        <is>
          <t>Sveaskog</t>
        </is>
      </c>
      <c r="G460" t="n">
        <v>3.8</v>
      </c>
      <c r="H460" t="n">
        <v>1</v>
      </c>
      <c r="I460" t="n">
        <v>0</v>
      </c>
      <c r="J460" t="n">
        <v>1</v>
      </c>
      <c r="K460" t="n">
        <v>0</v>
      </c>
      <c r="L460" t="n">
        <v>0</v>
      </c>
      <c r="M460" t="n">
        <v>0</v>
      </c>
      <c r="N460" t="n">
        <v>0</v>
      </c>
      <c r="O460" t="n">
        <v>1</v>
      </c>
      <c r="P460" t="n">
        <v>0</v>
      </c>
      <c r="Q460" t="n">
        <v>1</v>
      </c>
      <c r="R460" s="2" t="inlineStr">
        <is>
          <t>Slaguggla</t>
        </is>
      </c>
      <c r="S460">
        <f>HYPERLINK("https://klasma.github.io/Logging_0188/artfynd/A 45172-2023 artfynd.xlsx", "A 45172-2023")</f>
        <v/>
      </c>
      <c r="T460">
        <f>HYPERLINK("https://klasma.github.io/Logging_0188/kartor/A 45172-2023 karta.png", "A 45172-2023")</f>
        <v/>
      </c>
      <c r="V460">
        <f>HYPERLINK("https://klasma.github.io/Logging_0188/klagomål/A 45172-2023 FSC-klagomål.docx", "A 45172-2023")</f>
        <v/>
      </c>
      <c r="W460">
        <f>HYPERLINK("https://klasma.github.io/Logging_0188/klagomålsmail/A 45172-2023 FSC-klagomål mail.docx", "A 45172-2023")</f>
        <v/>
      </c>
      <c r="X460">
        <f>HYPERLINK("https://klasma.github.io/Logging_0188/tillsyn/A 45172-2023 tillsynsbegäran.docx", "A 45172-2023")</f>
        <v/>
      </c>
      <c r="Y460">
        <f>HYPERLINK("https://klasma.github.io/Logging_0188/tillsynsmail/A 45172-2023 tillsynsbegäran mail.docx", "A 45172-2023")</f>
        <v/>
      </c>
      <c r="Z460">
        <f>HYPERLINK("https://klasma.github.io/Logging_0188/fåglar/A 45172-2023 prioriterade fågelarter.docx", "A 45172-2023")</f>
        <v/>
      </c>
    </row>
    <row r="461" ht="15" customHeight="1">
      <c r="A461" t="inlineStr">
        <is>
          <t>A 46004-2023</t>
        </is>
      </c>
      <c r="B461" s="1" t="n">
        <v>45196</v>
      </c>
      <c r="C461" s="1" t="n">
        <v>45350</v>
      </c>
      <c r="D461" t="inlineStr">
        <is>
          <t>STOCKHOLMS LÄN</t>
        </is>
      </c>
      <c r="E461" t="inlineStr">
        <is>
          <t>VÄRMDÖ</t>
        </is>
      </c>
      <c r="G461" t="n">
        <v>12.3</v>
      </c>
      <c r="H461" t="n">
        <v>0</v>
      </c>
      <c r="I461" t="n">
        <v>1</v>
      </c>
      <c r="J461" t="n">
        <v>0</v>
      </c>
      <c r="K461" t="n">
        <v>0</v>
      </c>
      <c r="L461" t="n">
        <v>0</v>
      </c>
      <c r="M461" t="n">
        <v>0</v>
      </c>
      <c r="N461" t="n">
        <v>0</v>
      </c>
      <c r="O461" t="n">
        <v>0</v>
      </c>
      <c r="P461" t="n">
        <v>0</v>
      </c>
      <c r="Q461" t="n">
        <v>1</v>
      </c>
      <c r="R461" s="2" t="inlineStr">
        <is>
          <t>Sårläka</t>
        </is>
      </c>
      <c r="S461">
        <f>HYPERLINK("https://klasma.github.io/Logging_0120/artfynd/A 46004-2023 artfynd.xlsx", "A 46004-2023")</f>
        <v/>
      </c>
      <c r="T461">
        <f>HYPERLINK("https://klasma.github.io/Logging_0120/kartor/A 46004-2023 karta.png", "A 46004-2023")</f>
        <v/>
      </c>
      <c r="V461">
        <f>HYPERLINK("https://klasma.github.io/Logging_0120/klagomål/A 46004-2023 FSC-klagomål.docx", "A 46004-2023")</f>
        <v/>
      </c>
      <c r="W461">
        <f>HYPERLINK("https://klasma.github.io/Logging_0120/klagomålsmail/A 46004-2023 FSC-klagomål mail.docx", "A 46004-2023")</f>
        <v/>
      </c>
      <c r="X461">
        <f>HYPERLINK("https://klasma.github.io/Logging_0120/tillsyn/A 46004-2023 tillsynsbegäran.docx", "A 46004-2023")</f>
        <v/>
      </c>
      <c r="Y461">
        <f>HYPERLINK("https://klasma.github.io/Logging_0120/tillsynsmail/A 46004-2023 tillsynsbegäran mail.docx", "A 46004-2023")</f>
        <v/>
      </c>
    </row>
    <row r="462" ht="15" customHeight="1">
      <c r="A462" t="inlineStr">
        <is>
          <t>A 47110-2023</t>
        </is>
      </c>
      <c r="B462" s="1" t="n">
        <v>45196</v>
      </c>
      <c r="C462" s="1" t="n">
        <v>45350</v>
      </c>
      <c r="D462" t="inlineStr">
        <is>
          <t>STOCKHOLMS LÄN</t>
        </is>
      </c>
      <c r="E462" t="inlineStr">
        <is>
          <t>NYNÄSHAMN</t>
        </is>
      </c>
      <c r="G462" t="n">
        <v>0.9</v>
      </c>
      <c r="H462" t="n">
        <v>0</v>
      </c>
      <c r="I462" t="n">
        <v>0</v>
      </c>
      <c r="J462" t="n">
        <v>1</v>
      </c>
      <c r="K462" t="n">
        <v>0</v>
      </c>
      <c r="L462" t="n">
        <v>0</v>
      </c>
      <c r="M462" t="n">
        <v>0</v>
      </c>
      <c r="N462" t="n">
        <v>0</v>
      </c>
      <c r="O462" t="n">
        <v>1</v>
      </c>
      <c r="P462" t="n">
        <v>0</v>
      </c>
      <c r="Q462" t="n">
        <v>1</v>
      </c>
      <c r="R462" s="2" t="inlineStr">
        <is>
          <t>Barrviolspindling</t>
        </is>
      </c>
      <c r="S462">
        <f>HYPERLINK("https://klasma.github.io/Logging_0192/artfynd/A 47110-2023 artfynd.xlsx", "A 47110-2023")</f>
        <v/>
      </c>
      <c r="T462">
        <f>HYPERLINK("https://klasma.github.io/Logging_0192/kartor/A 47110-2023 karta.png", "A 47110-2023")</f>
        <v/>
      </c>
      <c r="V462">
        <f>HYPERLINK("https://klasma.github.io/Logging_0192/klagomål/A 47110-2023 FSC-klagomål.docx", "A 47110-2023")</f>
        <v/>
      </c>
      <c r="W462">
        <f>HYPERLINK("https://klasma.github.io/Logging_0192/klagomålsmail/A 47110-2023 FSC-klagomål mail.docx", "A 47110-2023")</f>
        <v/>
      </c>
      <c r="X462">
        <f>HYPERLINK("https://klasma.github.io/Logging_0192/tillsyn/A 47110-2023 tillsynsbegäran.docx", "A 47110-2023")</f>
        <v/>
      </c>
      <c r="Y462">
        <f>HYPERLINK("https://klasma.github.io/Logging_0192/tillsynsmail/A 47110-2023 tillsynsbegäran mail.docx", "A 47110-2023")</f>
        <v/>
      </c>
    </row>
    <row r="463" ht="15" customHeight="1">
      <c r="A463" t="inlineStr">
        <is>
          <t>A 47711-2023</t>
        </is>
      </c>
      <c r="B463" s="1" t="n">
        <v>45198</v>
      </c>
      <c r="C463" s="1" t="n">
        <v>45350</v>
      </c>
      <c r="D463" t="inlineStr">
        <is>
          <t>STOCKHOLMS LÄN</t>
        </is>
      </c>
      <c r="E463" t="inlineStr">
        <is>
          <t>SÖDERTÄLJE</t>
        </is>
      </c>
      <c r="G463" t="n">
        <v>4.4</v>
      </c>
      <c r="H463" t="n">
        <v>1</v>
      </c>
      <c r="I463" t="n">
        <v>0</v>
      </c>
      <c r="J463" t="n">
        <v>0</v>
      </c>
      <c r="K463" t="n">
        <v>0</v>
      </c>
      <c r="L463" t="n">
        <v>0</v>
      </c>
      <c r="M463" t="n">
        <v>0</v>
      </c>
      <c r="N463" t="n">
        <v>0</v>
      </c>
      <c r="O463" t="n">
        <v>0</v>
      </c>
      <c r="P463" t="n">
        <v>0</v>
      </c>
      <c r="Q463" t="n">
        <v>1</v>
      </c>
      <c r="R463" s="2" t="inlineStr">
        <is>
          <t>Blåsippa</t>
        </is>
      </c>
      <c r="S463">
        <f>HYPERLINK("https://klasma.github.io/Logging_0181/artfynd/A 47711-2023 artfynd.xlsx", "A 47711-2023")</f>
        <v/>
      </c>
      <c r="T463">
        <f>HYPERLINK("https://klasma.github.io/Logging_0181/kartor/A 47711-2023 karta.png", "A 47711-2023")</f>
        <v/>
      </c>
      <c r="V463">
        <f>HYPERLINK("https://klasma.github.io/Logging_0181/klagomål/A 47711-2023 FSC-klagomål.docx", "A 47711-2023")</f>
        <v/>
      </c>
      <c r="W463">
        <f>HYPERLINK("https://klasma.github.io/Logging_0181/klagomålsmail/A 47711-2023 FSC-klagomål mail.docx", "A 47711-2023")</f>
        <v/>
      </c>
      <c r="X463">
        <f>HYPERLINK("https://klasma.github.io/Logging_0181/tillsyn/A 47711-2023 tillsynsbegäran.docx", "A 47711-2023")</f>
        <v/>
      </c>
      <c r="Y463">
        <f>HYPERLINK("https://klasma.github.io/Logging_0181/tillsynsmail/A 47711-2023 tillsynsbegäran mail.docx", "A 47711-2023")</f>
        <v/>
      </c>
    </row>
    <row r="464" ht="15" customHeight="1">
      <c r="A464" t="inlineStr">
        <is>
          <t>A 48131-2023</t>
        </is>
      </c>
      <c r="B464" s="1" t="n">
        <v>45205</v>
      </c>
      <c r="C464" s="1" t="n">
        <v>45350</v>
      </c>
      <c r="D464" t="inlineStr">
        <is>
          <t>STOCKHOLMS LÄN</t>
        </is>
      </c>
      <c r="E464" t="inlineStr">
        <is>
          <t>NORRTÄLJE</t>
        </is>
      </c>
      <c r="G464" t="n">
        <v>2.3</v>
      </c>
      <c r="H464" t="n">
        <v>0</v>
      </c>
      <c r="I464" t="n">
        <v>0</v>
      </c>
      <c r="J464" t="n">
        <v>1</v>
      </c>
      <c r="K464" t="n">
        <v>0</v>
      </c>
      <c r="L464" t="n">
        <v>0</v>
      </c>
      <c r="M464" t="n">
        <v>0</v>
      </c>
      <c r="N464" t="n">
        <v>0</v>
      </c>
      <c r="O464" t="n">
        <v>1</v>
      </c>
      <c r="P464" t="n">
        <v>0</v>
      </c>
      <c r="Q464" t="n">
        <v>1</v>
      </c>
      <c r="R464" s="2" t="inlineStr">
        <is>
          <t>Slåtterfibbla</t>
        </is>
      </c>
      <c r="S464">
        <f>HYPERLINK("https://klasma.github.io/Logging_0188/artfynd/A 48131-2023 artfynd.xlsx", "A 48131-2023")</f>
        <v/>
      </c>
      <c r="T464">
        <f>HYPERLINK("https://klasma.github.io/Logging_0188/kartor/A 48131-2023 karta.png", "A 48131-2023")</f>
        <v/>
      </c>
      <c r="V464">
        <f>HYPERLINK("https://klasma.github.io/Logging_0188/klagomål/A 48131-2023 FSC-klagomål.docx", "A 48131-2023")</f>
        <v/>
      </c>
      <c r="W464">
        <f>HYPERLINK("https://klasma.github.io/Logging_0188/klagomålsmail/A 48131-2023 FSC-klagomål mail.docx", "A 48131-2023")</f>
        <v/>
      </c>
      <c r="X464">
        <f>HYPERLINK("https://klasma.github.io/Logging_0188/tillsyn/A 48131-2023 tillsynsbegäran.docx", "A 48131-2023")</f>
        <v/>
      </c>
      <c r="Y464">
        <f>HYPERLINK("https://klasma.github.io/Logging_0188/tillsynsmail/A 48131-2023 tillsynsbegäran mail.docx", "A 48131-2023")</f>
        <v/>
      </c>
    </row>
    <row r="465" ht="15" customHeight="1">
      <c r="A465" t="inlineStr">
        <is>
          <t>A 51695-2023</t>
        </is>
      </c>
      <c r="B465" s="1" t="n">
        <v>45222</v>
      </c>
      <c r="C465" s="1" t="n">
        <v>45350</v>
      </c>
      <c r="D465" t="inlineStr">
        <is>
          <t>STOCKHOLMS LÄN</t>
        </is>
      </c>
      <c r="E465" t="inlineStr">
        <is>
          <t>NORRTÄLJE</t>
        </is>
      </c>
      <c r="G465" t="n">
        <v>4.9</v>
      </c>
      <c r="H465" t="n">
        <v>0</v>
      </c>
      <c r="I465" t="n">
        <v>1</v>
      </c>
      <c r="J465" t="n">
        <v>0</v>
      </c>
      <c r="K465" t="n">
        <v>0</v>
      </c>
      <c r="L465" t="n">
        <v>0</v>
      </c>
      <c r="M465" t="n">
        <v>0</v>
      </c>
      <c r="N465" t="n">
        <v>0</v>
      </c>
      <c r="O465" t="n">
        <v>0</v>
      </c>
      <c r="P465" t="n">
        <v>0</v>
      </c>
      <c r="Q465" t="n">
        <v>1</v>
      </c>
      <c r="R465" s="2" t="inlineStr">
        <is>
          <t>Fjällig taggsvamp s.str.</t>
        </is>
      </c>
      <c r="S465">
        <f>HYPERLINK("https://klasma.github.io/Logging_0188/artfynd/A 51695-2023 artfynd.xlsx", "A 51695-2023")</f>
        <v/>
      </c>
      <c r="T465">
        <f>HYPERLINK("https://klasma.github.io/Logging_0188/kartor/A 51695-2023 karta.png", "A 51695-2023")</f>
        <v/>
      </c>
      <c r="V465">
        <f>HYPERLINK("https://klasma.github.io/Logging_0188/klagomål/A 51695-2023 FSC-klagomål.docx", "A 51695-2023")</f>
        <v/>
      </c>
      <c r="W465">
        <f>HYPERLINK("https://klasma.github.io/Logging_0188/klagomålsmail/A 51695-2023 FSC-klagomål mail.docx", "A 51695-2023")</f>
        <v/>
      </c>
      <c r="X465">
        <f>HYPERLINK("https://klasma.github.io/Logging_0188/tillsyn/A 51695-2023 tillsynsbegäran.docx", "A 51695-2023")</f>
        <v/>
      </c>
      <c r="Y465">
        <f>HYPERLINK("https://klasma.github.io/Logging_0188/tillsynsmail/A 51695-2023 tillsynsbegäran mail.docx", "A 51695-2023")</f>
        <v/>
      </c>
    </row>
    <row r="466" ht="15" customHeight="1">
      <c r="A466" t="inlineStr">
        <is>
          <t>A 51909-2023</t>
        </is>
      </c>
      <c r="B466" s="1" t="n">
        <v>45223</v>
      </c>
      <c r="C466" s="1" t="n">
        <v>45350</v>
      </c>
      <c r="D466" t="inlineStr">
        <is>
          <t>STOCKHOLMS LÄN</t>
        </is>
      </c>
      <c r="E466" t="inlineStr">
        <is>
          <t>NORRTÄLJE</t>
        </is>
      </c>
      <c r="G466" t="n">
        <v>8.1</v>
      </c>
      <c r="H466" t="n">
        <v>1</v>
      </c>
      <c r="I466" t="n">
        <v>1</v>
      </c>
      <c r="J466" t="n">
        <v>0</v>
      </c>
      <c r="K466" t="n">
        <v>0</v>
      </c>
      <c r="L466" t="n">
        <v>0</v>
      </c>
      <c r="M466" t="n">
        <v>0</v>
      </c>
      <c r="N466" t="n">
        <v>0</v>
      </c>
      <c r="O466" t="n">
        <v>0</v>
      </c>
      <c r="P466" t="n">
        <v>0</v>
      </c>
      <c r="Q466" t="n">
        <v>1</v>
      </c>
      <c r="R466" s="2" t="inlineStr">
        <is>
          <t>Skogsknipprot</t>
        </is>
      </c>
      <c r="S466">
        <f>HYPERLINK("https://klasma.github.io/Logging_0188/artfynd/A 51909-2023 artfynd.xlsx", "A 51909-2023")</f>
        <v/>
      </c>
      <c r="T466">
        <f>HYPERLINK("https://klasma.github.io/Logging_0188/kartor/A 51909-2023 karta.png", "A 51909-2023")</f>
        <v/>
      </c>
      <c r="V466">
        <f>HYPERLINK("https://klasma.github.io/Logging_0188/klagomål/A 51909-2023 FSC-klagomål.docx", "A 51909-2023")</f>
        <v/>
      </c>
      <c r="W466">
        <f>HYPERLINK("https://klasma.github.io/Logging_0188/klagomålsmail/A 51909-2023 FSC-klagomål mail.docx", "A 51909-2023")</f>
        <v/>
      </c>
      <c r="X466">
        <f>HYPERLINK("https://klasma.github.io/Logging_0188/tillsyn/A 51909-2023 tillsynsbegäran.docx", "A 51909-2023")</f>
        <v/>
      </c>
      <c r="Y466">
        <f>HYPERLINK("https://klasma.github.io/Logging_0188/tillsynsmail/A 51909-2023 tillsynsbegäran mail.docx", "A 51909-2023")</f>
        <v/>
      </c>
    </row>
    <row r="467" ht="15" customHeight="1">
      <c r="A467" t="inlineStr">
        <is>
          <t>A 52508-2023</t>
        </is>
      </c>
      <c r="B467" s="1" t="n">
        <v>45225</v>
      </c>
      <c r="C467" s="1" t="n">
        <v>45350</v>
      </c>
      <c r="D467" t="inlineStr">
        <is>
          <t>STOCKHOLMS LÄN</t>
        </is>
      </c>
      <c r="E467" t="inlineStr">
        <is>
          <t>NORRTÄLJE</t>
        </is>
      </c>
      <c r="G467" t="n">
        <v>19.7</v>
      </c>
      <c r="H467" t="n">
        <v>1</v>
      </c>
      <c r="I467" t="n">
        <v>0</v>
      </c>
      <c r="J467" t="n">
        <v>0</v>
      </c>
      <c r="K467" t="n">
        <v>1</v>
      </c>
      <c r="L467" t="n">
        <v>0</v>
      </c>
      <c r="M467" t="n">
        <v>0</v>
      </c>
      <c r="N467" t="n">
        <v>0</v>
      </c>
      <c r="O467" t="n">
        <v>1</v>
      </c>
      <c r="P467" t="n">
        <v>1</v>
      </c>
      <c r="Q467" t="n">
        <v>1</v>
      </c>
      <c r="R467" s="2" t="inlineStr">
        <is>
          <t>Svärta</t>
        </is>
      </c>
      <c r="S467">
        <f>HYPERLINK("https://klasma.github.io/Logging_0188/artfynd/A 52508-2023 artfynd.xlsx", "A 52508-2023")</f>
        <v/>
      </c>
      <c r="T467">
        <f>HYPERLINK("https://klasma.github.io/Logging_0188/kartor/A 52508-2023 karta.png", "A 52508-2023")</f>
        <v/>
      </c>
      <c r="V467">
        <f>HYPERLINK("https://klasma.github.io/Logging_0188/klagomål/A 52508-2023 FSC-klagomål.docx", "A 52508-2023")</f>
        <v/>
      </c>
      <c r="W467">
        <f>HYPERLINK("https://klasma.github.io/Logging_0188/klagomålsmail/A 52508-2023 FSC-klagomål mail.docx", "A 52508-2023")</f>
        <v/>
      </c>
      <c r="X467">
        <f>HYPERLINK("https://klasma.github.io/Logging_0188/tillsyn/A 52508-2023 tillsynsbegäran.docx", "A 52508-2023")</f>
        <v/>
      </c>
      <c r="Y467">
        <f>HYPERLINK("https://klasma.github.io/Logging_0188/tillsynsmail/A 52508-2023 tillsynsbegäran mail.docx", "A 52508-2023")</f>
        <v/>
      </c>
    </row>
    <row r="468" ht="15" customHeight="1">
      <c r="A468" t="inlineStr">
        <is>
          <t>A 55767-2023</t>
        </is>
      </c>
      <c r="B468" s="1" t="n">
        <v>45239</v>
      </c>
      <c r="C468" s="1" t="n">
        <v>45350</v>
      </c>
      <c r="D468" t="inlineStr">
        <is>
          <t>STOCKHOLMS LÄN</t>
        </is>
      </c>
      <c r="E468" t="inlineStr">
        <is>
          <t>NORRTÄLJE</t>
        </is>
      </c>
      <c r="G468" t="n">
        <v>3.7</v>
      </c>
      <c r="H468" t="n">
        <v>0</v>
      </c>
      <c r="I468" t="n">
        <v>1</v>
      </c>
      <c r="J468" t="n">
        <v>0</v>
      </c>
      <c r="K468" t="n">
        <v>0</v>
      </c>
      <c r="L468" t="n">
        <v>0</v>
      </c>
      <c r="M468" t="n">
        <v>0</v>
      </c>
      <c r="N468" t="n">
        <v>0</v>
      </c>
      <c r="O468" t="n">
        <v>0</v>
      </c>
      <c r="P468" t="n">
        <v>0</v>
      </c>
      <c r="Q468" t="n">
        <v>1</v>
      </c>
      <c r="R468" s="2" t="inlineStr">
        <is>
          <t>Ögonpyrola</t>
        </is>
      </c>
      <c r="S468">
        <f>HYPERLINK("https://klasma.github.io/Logging_0188/artfynd/A 55767-2023 artfynd.xlsx", "A 55767-2023")</f>
        <v/>
      </c>
      <c r="T468">
        <f>HYPERLINK("https://klasma.github.io/Logging_0188/kartor/A 55767-2023 karta.png", "A 55767-2023")</f>
        <v/>
      </c>
      <c r="V468">
        <f>HYPERLINK("https://klasma.github.io/Logging_0188/klagomål/A 55767-2023 FSC-klagomål.docx", "A 55767-2023")</f>
        <v/>
      </c>
      <c r="W468">
        <f>HYPERLINK("https://klasma.github.io/Logging_0188/klagomålsmail/A 55767-2023 FSC-klagomål mail.docx", "A 55767-2023")</f>
        <v/>
      </c>
      <c r="X468">
        <f>HYPERLINK("https://klasma.github.io/Logging_0188/tillsyn/A 55767-2023 tillsynsbegäran.docx", "A 55767-2023")</f>
        <v/>
      </c>
      <c r="Y468">
        <f>HYPERLINK("https://klasma.github.io/Logging_0188/tillsynsmail/A 55767-2023 tillsynsbegäran mail.docx", "A 55767-2023")</f>
        <v/>
      </c>
    </row>
    <row r="469" ht="15" customHeight="1">
      <c r="A469" t="inlineStr">
        <is>
          <t>A 55872-2023</t>
        </is>
      </c>
      <c r="B469" s="1" t="n">
        <v>45239</v>
      </c>
      <c r="C469" s="1" t="n">
        <v>45350</v>
      </c>
      <c r="D469" t="inlineStr">
        <is>
          <t>STOCKHOLMS LÄN</t>
        </is>
      </c>
      <c r="E469" t="inlineStr">
        <is>
          <t>NYNÄSHAMN</t>
        </is>
      </c>
      <c r="F469" t="inlineStr">
        <is>
          <t>Kommuner</t>
        </is>
      </c>
      <c r="G469" t="n">
        <v>4.1</v>
      </c>
      <c r="H469" t="n">
        <v>0</v>
      </c>
      <c r="I469" t="n">
        <v>1</v>
      </c>
      <c r="J469" t="n">
        <v>0</v>
      </c>
      <c r="K469" t="n">
        <v>0</v>
      </c>
      <c r="L469" t="n">
        <v>0</v>
      </c>
      <c r="M469" t="n">
        <v>0</v>
      </c>
      <c r="N469" t="n">
        <v>0</v>
      </c>
      <c r="O469" t="n">
        <v>0</v>
      </c>
      <c r="P469" t="n">
        <v>0</v>
      </c>
      <c r="Q469" t="n">
        <v>1</v>
      </c>
      <c r="R469" s="2" t="inlineStr">
        <is>
          <t>Skogshakmossa</t>
        </is>
      </c>
      <c r="S469">
        <f>HYPERLINK("https://klasma.github.io/Logging_0192/artfynd/A 55872-2023 artfynd.xlsx", "A 55872-2023")</f>
        <v/>
      </c>
      <c r="T469">
        <f>HYPERLINK("https://klasma.github.io/Logging_0192/kartor/A 55872-2023 karta.png", "A 55872-2023")</f>
        <v/>
      </c>
      <c r="V469">
        <f>HYPERLINK("https://klasma.github.io/Logging_0192/klagomål/A 55872-2023 FSC-klagomål.docx", "A 55872-2023")</f>
        <v/>
      </c>
      <c r="W469">
        <f>HYPERLINK("https://klasma.github.io/Logging_0192/klagomålsmail/A 55872-2023 FSC-klagomål mail.docx", "A 55872-2023")</f>
        <v/>
      </c>
      <c r="X469">
        <f>HYPERLINK("https://klasma.github.io/Logging_0192/tillsyn/A 55872-2023 tillsynsbegäran.docx", "A 55872-2023")</f>
        <v/>
      </c>
      <c r="Y469">
        <f>HYPERLINK("https://klasma.github.io/Logging_0192/tillsynsmail/A 55872-2023 tillsynsbegäran mail.docx", "A 55872-2023")</f>
        <v/>
      </c>
    </row>
    <row r="470" ht="15" customHeight="1">
      <c r="A470" t="inlineStr">
        <is>
          <t>A 59580-2023</t>
        </is>
      </c>
      <c r="B470" s="1" t="n">
        <v>45254</v>
      </c>
      <c r="C470" s="1" t="n">
        <v>45350</v>
      </c>
      <c r="D470" t="inlineStr">
        <is>
          <t>STOCKHOLMS LÄN</t>
        </is>
      </c>
      <c r="E470" t="inlineStr">
        <is>
          <t>NORRTÄLJE</t>
        </is>
      </c>
      <c r="G470" t="n">
        <v>3.2</v>
      </c>
      <c r="H470" t="n">
        <v>0</v>
      </c>
      <c r="I470" t="n">
        <v>1</v>
      </c>
      <c r="J470" t="n">
        <v>0</v>
      </c>
      <c r="K470" t="n">
        <v>0</v>
      </c>
      <c r="L470" t="n">
        <v>0</v>
      </c>
      <c r="M470" t="n">
        <v>0</v>
      </c>
      <c r="N470" t="n">
        <v>0</v>
      </c>
      <c r="O470" t="n">
        <v>0</v>
      </c>
      <c r="P470" t="n">
        <v>0</v>
      </c>
      <c r="Q470" t="n">
        <v>1</v>
      </c>
      <c r="R470" s="2" t="inlineStr">
        <is>
          <t>Trådticka</t>
        </is>
      </c>
      <c r="S470">
        <f>HYPERLINK("https://klasma.github.io/Logging_0188/artfynd/A 59580-2023 artfynd.xlsx", "A 59580-2023")</f>
        <v/>
      </c>
      <c r="T470">
        <f>HYPERLINK("https://klasma.github.io/Logging_0188/kartor/A 59580-2023 karta.png", "A 59580-2023")</f>
        <v/>
      </c>
      <c r="V470">
        <f>HYPERLINK("https://klasma.github.io/Logging_0188/klagomål/A 59580-2023 FSC-klagomål.docx", "A 59580-2023")</f>
        <v/>
      </c>
      <c r="W470">
        <f>HYPERLINK("https://klasma.github.io/Logging_0188/klagomålsmail/A 59580-2023 FSC-klagomål mail.docx", "A 59580-2023")</f>
        <v/>
      </c>
      <c r="X470">
        <f>HYPERLINK("https://klasma.github.io/Logging_0188/tillsyn/A 59580-2023 tillsynsbegäran.docx", "A 59580-2023")</f>
        <v/>
      </c>
      <c r="Y470">
        <f>HYPERLINK("https://klasma.github.io/Logging_0188/tillsynsmail/A 59580-2023 tillsynsbegäran mail.docx", "A 59580-2023")</f>
        <v/>
      </c>
    </row>
    <row r="471" ht="15" customHeight="1">
      <c r="A471" t="inlineStr">
        <is>
          <t>A 60299-2023</t>
        </is>
      </c>
      <c r="B471" s="1" t="n">
        <v>45258</v>
      </c>
      <c r="C471" s="1" t="n">
        <v>45350</v>
      </c>
      <c r="D471" t="inlineStr">
        <is>
          <t>STOCKHOLMS LÄN</t>
        </is>
      </c>
      <c r="E471" t="inlineStr">
        <is>
          <t>HANINGE</t>
        </is>
      </c>
      <c r="G471" t="n">
        <v>1.3</v>
      </c>
      <c r="H471" t="n">
        <v>0</v>
      </c>
      <c r="I471" t="n">
        <v>1</v>
      </c>
      <c r="J471" t="n">
        <v>0</v>
      </c>
      <c r="K471" t="n">
        <v>0</v>
      </c>
      <c r="L471" t="n">
        <v>0</v>
      </c>
      <c r="M471" t="n">
        <v>0</v>
      </c>
      <c r="N471" t="n">
        <v>0</v>
      </c>
      <c r="O471" t="n">
        <v>0</v>
      </c>
      <c r="P471" t="n">
        <v>0</v>
      </c>
      <c r="Q471" t="n">
        <v>1</v>
      </c>
      <c r="R471" s="2" t="inlineStr">
        <is>
          <t>Mörk husmossa</t>
        </is>
      </c>
      <c r="S471">
        <f>HYPERLINK("https://klasma.github.io/Logging_0136/artfynd/A 60299-2023 artfynd.xlsx", "A 60299-2023")</f>
        <v/>
      </c>
      <c r="T471">
        <f>HYPERLINK("https://klasma.github.io/Logging_0136/kartor/A 60299-2023 karta.png", "A 60299-2023")</f>
        <v/>
      </c>
      <c r="V471">
        <f>HYPERLINK("https://klasma.github.io/Logging_0136/klagomål/A 60299-2023 FSC-klagomål.docx", "A 60299-2023")</f>
        <v/>
      </c>
      <c r="W471">
        <f>HYPERLINK("https://klasma.github.io/Logging_0136/klagomålsmail/A 60299-2023 FSC-klagomål mail.docx", "A 60299-2023")</f>
        <v/>
      </c>
      <c r="X471">
        <f>HYPERLINK("https://klasma.github.io/Logging_0136/tillsyn/A 60299-2023 tillsynsbegäran.docx", "A 60299-2023")</f>
        <v/>
      </c>
      <c r="Y471">
        <f>HYPERLINK("https://klasma.github.io/Logging_0136/tillsynsmail/A 60299-2023 tillsynsbegäran mail.docx", "A 60299-2023")</f>
        <v/>
      </c>
    </row>
    <row r="472" ht="15" customHeight="1">
      <c r="A472" t="inlineStr">
        <is>
          <t>A 60369-2023</t>
        </is>
      </c>
      <c r="B472" s="1" t="n">
        <v>45259</v>
      </c>
      <c r="C472" s="1" t="n">
        <v>45350</v>
      </c>
      <c r="D472" t="inlineStr">
        <is>
          <t>STOCKHOLMS LÄN</t>
        </is>
      </c>
      <c r="E472" t="inlineStr">
        <is>
          <t>HANINGE</t>
        </is>
      </c>
      <c r="G472" t="n">
        <v>2.9</v>
      </c>
      <c r="H472" t="n">
        <v>1</v>
      </c>
      <c r="I472" t="n">
        <v>0</v>
      </c>
      <c r="J472" t="n">
        <v>0</v>
      </c>
      <c r="K472" t="n">
        <v>0</v>
      </c>
      <c r="L472" t="n">
        <v>0</v>
      </c>
      <c r="M472" t="n">
        <v>0</v>
      </c>
      <c r="N472" t="n">
        <v>0</v>
      </c>
      <c r="O472" t="n">
        <v>0</v>
      </c>
      <c r="P472" t="n">
        <v>0</v>
      </c>
      <c r="Q472" t="n">
        <v>1</v>
      </c>
      <c r="R472" s="2" t="inlineStr">
        <is>
          <t>Mattlummer</t>
        </is>
      </c>
      <c r="S472">
        <f>HYPERLINK("https://klasma.github.io/Logging_0136/artfynd/A 60369-2023 artfynd.xlsx", "A 60369-2023")</f>
        <v/>
      </c>
      <c r="T472">
        <f>HYPERLINK("https://klasma.github.io/Logging_0136/kartor/A 60369-2023 karta.png", "A 60369-2023")</f>
        <v/>
      </c>
      <c r="V472">
        <f>HYPERLINK("https://klasma.github.io/Logging_0136/klagomål/A 60369-2023 FSC-klagomål.docx", "A 60369-2023")</f>
        <v/>
      </c>
      <c r="W472">
        <f>HYPERLINK("https://klasma.github.io/Logging_0136/klagomålsmail/A 60369-2023 FSC-klagomål mail.docx", "A 60369-2023")</f>
        <v/>
      </c>
      <c r="X472">
        <f>HYPERLINK("https://klasma.github.io/Logging_0136/tillsyn/A 60369-2023 tillsynsbegäran.docx", "A 60369-2023")</f>
        <v/>
      </c>
      <c r="Y472">
        <f>HYPERLINK("https://klasma.github.io/Logging_0136/tillsynsmail/A 60369-2023 tillsynsbegäran mail.docx", "A 60369-2023")</f>
        <v/>
      </c>
    </row>
    <row r="473" ht="15" customHeight="1">
      <c r="A473" t="inlineStr">
        <is>
          <t>A 62007-2023</t>
        </is>
      </c>
      <c r="B473" s="1" t="n">
        <v>45266</v>
      </c>
      <c r="C473" s="1" t="n">
        <v>45350</v>
      </c>
      <c r="D473" t="inlineStr">
        <is>
          <t>STOCKHOLMS LÄN</t>
        </is>
      </c>
      <c r="E473" t="inlineStr">
        <is>
          <t>NYNÄSHAMN</t>
        </is>
      </c>
      <c r="G473" t="n">
        <v>4.5</v>
      </c>
      <c r="H473" t="n">
        <v>0</v>
      </c>
      <c r="I473" t="n">
        <v>0</v>
      </c>
      <c r="J473" t="n">
        <v>1</v>
      </c>
      <c r="K473" t="n">
        <v>0</v>
      </c>
      <c r="L473" t="n">
        <v>0</v>
      </c>
      <c r="M473" t="n">
        <v>0</v>
      </c>
      <c r="N473" t="n">
        <v>0</v>
      </c>
      <c r="O473" t="n">
        <v>1</v>
      </c>
      <c r="P473" t="n">
        <v>0</v>
      </c>
      <c r="Q473" t="n">
        <v>1</v>
      </c>
      <c r="R473" s="2" t="inlineStr">
        <is>
          <t>Granticka</t>
        </is>
      </c>
      <c r="S473">
        <f>HYPERLINK("https://klasma.github.io/Logging_0192/artfynd/A 62007-2023 artfynd.xlsx", "A 62007-2023")</f>
        <v/>
      </c>
      <c r="T473">
        <f>HYPERLINK("https://klasma.github.io/Logging_0192/kartor/A 62007-2023 karta.png", "A 62007-2023")</f>
        <v/>
      </c>
      <c r="V473">
        <f>HYPERLINK("https://klasma.github.io/Logging_0192/klagomål/A 62007-2023 FSC-klagomål.docx", "A 62007-2023")</f>
        <v/>
      </c>
      <c r="W473">
        <f>HYPERLINK("https://klasma.github.io/Logging_0192/klagomålsmail/A 62007-2023 FSC-klagomål mail.docx", "A 62007-2023")</f>
        <v/>
      </c>
      <c r="X473">
        <f>HYPERLINK("https://klasma.github.io/Logging_0192/tillsyn/A 62007-2023 tillsynsbegäran.docx", "A 62007-2023")</f>
        <v/>
      </c>
      <c r="Y473">
        <f>HYPERLINK("https://klasma.github.io/Logging_0192/tillsynsmail/A 62007-2023 tillsynsbegäran mail.docx", "A 62007-2023")</f>
        <v/>
      </c>
    </row>
    <row r="474" ht="15" customHeight="1">
      <c r="A474" t="inlineStr">
        <is>
          <t>A 64098-2023</t>
        </is>
      </c>
      <c r="B474" s="1" t="n">
        <v>45279</v>
      </c>
      <c r="C474" s="1" t="n">
        <v>45350</v>
      </c>
      <c r="D474" t="inlineStr">
        <is>
          <t>STOCKHOLMS LÄN</t>
        </is>
      </c>
      <c r="E474" t="inlineStr">
        <is>
          <t>UPPLANDS-BRO</t>
        </is>
      </c>
      <c r="G474" t="n">
        <v>0.3</v>
      </c>
      <c r="H474" t="n">
        <v>0</v>
      </c>
      <c r="I474" t="n">
        <v>0</v>
      </c>
      <c r="J474" t="n">
        <v>1</v>
      </c>
      <c r="K474" t="n">
        <v>0</v>
      </c>
      <c r="L474" t="n">
        <v>0</v>
      </c>
      <c r="M474" t="n">
        <v>0</v>
      </c>
      <c r="N474" t="n">
        <v>0</v>
      </c>
      <c r="O474" t="n">
        <v>1</v>
      </c>
      <c r="P474" t="n">
        <v>0</v>
      </c>
      <c r="Q474" t="n">
        <v>1</v>
      </c>
      <c r="R474" s="2" t="inlineStr">
        <is>
          <t>Skogsalmsdvärgmal</t>
        </is>
      </c>
      <c r="S474">
        <f>HYPERLINK("https://klasma.github.io/Logging_0139/artfynd/A 64098-2023 artfynd.xlsx", "A 64098-2023")</f>
        <v/>
      </c>
      <c r="T474">
        <f>HYPERLINK("https://klasma.github.io/Logging_0139/kartor/A 64098-2023 karta.png", "A 64098-2023")</f>
        <v/>
      </c>
      <c r="V474">
        <f>HYPERLINK("https://klasma.github.io/Logging_0139/klagomål/A 64098-2023 FSC-klagomål.docx", "A 64098-2023")</f>
        <v/>
      </c>
      <c r="W474">
        <f>HYPERLINK("https://klasma.github.io/Logging_0139/klagomålsmail/A 64098-2023 FSC-klagomål mail.docx", "A 64098-2023")</f>
        <v/>
      </c>
      <c r="X474">
        <f>HYPERLINK("https://klasma.github.io/Logging_0139/tillsyn/A 64098-2023 tillsynsbegäran.docx", "A 64098-2023")</f>
        <v/>
      </c>
      <c r="Y474">
        <f>HYPERLINK("https://klasma.github.io/Logging_0139/tillsynsmail/A 64098-2023 tillsynsbegäran mail.docx", "A 64098-2023")</f>
        <v/>
      </c>
    </row>
    <row r="475" ht="15" customHeight="1">
      <c r="A475" t="inlineStr">
        <is>
          <t>A 64196-2023</t>
        </is>
      </c>
      <c r="B475" s="1" t="n">
        <v>45279</v>
      </c>
      <c r="C475" s="1" t="n">
        <v>45350</v>
      </c>
      <c r="D475" t="inlineStr">
        <is>
          <t>STOCKHOLMS LÄN</t>
        </is>
      </c>
      <c r="E475" t="inlineStr">
        <is>
          <t>NYNÄSHAMN</t>
        </is>
      </c>
      <c r="G475" t="n">
        <v>2.1</v>
      </c>
      <c r="H475" t="n">
        <v>1</v>
      </c>
      <c r="I475" t="n">
        <v>0</v>
      </c>
      <c r="J475" t="n">
        <v>0</v>
      </c>
      <c r="K475" t="n">
        <v>0</v>
      </c>
      <c r="L475" t="n">
        <v>0</v>
      </c>
      <c r="M475" t="n">
        <v>0</v>
      </c>
      <c r="N475" t="n">
        <v>0</v>
      </c>
      <c r="O475" t="n">
        <v>0</v>
      </c>
      <c r="P475" t="n">
        <v>0</v>
      </c>
      <c r="Q475" t="n">
        <v>1</v>
      </c>
      <c r="R475" s="2" t="inlineStr">
        <is>
          <t>Revlummer</t>
        </is>
      </c>
      <c r="S475">
        <f>HYPERLINK("https://klasma.github.io/Logging_0192/artfynd/A 64196-2023 artfynd.xlsx", "A 64196-2023")</f>
        <v/>
      </c>
      <c r="T475">
        <f>HYPERLINK("https://klasma.github.io/Logging_0192/kartor/A 64196-2023 karta.png", "A 64196-2023")</f>
        <v/>
      </c>
      <c r="V475">
        <f>HYPERLINK("https://klasma.github.io/Logging_0192/klagomål/A 64196-2023 FSC-klagomål.docx", "A 64196-2023")</f>
        <v/>
      </c>
      <c r="W475">
        <f>HYPERLINK("https://klasma.github.io/Logging_0192/klagomålsmail/A 64196-2023 FSC-klagomål mail.docx", "A 64196-2023")</f>
        <v/>
      </c>
      <c r="X475">
        <f>HYPERLINK("https://klasma.github.io/Logging_0192/tillsyn/A 64196-2023 tillsynsbegäran.docx", "A 64196-2023")</f>
        <v/>
      </c>
      <c r="Y475">
        <f>HYPERLINK("https://klasma.github.io/Logging_0192/tillsynsmail/A 64196-2023 tillsynsbegäran mail.docx", "A 64196-2023")</f>
        <v/>
      </c>
    </row>
    <row r="476" ht="15" customHeight="1">
      <c r="A476" t="inlineStr">
        <is>
          <t>A 64357-2023</t>
        </is>
      </c>
      <c r="B476" s="1" t="n">
        <v>45280</v>
      </c>
      <c r="C476" s="1" t="n">
        <v>45350</v>
      </c>
      <c r="D476" t="inlineStr">
        <is>
          <t>STOCKHOLMS LÄN</t>
        </is>
      </c>
      <c r="E476" t="inlineStr">
        <is>
          <t>SIGTUNA</t>
        </is>
      </c>
      <c r="F476" t="inlineStr">
        <is>
          <t>Allmännings- och besparingsskogar</t>
        </is>
      </c>
      <c r="G476" t="n">
        <v>6.7</v>
      </c>
      <c r="H476" t="n">
        <v>1</v>
      </c>
      <c r="I476" t="n">
        <v>0</v>
      </c>
      <c r="J476" t="n">
        <v>1</v>
      </c>
      <c r="K476" t="n">
        <v>0</v>
      </c>
      <c r="L476" t="n">
        <v>0</v>
      </c>
      <c r="M476" t="n">
        <v>0</v>
      </c>
      <c r="N476" t="n">
        <v>0</v>
      </c>
      <c r="O476" t="n">
        <v>1</v>
      </c>
      <c r="P476" t="n">
        <v>0</v>
      </c>
      <c r="Q476" t="n">
        <v>1</v>
      </c>
      <c r="R476" s="2" t="inlineStr">
        <is>
          <t>Kråka</t>
        </is>
      </c>
      <c r="S476">
        <f>HYPERLINK("https://klasma.github.io/Logging_0191/artfynd/A 64357-2023 artfynd.xlsx", "A 64357-2023")</f>
        <v/>
      </c>
      <c r="T476">
        <f>HYPERLINK("https://klasma.github.io/Logging_0191/kartor/A 64357-2023 karta.png", "A 64357-2023")</f>
        <v/>
      </c>
      <c r="V476">
        <f>HYPERLINK("https://klasma.github.io/Logging_0191/klagomål/A 64357-2023 FSC-klagomål.docx", "A 64357-2023")</f>
        <v/>
      </c>
      <c r="W476">
        <f>HYPERLINK("https://klasma.github.io/Logging_0191/klagomålsmail/A 64357-2023 FSC-klagomål mail.docx", "A 64357-2023")</f>
        <v/>
      </c>
      <c r="X476">
        <f>HYPERLINK("https://klasma.github.io/Logging_0191/tillsyn/A 64357-2023 tillsynsbegäran.docx", "A 64357-2023")</f>
        <v/>
      </c>
      <c r="Y476">
        <f>HYPERLINK("https://klasma.github.io/Logging_0191/tillsynsmail/A 64357-2023 tillsynsbegäran mail.docx", "A 64357-2023")</f>
        <v/>
      </c>
    </row>
    <row r="477" ht="15" customHeight="1">
      <c r="A477" t="inlineStr">
        <is>
          <t>A 64441-2023</t>
        </is>
      </c>
      <c r="B477" s="1" t="n">
        <v>45280</v>
      </c>
      <c r="C477" s="1" t="n">
        <v>45350</v>
      </c>
      <c r="D477" t="inlineStr">
        <is>
          <t>STOCKHOLMS LÄN</t>
        </is>
      </c>
      <c r="E477" t="inlineStr">
        <is>
          <t>UPPLANDS VÄSBY</t>
        </is>
      </c>
      <c r="G477" t="n">
        <v>6.4</v>
      </c>
      <c r="H477" t="n">
        <v>0</v>
      </c>
      <c r="I477" t="n">
        <v>0</v>
      </c>
      <c r="J477" t="n">
        <v>1</v>
      </c>
      <c r="K477" t="n">
        <v>0</v>
      </c>
      <c r="L477" t="n">
        <v>0</v>
      </c>
      <c r="M477" t="n">
        <v>0</v>
      </c>
      <c r="N477" t="n">
        <v>0</v>
      </c>
      <c r="O477" t="n">
        <v>1</v>
      </c>
      <c r="P477" t="n">
        <v>0</v>
      </c>
      <c r="Q477" t="n">
        <v>1</v>
      </c>
      <c r="R477" s="2" t="inlineStr">
        <is>
          <t>Säfferot</t>
        </is>
      </c>
      <c r="S477">
        <f>HYPERLINK("https://klasma.github.io/Logging_0114/artfynd/A 64441-2023 artfynd.xlsx", "A 64441-2023")</f>
        <v/>
      </c>
      <c r="T477">
        <f>HYPERLINK("https://klasma.github.io/Logging_0114/kartor/A 64441-2023 karta.png", "A 64441-2023")</f>
        <v/>
      </c>
      <c r="V477">
        <f>HYPERLINK("https://klasma.github.io/Logging_0114/klagomål/A 64441-2023 FSC-klagomål.docx", "A 64441-2023")</f>
        <v/>
      </c>
      <c r="W477">
        <f>HYPERLINK("https://klasma.github.io/Logging_0114/klagomålsmail/A 64441-2023 FSC-klagomål mail.docx", "A 64441-2023")</f>
        <v/>
      </c>
      <c r="X477">
        <f>HYPERLINK("https://klasma.github.io/Logging_0114/tillsyn/A 64441-2023 tillsynsbegäran.docx", "A 64441-2023")</f>
        <v/>
      </c>
      <c r="Y477">
        <f>HYPERLINK("https://klasma.github.io/Logging_0114/tillsynsmail/A 64441-2023 tillsynsbegäran mail.docx", "A 64441-2023")</f>
        <v/>
      </c>
    </row>
    <row r="478" ht="15" customHeight="1">
      <c r="A478" t="inlineStr">
        <is>
          <t>A 64456-2023</t>
        </is>
      </c>
      <c r="B478" s="1" t="n">
        <v>45280</v>
      </c>
      <c r="C478" s="1" t="n">
        <v>45350</v>
      </c>
      <c r="D478" t="inlineStr">
        <is>
          <t>STOCKHOLMS LÄN</t>
        </is>
      </c>
      <c r="E478" t="inlineStr">
        <is>
          <t>NORRTÄLJE</t>
        </is>
      </c>
      <c r="G478" t="n">
        <v>2.5</v>
      </c>
      <c r="H478" t="n">
        <v>0</v>
      </c>
      <c r="I478" t="n">
        <v>1</v>
      </c>
      <c r="J478" t="n">
        <v>0</v>
      </c>
      <c r="K478" t="n">
        <v>0</v>
      </c>
      <c r="L478" t="n">
        <v>0</v>
      </c>
      <c r="M478" t="n">
        <v>0</v>
      </c>
      <c r="N478" t="n">
        <v>0</v>
      </c>
      <c r="O478" t="n">
        <v>0</v>
      </c>
      <c r="P478" t="n">
        <v>0</v>
      </c>
      <c r="Q478" t="n">
        <v>1</v>
      </c>
      <c r="R478" s="2" t="inlineStr">
        <is>
          <t>Rödgul trumpetsvamp</t>
        </is>
      </c>
      <c r="S478">
        <f>HYPERLINK("https://klasma.github.io/Logging_0188/artfynd/A 64456-2023 artfynd.xlsx", "A 64456-2023")</f>
        <v/>
      </c>
      <c r="T478">
        <f>HYPERLINK("https://klasma.github.io/Logging_0188/kartor/A 64456-2023 karta.png", "A 64456-2023")</f>
        <v/>
      </c>
      <c r="V478">
        <f>HYPERLINK("https://klasma.github.io/Logging_0188/klagomål/A 64456-2023 FSC-klagomål.docx", "A 64456-2023")</f>
        <v/>
      </c>
      <c r="W478">
        <f>HYPERLINK("https://klasma.github.io/Logging_0188/klagomålsmail/A 64456-2023 FSC-klagomål mail.docx", "A 64456-2023")</f>
        <v/>
      </c>
      <c r="X478">
        <f>HYPERLINK("https://klasma.github.io/Logging_0188/tillsyn/A 64456-2023 tillsynsbegäran.docx", "A 64456-2023")</f>
        <v/>
      </c>
      <c r="Y478">
        <f>HYPERLINK("https://klasma.github.io/Logging_0188/tillsynsmail/A 64456-2023 tillsynsbegäran mail.docx", "A 64456-2023")</f>
        <v/>
      </c>
    </row>
    <row r="479" ht="15" customHeight="1">
      <c r="A479" t="inlineStr">
        <is>
          <t>A 5946-2024</t>
        </is>
      </c>
      <c r="B479" s="1" t="n">
        <v>45336</v>
      </c>
      <c r="C479" s="1" t="n">
        <v>45350</v>
      </c>
      <c r="D479" t="inlineStr">
        <is>
          <t>STOCKHOLMS LÄN</t>
        </is>
      </c>
      <c r="E479" t="inlineStr">
        <is>
          <t>NYNÄSHAMN</t>
        </is>
      </c>
      <c r="G479" t="n">
        <v>15</v>
      </c>
      <c r="H479" t="n">
        <v>0</v>
      </c>
      <c r="I479" t="n">
        <v>1</v>
      </c>
      <c r="J479" t="n">
        <v>0</v>
      </c>
      <c r="K479" t="n">
        <v>0</v>
      </c>
      <c r="L479" t="n">
        <v>0</v>
      </c>
      <c r="M479" t="n">
        <v>0</v>
      </c>
      <c r="N479" t="n">
        <v>0</v>
      </c>
      <c r="O479" t="n">
        <v>0</v>
      </c>
      <c r="P479" t="n">
        <v>0</v>
      </c>
      <c r="Q479" t="n">
        <v>1</v>
      </c>
      <c r="R479" s="2" t="inlineStr">
        <is>
          <t>Grönpyrola</t>
        </is>
      </c>
      <c r="S479">
        <f>HYPERLINK("https://klasma.github.io/Logging_0192/artfynd/A 5946-2024 artfynd.xlsx", "A 5946-2024")</f>
        <v/>
      </c>
      <c r="T479">
        <f>HYPERLINK("https://klasma.github.io/Logging_0192/kartor/A 5946-2024 karta.png", "A 5946-2024")</f>
        <v/>
      </c>
      <c r="V479">
        <f>HYPERLINK("https://klasma.github.io/Logging_0192/klagomål/A 5946-2024 FSC-klagomål.docx", "A 5946-2024")</f>
        <v/>
      </c>
      <c r="W479">
        <f>HYPERLINK("https://klasma.github.io/Logging_0192/klagomålsmail/A 5946-2024 FSC-klagomål mail.docx", "A 5946-2024")</f>
        <v/>
      </c>
      <c r="X479">
        <f>HYPERLINK("https://klasma.github.io/Logging_0192/tillsyn/A 5946-2024 tillsynsbegäran.docx", "A 5946-2024")</f>
        <v/>
      </c>
      <c r="Y479">
        <f>HYPERLINK("https://klasma.github.io/Logging_0192/tillsynsmail/A 5946-2024 tillsynsbegäran mail.docx", "A 5946-2024")</f>
        <v/>
      </c>
    </row>
    <row r="480" ht="15" customHeight="1">
      <c r="A480" t="inlineStr">
        <is>
          <t>A 6412-2024</t>
        </is>
      </c>
      <c r="B480" s="1" t="n">
        <v>45338</v>
      </c>
      <c r="C480" s="1" t="n">
        <v>45350</v>
      </c>
      <c r="D480" t="inlineStr">
        <is>
          <t>STOCKHOLMS LÄN</t>
        </is>
      </c>
      <c r="E480" t="inlineStr">
        <is>
          <t>VÄRMDÖ</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HYPERLINK("https://klasma.github.io/Logging_0120/artfynd/A 6412-2024 artfynd.xlsx", "A 6412-2024")</f>
        <v/>
      </c>
      <c r="T480">
        <f>HYPERLINK("https://klasma.github.io/Logging_0120/kartor/A 6412-2024 karta.png", "A 6412-2024")</f>
        <v/>
      </c>
      <c r="V480">
        <f>HYPERLINK("https://klasma.github.io/Logging_0120/klagomål/A 6412-2024 FSC-klagomål.docx", "A 6412-2024")</f>
        <v/>
      </c>
      <c r="W480">
        <f>HYPERLINK("https://klasma.github.io/Logging_0120/klagomålsmail/A 6412-2024 FSC-klagomål mail.docx", "A 6412-2024")</f>
        <v/>
      </c>
      <c r="X480">
        <f>HYPERLINK("https://klasma.github.io/Logging_0120/tillsyn/A 6412-2024 tillsynsbegäran.docx", "A 6412-2024")</f>
        <v/>
      </c>
      <c r="Y480">
        <f>HYPERLINK("https://klasma.github.io/Logging_0120/tillsynsmail/A 6412-2024 tillsynsbegäran mail.docx", "A 6412-2024")</f>
        <v/>
      </c>
    </row>
    <row r="481" ht="15" customHeight="1">
      <c r="A481" t="inlineStr">
        <is>
          <t>A 6950-2024</t>
        </is>
      </c>
      <c r="B481" s="1" t="n">
        <v>45343</v>
      </c>
      <c r="C481" s="1" t="n">
        <v>45350</v>
      </c>
      <c r="D481" t="inlineStr">
        <is>
          <t>STOCKHOLMS LÄN</t>
        </is>
      </c>
      <c r="E481" t="inlineStr">
        <is>
          <t>NORRTÄLJE</t>
        </is>
      </c>
      <c r="G481" t="n">
        <v>26.8</v>
      </c>
      <c r="H481" t="n">
        <v>1</v>
      </c>
      <c r="I481" t="n">
        <v>0</v>
      </c>
      <c r="J481" t="n">
        <v>0</v>
      </c>
      <c r="K481" t="n">
        <v>0</v>
      </c>
      <c r="L481" t="n">
        <v>0</v>
      </c>
      <c r="M481" t="n">
        <v>0</v>
      </c>
      <c r="N481" t="n">
        <v>0</v>
      </c>
      <c r="O481" t="n">
        <v>0</v>
      </c>
      <c r="P481" t="n">
        <v>0</v>
      </c>
      <c r="Q481" t="n">
        <v>1</v>
      </c>
      <c r="R481" s="2" t="inlineStr">
        <is>
          <t>Blåsippa</t>
        </is>
      </c>
      <c r="S481">
        <f>HYPERLINK("https://klasma.github.io/Logging_0188/artfynd/A 6950-2024 artfynd.xlsx", "A 6950-2024")</f>
        <v/>
      </c>
      <c r="T481">
        <f>HYPERLINK("https://klasma.github.io/Logging_0188/kartor/A 6950-2024 karta.png", "A 6950-2024")</f>
        <v/>
      </c>
      <c r="V481">
        <f>HYPERLINK("https://klasma.github.io/Logging_0188/klagomål/A 6950-2024 FSC-klagomål.docx", "A 6950-2024")</f>
        <v/>
      </c>
      <c r="W481">
        <f>HYPERLINK("https://klasma.github.io/Logging_0188/klagomålsmail/A 6950-2024 FSC-klagomål mail.docx", "A 6950-2024")</f>
        <v/>
      </c>
      <c r="X481">
        <f>HYPERLINK("https://klasma.github.io/Logging_0188/tillsyn/A 6950-2024 tillsynsbegäran.docx", "A 6950-2024")</f>
        <v/>
      </c>
      <c r="Y481">
        <f>HYPERLINK("https://klasma.github.io/Logging_0188/tillsynsmail/A 6950-2024 tillsynsbegäran mail.docx", "A 6950-2024")</f>
        <v/>
      </c>
    </row>
    <row r="482" ht="15" customHeight="1">
      <c r="A482" t="inlineStr">
        <is>
          <t>A 34215-2018</t>
        </is>
      </c>
      <c r="B482" s="1" t="n">
        <v>43318</v>
      </c>
      <c r="C482" s="1" t="n">
        <v>45350</v>
      </c>
      <c r="D482" t="inlineStr">
        <is>
          <t>STOCKHOLMS LÄN</t>
        </is>
      </c>
      <c r="E482" t="inlineStr">
        <is>
          <t>NORRTÄLJE</t>
        </is>
      </c>
      <c r="G482" t="n">
        <v>4.1</v>
      </c>
      <c r="H482" t="n">
        <v>0</v>
      </c>
      <c r="I482" t="n">
        <v>0</v>
      </c>
      <c r="J482" t="n">
        <v>0</v>
      </c>
      <c r="K482" t="n">
        <v>0</v>
      </c>
      <c r="L482" t="n">
        <v>0</v>
      </c>
      <c r="M482" t="n">
        <v>0</v>
      </c>
      <c r="N482" t="n">
        <v>0</v>
      </c>
      <c r="O482" t="n">
        <v>0</v>
      </c>
      <c r="P482" t="n">
        <v>0</v>
      </c>
      <c r="Q482" t="n">
        <v>0</v>
      </c>
      <c r="R482" s="2" t="inlineStr"/>
    </row>
    <row r="483" ht="15" customHeight="1">
      <c r="A483" t="inlineStr">
        <is>
          <t>A 41863-2018</t>
        </is>
      </c>
      <c r="B483" s="1" t="n">
        <v>43342</v>
      </c>
      <c r="C483" s="1" t="n">
        <v>45350</v>
      </c>
      <c r="D483" t="inlineStr">
        <is>
          <t>STOCKHOLMS LÄN</t>
        </is>
      </c>
      <c r="E483" t="inlineStr">
        <is>
          <t>VÄRMDÖ</t>
        </is>
      </c>
      <c r="G483" t="n">
        <v>1.2</v>
      </c>
      <c r="H483" t="n">
        <v>0</v>
      </c>
      <c r="I483" t="n">
        <v>0</v>
      </c>
      <c r="J483" t="n">
        <v>0</v>
      </c>
      <c r="K483" t="n">
        <v>0</v>
      </c>
      <c r="L483" t="n">
        <v>0</v>
      </c>
      <c r="M483" t="n">
        <v>0</v>
      </c>
      <c r="N483" t="n">
        <v>0</v>
      </c>
      <c r="O483" t="n">
        <v>0</v>
      </c>
      <c r="P483" t="n">
        <v>0</v>
      </c>
      <c r="Q483" t="n">
        <v>0</v>
      </c>
      <c r="R483" s="2" t="inlineStr"/>
    </row>
    <row r="484" ht="15" customHeight="1">
      <c r="A484" t="inlineStr">
        <is>
          <t>A 40357-2018</t>
        </is>
      </c>
      <c r="B484" s="1" t="n">
        <v>43345</v>
      </c>
      <c r="C484" s="1" t="n">
        <v>45350</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41609-2018</t>
        </is>
      </c>
      <c r="B485" s="1" t="n">
        <v>43349</v>
      </c>
      <c r="C485" s="1" t="n">
        <v>45350</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44575-2018</t>
        </is>
      </c>
      <c r="B486" s="1" t="n">
        <v>43361</v>
      </c>
      <c r="C486" s="1" t="n">
        <v>45350</v>
      </c>
      <c r="D486" t="inlineStr">
        <is>
          <t>STOCKHOLMS LÄN</t>
        </is>
      </c>
      <c r="E486" t="inlineStr">
        <is>
          <t>NORRTÄLJE</t>
        </is>
      </c>
      <c r="G486" t="n">
        <v>9.9</v>
      </c>
      <c r="H486" t="n">
        <v>0</v>
      </c>
      <c r="I486" t="n">
        <v>0</v>
      </c>
      <c r="J486" t="n">
        <v>0</v>
      </c>
      <c r="K486" t="n">
        <v>0</v>
      </c>
      <c r="L486" t="n">
        <v>0</v>
      </c>
      <c r="M486" t="n">
        <v>0</v>
      </c>
      <c r="N486" t="n">
        <v>0</v>
      </c>
      <c r="O486" t="n">
        <v>0</v>
      </c>
      <c r="P486" t="n">
        <v>0</v>
      </c>
      <c r="Q486" t="n">
        <v>0</v>
      </c>
      <c r="R486" s="2" t="inlineStr"/>
    </row>
    <row r="487" ht="15" customHeight="1">
      <c r="A487" t="inlineStr">
        <is>
          <t>A 44554-2018</t>
        </is>
      </c>
      <c r="B487" s="1" t="n">
        <v>43361</v>
      </c>
      <c r="C487" s="1" t="n">
        <v>45350</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54110-2018</t>
        </is>
      </c>
      <c r="B488" s="1" t="n">
        <v>43389</v>
      </c>
      <c r="C488" s="1" t="n">
        <v>45350</v>
      </c>
      <c r="D488" t="inlineStr">
        <is>
          <t>STOCKHOLMS LÄN</t>
        </is>
      </c>
      <c r="E488" t="inlineStr">
        <is>
          <t>ÖSTERÅKER</t>
        </is>
      </c>
      <c r="G488" t="n">
        <v>0.5</v>
      </c>
      <c r="H488" t="n">
        <v>0</v>
      </c>
      <c r="I488" t="n">
        <v>0</v>
      </c>
      <c r="J488" t="n">
        <v>0</v>
      </c>
      <c r="K488" t="n">
        <v>0</v>
      </c>
      <c r="L488" t="n">
        <v>0</v>
      </c>
      <c r="M488" t="n">
        <v>0</v>
      </c>
      <c r="N488" t="n">
        <v>0</v>
      </c>
      <c r="O488" t="n">
        <v>0</v>
      </c>
      <c r="P488" t="n">
        <v>0</v>
      </c>
      <c r="Q488" t="n">
        <v>0</v>
      </c>
      <c r="R488" s="2" t="inlineStr"/>
    </row>
    <row r="489" ht="15" customHeight="1">
      <c r="A489" t="inlineStr">
        <is>
          <t>A 54092-2018</t>
        </is>
      </c>
      <c r="B489" s="1" t="n">
        <v>43389</v>
      </c>
      <c r="C489" s="1" t="n">
        <v>45350</v>
      </c>
      <c r="D489" t="inlineStr">
        <is>
          <t>STOCKHOLMS LÄN</t>
        </is>
      </c>
      <c r="E489" t="inlineStr">
        <is>
          <t>ÖSTERÅKER</t>
        </is>
      </c>
      <c r="G489" t="n">
        <v>0.9</v>
      </c>
      <c r="H489" t="n">
        <v>0</v>
      </c>
      <c r="I489" t="n">
        <v>0</v>
      </c>
      <c r="J489" t="n">
        <v>0</v>
      </c>
      <c r="K489" t="n">
        <v>0</v>
      </c>
      <c r="L489" t="n">
        <v>0</v>
      </c>
      <c r="M489" t="n">
        <v>0</v>
      </c>
      <c r="N489" t="n">
        <v>0</v>
      </c>
      <c r="O489" t="n">
        <v>0</v>
      </c>
      <c r="P489" t="n">
        <v>0</v>
      </c>
      <c r="Q489" t="n">
        <v>0</v>
      </c>
      <c r="R489" s="2" t="inlineStr"/>
    </row>
    <row r="490" ht="15" customHeight="1">
      <c r="A490" t="inlineStr">
        <is>
          <t>A 55516-2018</t>
        </is>
      </c>
      <c r="B490" s="1" t="n">
        <v>43391</v>
      </c>
      <c r="C490" s="1" t="n">
        <v>45350</v>
      </c>
      <c r="D490" t="inlineStr">
        <is>
          <t>STOCKHOLMS LÄN</t>
        </is>
      </c>
      <c r="E490" t="inlineStr">
        <is>
          <t>HANINGE</t>
        </is>
      </c>
      <c r="G490" t="n">
        <v>1.2</v>
      </c>
      <c r="H490" t="n">
        <v>0</v>
      </c>
      <c r="I490" t="n">
        <v>0</v>
      </c>
      <c r="J490" t="n">
        <v>0</v>
      </c>
      <c r="K490" t="n">
        <v>0</v>
      </c>
      <c r="L490" t="n">
        <v>0</v>
      </c>
      <c r="M490" t="n">
        <v>0</v>
      </c>
      <c r="N490" t="n">
        <v>0</v>
      </c>
      <c r="O490" t="n">
        <v>0</v>
      </c>
      <c r="P490" t="n">
        <v>0</v>
      </c>
      <c r="Q490" t="n">
        <v>0</v>
      </c>
      <c r="R490" s="2" t="inlineStr"/>
    </row>
    <row r="491" ht="15" customHeight="1">
      <c r="A491" t="inlineStr">
        <is>
          <t>A 55474-2018</t>
        </is>
      </c>
      <c r="B491" s="1" t="n">
        <v>43391</v>
      </c>
      <c r="C491" s="1" t="n">
        <v>45350</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59037-2018</t>
        </is>
      </c>
      <c r="B492" s="1" t="n">
        <v>43402</v>
      </c>
      <c r="C492" s="1" t="n">
        <v>45350</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59531-2018</t>
        </is>
      </c>
      <c r="B493" s="1" t="n">
        <v>43404</v>
      </c>
      <c r="C493" s="1" t="n">
        <v>45350</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59257-2018</t>
        </is>
      </c>
      <c r="B494" s="1" t="n">
        <v>43404</v>
      </c>
      <c r="C494" s="1" t="n">
        <v>45350</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59205-2018</t>
        </is>
      </c>
      <c r="B495" s="1" t="n">
        <v>43404</v>
      </c>
      <c r="C495" s="1" t="n">
        <v>45350</v>
      </c>
      <c r="D495" t="inlineStr">
        <is>
          <t>STOCKHOLMS LÄN</t>
        </is>
      </c>
      <c r="E495" t="inlineStr">
        <is>
          <t>NORRTÄLJE</t>
        </is>
      </c>
      <c r="G495" t="n">
        <v>9</v>
      </c>
      <c r="H495" t="n">
        <v>0</v>
      </c>
      <c r="I495" t="n">
        <v>0</v>
      </c>
      <c r="J495" t="n">
        <v>0</v>
      </c>
      <c r="K495" t="n">
        <v>0</v>
      </c>
      <c r="L495" t="n">
        <v>0</v>
      </c>
      <c r="M495" t="n">
        <v>0</v>
      </c>
      <c r="N495" t="n">
        <v>0</v>
      </c>
      <c r="O495" t="n">
        <v>0</v>
      </c>
      <c r="P495" t="n">
        <v>0</v>
      </c>
      <c r="Q495" t="n">
        <v>0</v>
      </c>
      <c r="R495" s="2" t="inlineStr"/>
    </row>
    <row r="496" ht="15" customHeight="1">
      <c r="A496" t="inlineStr">
        <is>
          <t>A 57788-2018</t>
        </is>
      </c>
      <c r="B496" s="1" t="n">
        <v>43405</v>
      </c>
      <c r="C496" s="1" t="n">
        <v>45350</v>
      </c>
      <c r="D496" t="inlineStr">
        <is>
          <t>STOCKHOLMS LÄN</t>
        </is>
      </c>
      <c r="E496" t="inlineStr">
        <is>
          <t>NORRTÄLJE</t>
        </is>
      </c>
      <c r="G496" t="n">
        <v>5.3</v>
      </c>
      <c r="H496" t="n">
        <v>0</v>
      </c>
      <c r="I496" t="n">
        <v>0</v>
      </c>
      <c r="J496" t="n">
        <v>0</v>
      </c>
      <c r="K496" t="n">
        <v>0</v>
      </c>
      <c r="L496" t="n">
        <v>0</v>
      </c>
      <c r="M496" t="n">
        <v>0</v>
      </c>
      <c r="N496" t="n">
        <v>0</v>
      </c>
      <c r="O496" t="n">
        <v>0</v>
      </c>
      <c r="P496" t="n">
        <v>0</v>
      </c>
      <c r="Q496" t="n">
        <v>0</v>
      </c>
      <c r="R496" s="2" t="inlineStr"/>
    </row>
    <row r="497" ht="15" customHeight="1">
      <c r="A497" t="inlineStr">
        <is>
          <t>A 59554-2018</t>
        </is>
      </c>
      <c r="B497" s="1" t="n">
        <v>43405</v>
      </c>
      <c r="C497" s="1" t="n">
        <v>45350</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64973-2018</t>
        </is>
      </c>
      <c r="B498" s="1" t="n">
        <v>43405</v>
      </c>
      <c r="C498" s="1" t="n">
        <v>45350</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58116-2018</t>
        </is>
      </c>
      <c r="B499" s="1" t="n">
        <v>43406</v>
      </c>
      <c r="C499" s="1" t="n">
        <v>45350</v>
      </c>
      <c r="D499" t="inlineStr">
        <is>
          <t>STOCKHOLMS LÄN</t>
        </is>
      </c>
      <c r="E499" t="inlineStr">
        <is>
          <t>NORRTÄLJE</t>
        </is>
      </c>
      <c r="G499" t="n">
        <v>3.4</v>
      </c>
      <c r="H499" t="n">
        <v>0</v>
      </c>
      <c r="I499" t="n">
        <v>0</v>
      </c>
      <c r="J499" t="n">
        <v>0</v>
      </c>
      <c r="K499" t="n">
        <v>0</v>
      </c>
      <c r="L499" t="n">
        <v>0</v>
      </c>
      <c r="M499" t="n">
        <v>0</v>
      </c>
      <c r="N499" t="n">
        <v>0</v>
      </c>
      <c r="O499" t="n">
        <v>0</v>
      </c>
      <c r="P499" t="n">
        <v>0</v>
      </c>
      <c r="Q499" t="n">
        <v>0</v>
      </c>
      <c r="R499" s="2" t="inlineStr"/>
    </row>
    <row r="500" ht="15" customHeight="1">
      <c r="A500" t="inlineStr">
        <is>
          <t>A 60755-2018</t>
        </is>
      </c>
      <c r="B500" s="1" t="n">
        <v>43409</v>
      </c>
      <c r="C500" s="1" t="n">
        <v>45350</v>
      </c>
      <c r="D500" t="inlineStr">
        <is>
          <t>STOCKHOLMS LÄN</t>
        </is>
      </c>
      <c r="E500" t="inlineStr">
        <is>
          <t>NYKVARN</t>
        </is>
      </c>
      <c r="F500" t="inlineStr">
        <is>
          <t>Övriga statliga verk och myndigheter</t>
        </is>
      </c>
      <c r="G500" t="n">
        <v>4.5</v>
      </c>
      <c r="H500" t="n">
        <v>0</v>
      </c>
      <c r="I500" t="n">
        <v>0</v>
      </c>
      <c r="J500" t="n">
        <v>0</v>
      </c>
      <c r="K500" t="n">
        <v>0</v>
      </c>
      <c r="L500" t="n">
        <v>0</v>
      </c>
      <c r="M500" t="n">
        <v>0</v>
      </c>
      <c r="N500" t="n">
        <v>0</v>
      </c>
      <c r="O500" t="n">
        <v>0</v>
      </c>
      <c r="P500" t="n">
        <v>0</v>
      </c>
      <c r="Q500" t="n">
        <v>0</v>
      </c>
      <c r="R500" s="2" t="inlineStr"/>
    </row>
    <row r="501" ht="15" customHeight="1">
      <c r="A501" t="inlineStr">
        <is>
          <t>A 58509-2018</t>
        </is>
      </c>
      <c r="B501" s="1" t="n">
        <v>43409</v>
      </c>
      <c r="C501" s="1" t="n">
        <v>45350</v>
      </c>
      <c r="D501" t="inlineStr">
        <is>
          <t>STOCKHOLMS LÄN</t>
        </is>
      </c>
      <c r="E501" t="inlineStr">
        <is>
          <t>SIGTUNA</t>
        </is>
      </c>
      <c r="G501" t="n">
        <v>4.8</v>
      </c>
      <c r="H501" t="n">
        <v>0</v>
      </c>
      <c r="I501" t="n">
        <v>0</v>
      </c>
      <c r="J501" t="n">
        <v>0</v>
      </c>
      <c r="K501" t="n">
        <v>0</v>
      </c>
      <c r="L501" t="n">
        <v>0</v>
      </c>
      <c r="M501" t="n">
        <v>0</v>
      </c>
      <c r="N501" t="n">
        <v>0</v>
      </c>
      <c r="O501" t="n">
        <v>0</v>
      </c>
      <c r="P501" t="n">
        <v>0</v>
      </c>
      <c r="Q501" t="n">
        <v>0</v>
      </c>
      <c r="R501" s="2" t="inlineStr"/>
    </row>
    <row r="502" ht="15" customHeight="1">
      <c r="A502" t="inlineStr">
        <is>
          <t>A 60739-2018</t>
        </is>
      </c>
      <c r="B502" s="1" t="n">
        <v>43409</v>
      </c>
      <c r="C502" s="1" t="n">
        <v>45350</v>
      </c>
      <c r="D502" t="inlineStr">
        <is>
          <t>STOCKHOLMS LÄN</t>
        </is>
      </c>
      <c r="E502" t="inlineStr">
        <is>
          <t>NYKVARN</t>
        </is>
      </c>
      <c r="F502" t="inlineStr">
        <is>
          <t>Övriga statliga verk och myndigheter</t>
        </is>
      </c>
      <c r="G502" t="n">
        <v>7.7</v>
      </c>
      <c r="H502" t="n">
        <v>0</v>
      </c>
      <c r="I502" t="n">
        <v>0</v>
      </c>
      <c r="J502" t="n">
        <v>0</v>
      </c>
      <c r="K502" t="n">
        <v>0</v>
      </c>
      <c r="L502" t="n">
        <v>0</v>
      </c>
      <c r="M502" t="n">
        <v>0</v>
      </c>
      <c r="N502" t="n">
        <v>0</v>
      </c>
      <c r="O502" t="n">
        <v>0</v>
      </c>
      <c r="P502" t="n">
        <v>0</v>
      </c>
      <c r="Q502" t="n">
        <v>0</v>
      </c>
      <c r="R502" s="2" t="inlineStr"/>
    </row>
    <row r="503" ht="15" customHeight="1">
      <c r="A503" t="inlineStr">
        <is>
          <t>A 58894-2018</t>
        </is>
      </c>
      <c r="B503" s="1" t="n">
        <v>43410</v>
      </c>
      <c r="C503" s="1" t="n">
        <v>45350</v>
      </c>
      <c r="D503" t="inlineStr">
        <is>
          <t>STOCKHOLMS LÄN</t>
        </is>
      </c>
      <c r="E503" t="inlineStr">
        <is>
          <t>NORRTÄLJE</t>
        </is>
      </c>
      <c r="G503" t="n">
        <v>3.3</v>
      </c>
      <c r="H503" t="n">
        <v>0</v>
      </c>
      <c r="I503" t="n">
        <v>0</v>
      </c>
      <c r="J503" t="n">
        <v>0</v>
      </c>
      <c r="K503" t="n">
        <v>0</v>
      </c>
      <c r="L503" t="n">
        <v>0</v>
      </c>
      <c r="M503" t="n">
        <v>0</v>
      </c>
      <c r="N503" t="n">
        <v>0</v>
      </c>
      <c r="O503" t="n">
        <v>0</v>
      </c>
      <c r="P503" t="n">
        <v>0</v>
      </c>
      <c r="Q503" t="n">
        <v>0</v>
      </c>
      <c r="R503" s="2" t="inlineStr"/>
    </row>
    <row r="504" ht="15" customHeight="1">
      <c r="A504" t="inlineStr">
        <is>
          <t>A 58638-2018</t>
        </is>
      </c>
      <c r="B504" s="1" t="n">
        <v>43410</v>
      </c>
      <c r="C504" s="1" t="n">
        <v>45350</v>
      </c>
      <c r="D504" t="inlineStr">
        <is>
          <t>STOCKHOLMS LÄN</t>
        </is>
      </c>
      <c r="E504" t="inlineStr">
        <is>
          <t>SIGTUNA</t>
        </is>
      </c>
      <c r="G504" t="n">
        <v>2.8</v>
      </c>
      <c r="H504" t="n">
        <v>0</v>
      </c>
      <c r="I504" t="n">
        <v>0</v>
      </c>
      <c r="J504" t="n">
        <v>0</v>
      </c>
      <c r="K504" t="n">
        <v>0</v>
      </c>
      <c r="L504" t="n">
        <v>0</v>
      </c>
      <c r="M504" t="n">
        <v>0</v>
      </c>
      <c r="N504" t="n">
        <v>0</v>
      </c>
      <c r="O504" t="n">
        <v>0</v>
      </c>
      <c r="P504" t="n">
        <v>0</v>
      </c>
      <c r="Q504" t="n">
        <v>0</v>
      </c>
      <c r="R504" s="2" t="inlineStr"/>
    </row>
    <row r="505" ht="15" customHeight="1">
      <c r="A505" t="inlineStr">
        <is>
          <t>A 59769-2018</t>
        </is>
      </c>
      <c r="B505" s="1" t="n">
        <v>43411</v>
      </c>
      <c r="C505" s="1" t="n">
        <v>45350</v>
      </c>
      <c r="D505" t="inlineStr">
        <is>
          <t>STOCKHOLMS LÄN</t>
        </is>
      </c>
      <c r="E505" t="inlineStr">
        <is>
          <t>BOTKYRKA</t>
        </is>
      </c>
      <c r="G505" t="n">
        <v>1.5</v>
      </c>
      <c r="H505" t="n">
        <v>0</v>
      </c>
      <c r="I505" t="n">
        <v>0</v>
      </c>
      <c r="J505" t="n">
        <v>0</v>
      </c>
      <c r="K505" t="n">
        <v>0</v>
      </c>
      <c r="L505" t="n">
        <v>0</v>
      </c>
      <c r="M505" t="n">
        <v>0</v>
      </c>
      <c r="N505" t="n">
        <v>0</v>
      </c>
      <c r="O505" t="n">
        <v>0</v>
      </c>
      <c r="P505" t="n">
        <v>0</v>
      </c>
      <c r="Q505" t="n">
        <v>0</v>
      </c>
      <c r="R505" s="2" t="inlineStr"/>
    </row>
    <row r="506" ht="15" customHeight="1">
      <c r="A506" t="inlineStr">
        <is>
          <t>A 60094-2018</t>
        </is>
      </c>
      <c r="B506" s="1" t="n">
        <v>43412</v>
      </c>
      <c r="C506" s="1" t="n">
        <v>45350</v>
      </c>
      <c r="D506" t="inlineStr">
        <is>
          <t>STOCKHOLMS LÄN</t>
        </is>
      </c>
      <c r="E506" t="inlineStr">
        <is>
          <t>BOTKYRKA</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60270-2018</t>
        </is>
      </c>
      <c r="B507" s="1" t="n">
        <v>43413</v>
      </c>
      <c r="C507" s="1" t="n">
        <v>45350</v>
      </c>
      <c r="D507" t="inlineStr">
        <is>
          <t>STOCKHOLMS LÄN</t>
        </is>
      </c>
      <c r="E507" t="inlineStr">
        <is>
          <t>NYKVARN</t>
        </is>
      </c>
      <c r="G507" t="n">
        <v>11</v>
      </c>
      <c r="H507" t="n">
        <v>0</v>
      </c>
      <c r="I507" t="n">
        <v>0</v>
      </c>
      <c r="J507" t="n">
        <v>0</v>
      </c>
      <c r="K507" t="n">
        <v>0</v>
      </c>
      <c r="L507" t="n">
        <v>0</v>
      </c>
      <c r="M507" t="n">
        <v>0</v>
      </c>
      <c r="N507" t="n">
        <v>0</v>
      </c>
      <c r="O507" t="n">
        <v>0</v>
      </c>
      <c r="P507" t="n">
        <v>0</v>
      </c>
      <c r="Q507" t="n">
        <v>0</v>
      </c>
      <c r="R507" s="2" t="inlineStr"/>
    </row>
    <row r="508" ht="15" customHeight="1">
      <c r="A508" t="inlineStr">
        <is>
          <t>A 62408-2018</t>
        </is>
      </c>
      <c r="B508" s="1" t="n">
        <v>43416</v>
      </c>
      <c r="C508" s="1" t="n">
        <v>45350</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59363-2018</t>
        </is>
      </c>
      <c r="B509" s="1" t="n">
        <v>43418</v>
      </c>
      <c r="C509" s="1" t="n">
        <v>45350</v>
      </c>
      <c r="D509" t="inlineStr">
        <is>
          <t>STOCKHOLMS LÄN</t>
        </is>
      </c>
      <c r="E509" t="inlineStr">
        <is>
          <t>NORRTÄLJE</t>
        </is>
      </c>
      <c r="G509" t="n">
        <v>4.5</v>
      </c>
      <c r="H509" t="n">
        <v>0</v>
      </c>
      <c r="I509" t="n">
        <v>0</v>
      </c>
      <c r="J509" t="n">
        <v>0</v>
      </c>
      <c r="K509" t="n">
        <v>0</v>
      </c>
      <c r="L509" t="n">
        <v>0</v>
      </c>
      <c r="M509" t="n">
        <v>0</v>
      </c>
      <c r="N509" t="n">
        <v>0</v>
      </c>
      <c r="O509" t="n">
        <v>0</v>
      </c>
      <c r="P509" t="n">
        <v>0</v>
      </c>
      <c r="Q509" t="n">
        <v>0</v>
      </c>
      <c r="R509" s="2" t="inlineStr"/>
    </row>
    <row r="510" ht="15" customHeight="1">
      <c r="A510" t="inlineStr">
        <is>
          <t>A 59368-2018</t>
        </is>
      </c>
      <c r="B510" s="1" t="n">
        <v>43418</v>
      </c>
      <c r="C510" s="1" t="n">
        <v>45350</v>
      </c>
      <c r="D510" t="inlineStr">
        <is>
          <t>STOCKHOLMS LÄN</t>
        </is>
      </c>
      <c r="E510" t="inlineStr">
        <is>
          <t>SALEM</t>
        </is>
      </c>
      <c r="F510" t="inlineStr">
        <is>
          <t>Kommuner</t>
        </is>
      </c>
      <c r="G510" t="n">
        <v>7.4</v>
      </c>
      <c r="H510" t="n">
        <v>0</v>
      </c>
      <c r="I510" t="n">
        <v>0</v>
      </c>
      <c r="J510" t="n">
        <v>0</v>
      </c>
      <c r="K510" t="n">
        <v>0</v>
      </c>
      <c r="L510" t="n">
        <v>0</v>
      </c>
      <c r="M510" t="n">
        <v>0</v>
      </c>
      <c r="N510" t="n">
        <v>0</v>
      </c>
      <c r="O510" t="n">
        <v>0</v>
      </c>
      <c r="P510" t="n">
        <v>0</v>
      </c>
      <c r="Q510" t="n">
        <v>0</v>
      </c>
      <c r="R510" s="2" t="inlineStr"/>
    </row>
    <row r="511" ht="15" customHeight="1">
      <c r="A511" t="inlineStr">
        <is>
          <t>A 61000-2018</t>
        </is>
      </c>
      <c r="B511" s="1" t="n">
        <v>43419</v>
      </c>
      <c r="C511" s="1" t="n">
        <v>45350</v>
      </c>
      <c r="D511" t="inlineStr">
        <is>
          <t>STOCKHOLMS LÄN</t>
        </is>
      </c>
      <c r="E511" t="inlineStr">
        <is>
          <t>NORRTÄLJE</t>
        </is>
      </c>
      <c r="G511" t="n">
        <v>2.9</v>
      </c>
      <c r="H511" t="n">
        <v>0</v>
      </c>
      <c r="I511" t="n">
        <v>0</v>
      </c>
      <c r="J511" t="n">
        <v>0</v>
      </c>
      <c r="K511" t="n">
        <v>0</v>
      </c>
      <c r="L511" t="n">
        <v>0</v>
      </c>
      <c r="M511" t="n">
        <v>0</v>
      </c>
      <c r="N511" t="n">
        <v>0</v>
      </c>
      <c r="O511" t="n">
        <v>0</v>
      </c>
      <c r="P511" t="n">
        <v>0</v>
      </c>
      <c r="Q511" t="n">
        <v>0</v>
      </c>
      <c r="R511" s="2" t="inlineStr"/>
    </row>
    <row r="512" ht="15" customHeight="1">
      <c r="A512" t="inlineStr">
        <is>
          <t>A 59453-2018</t>
        </is>
      </c>
      <c r="B512" s="1" t="n">
        <v>43419</v>
      </c>
      <c r="C512" s="1" t="n">
        <v>45350</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59890-2018</t>
        </is>
      </c>
      <c r="B513" s="1" t="n">
        <v>43419</v>
      </c>
      <c r="C513" s="1" t="n">
        <v>45350</v>
      </c>
      <c r="D513" t="inlineStr">
        <is>
          <t>STOCKHOLMS LÄN</t>
        </is>
      </c>
      <c r="E513" t="inlineStr">
        <is>
          <t>BOTKYRKA</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59454-2018</t>
        </is>
      </c>
      <c r="B514" s="1" t="n">
        <v>43419</v>
      </c>
      <c r="C514" s="1" t="n">
        <v>45350</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60631-2018</t>
        </is>
      </c>
      <c r="B515" s="1" t="n">
        <v>43420</v>
      </c>
      <c r="C515" s="1" t="n">
        <v>45350</v>
      </c>
      <c r="D515" t="inlineStr">
        <is>
          <t>STOCKHOLMS LÄN</t>
        </is>
      </c>
      <c r="E515" t="inlineStr">
        <is>
          <t>NYNÄSHAMN</t>
        </is>
      </c>
      <c r="G515" t="n">
        <v>2.9</v>
      </c>
      <c r="H515" t="n">
        <v>0</v>
      </c>
      <c r="I515" t="n">
        <v>0</v>
      </c>
      <c r="J515" t="n">
        <v>0</v>
      </c>
      <c r="K515" t="n">
        <v>0</v>
      </c>
      <c r="L515" t="n">
        <v>0</v>
      </c>
      <c r="M515" t="n">
        <v>0</v>
      </c>
      <c r="N515" t="n">
        <v>0</v>
      </c>
      <c r="O515" t="n">
        <v>0</v>
      </c>
      <c r="P515" t="n">
        <v>0</v>
      </c>
      <c r="Q515" t="n">
        <v>0</v>
      </c>
      <c r="R515" s="2" t="inlineStr"/>
    </row>
    <row r="516" ht="15" customHeight="1">
      <c r="A516" t="inlineStr">
        <is>
          <t>A 61574-2018</t>
        </is>
      </c>
      <c r="B516" s="1" t="n">
        <v>43424</v>
      </c>
      <c r="C516" s="1" t="n">
        <v>45350</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61490-2018</t>
        </is>
      </c>
      <c r="B517" s="1" t="n">
        <v>43424</v>
      </c>
      <c r="C517" s="1" t="n">
        <v>45350</v>
      </c>
      <c r="D517" t="inlineStr">
        <is>
          <t>STOCKHOLMS LÄN</t>
        </is>
      </c>
      <c r="E517" t="inlineStr">
        <is>
          <t>NYNÄSHAMN</t>
        </is>
      </c>
      <c r="G517" t="n">
        <v>1.3</v>
      </c>
      <c r="H517" t="n">
        <v>0</v>
      </c>
      <c r="I517" t="n">
        <v>0</v>
      </c>
      <c r="J517" t="n">
        <v>0</v>
      </c>
      <c r="K517" t="n">
        <v>0</v>
      </c>
      <c r="L517" t="n">
        <v>0</v>
      </c>
      <c r="M517" t="n">
        <v>0</v>
      </c>
      <c r="N517" t="n">
        <v>0</v>
      </c>
      <c r="O517" t="n">
        <v>0</v>
      </c>
      <c r="P517" t="n">
        <v>0</v>
      </c>
      <c r="Q517" t="n">
        <v>0</v>
      </c>
      <c r="R517" s="2" t="inlineStr"/>
    </row>
    <row r="518" ht="15" customHeight="1">
      <c r="A518" t="inlineStr">
        <is>
          <t>A 61495-2018</t>
        </is>
      </c>
      <c r="B518" s="1" t="n">
        <v>43424</v>
      </c>
      <c r="C518" s="1" t="n">
        <v>45350</v>
      </c>
      <c r="D518" t="inlineStr">
        <is>
          <t>STOCKHOLMS LÄN</t>
        </is>
      </c>
      <c r="E518" t="inlineStr">
        <is>
          <t>NYNÄSHAMN</t>
        </is>
      </c>
      <c r="G518" t="n">
        <v>8.1</v>
      </c>
      <c r="H518" t="n">
        <v>0</v>
      </c>
      <c r="I518" t="n">
        <v>0</v>
      </c>
      <c r="J518" t="n">
        <v>0</v>
      </c>
      <c r="K518" t="n">
        <v>0</v>
      </c>
      <c r="L518" t="n">
        <v>0</v>
      </c>
      <c r="M518" t="n">
        <v>0</v>
      </c>
      <c r="N518" t="n">
        <v>0</v>
      </c>
      <c r="O518" t="n">
        <v>0</v>
      </c>
      <c r="P518" t="n">
        <v>0</v>
      </c>
      <c r="Q518" t="n">
        <v>0</v>
      </c>
      <c r="R518" s="2" t="inlineStr"/>
    </row>
    <row r="519" ht="15" customHeight="1">
      <c r="A519" t="inlineStr">
        <is>
          <t>A 63233-2018</t>
        </is>
      </c>
      <c r="B519" s="1" t="n">
        <v>43426</v>
      </c>
      <c r="C519" s="1" t="n">
        <v>45350</v>
      </c>
      <c r="D519" t="inlineStr">
        <is>
          <t>STOCKHOLMS LÄN</t>
        </is>
      </c>
      <c r="E519" t="inlineStr">
        <is>
          <t>NORRTÄLJE</t>
        </is>
      </c>
      <c r="G519" t="n">
        <v>6.4</v>
      </c>
      <c r="H519" t="n">
        <v>0</v>
      </c>
      <c r="I519" t="n">
        <v>0</v>
      </c>
      <c r="J519" t="n">
        <v>0</v>
      </c>
      <c r="K519" t="n">
        <v>0</v>
      </c>
      <c r="L519" t="n">
        <v>0</v>
      </c>
      <c r="M519" t="n">
        <v>0</v>
      </c>
      <c r="N519" t="n">
        <v>0</v>
      </c>
      <c r="O519" t="n">
        <v>0</v>
      </c>
      <c r="P519" t="n">
        <v>0</v>
      </c>
      <c r="Q519" t="n">
        <v>0</v>
      </c>
      <c r="R519" s="2" t="inlineStr"/>
    </row>
    <row r="520" ht="15" customHeight="1">
      <c r="A520" t="inlineStr">
        <is>
          <t>A 63230-2018</t>
        </is>
      </c>
      <c r="B520" s="1" t="n">
        <v>43426</v>
      </c>
      <c r="C520" s="1" t="n">
        <v>45350</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64192-2018</t>
        </is>
      </c>
      <c r="B521" s="1" t="n">
        <v>43430</v>
      </c>
      <c r="C521" s="1" t="n">
        <v>45350</v>
      </c>
      <c r="D521" t="inlineStr">
        <is>
          <t>STOCKHOLMS LÄN</t>
        </is>
      </c>
      <c r="E521" t="inlineStr">
        <is>
          <t>VALLENTUNA</t>
        </is>
      </c>
      <c r="G521" t="n">
        <v>1.1</v>
      </c>
      <c r="H521" t="n">
        <v>0</v>
      </c>
      <c r="I521" t="n">
        <v>0</v>
      </c>
      <c r="J521" t="n">
        <v>0</v>
      </c>
      <c r="K521" t="n">
        <v>0</v>
      </c>
      <c r="L521" t="n">
        <v>0</v>
      </c>
      <c r="M521" t="n">
        <v>0</v>
      </c>
      <c r="N521" t="n">
        <v>0</v>
      </c>
      <c r="O521" t="n">
        <v>0</v>
      </c>
      <c r="P521" t="n">
        <v>0</v>
      </c>
      <c r="Q521" t="n">
        <v>0</v>
      </c>
      <c r="R521" s="2" t="inlineStr"/>
    </row>
    <row r="522" ht="15" customHeight="1">
      <c r="A522" t="inlineStr">
        <is>
          <t>A 64196-2018</t>
        </is>
      </c>
      <c r="B522" s="1" t="n">
        <v>43430</v>
      </c>
      <c r="C522" s="1" t="n">
        <v>45350</v>
      </c>
      <c r="D522" t="inlineStr">
        <is>
          <t>STOCKHOLMS LÄN</t>
        </is>
      </c>
      <c r="E522" t="inlineStr">
        <is>
          <t>VALLENTUNA</t>
        </is>
      </c>
      <c r="G522" t="n">
        <v>3.3</v>
      </c>
      <c r="H522" t="n">
        <v>0</v>
      </c>
      <c r="I522" t="n">
        <v>0</v>
      </c>
      <c r="J522" t="n">
        <v>0</v>
      </c>
      <c r="K522" t="n">
        <v>0</v>
      </c>
      <c r="L522" t="n">
        <v>0</v>
      </c>
      <c r="M522" t="n">
        <v>0</v>
      </c>
      <c r="N522" t="n">
        <v>0</v>
      </c>
      <c r="O522" t="n">
        <v>0</v>
      </c>
      <c r="P522" t="n">
        <v>0</v>
      </c>
      <c r="Q522" t="n">
        <v>0</v>
      </c>
      <c r="R522" s="2" t="inlineStr"/>
    </row>
    <row r="523" ht="15" customHeight="1">
      <c r="A523" t="inlineStr">
        <is>
          <t>A 64588-2018</t>
        </is>
      </c>
      <c r="B523" s="1" t="n">
        <v>43431</v>
      </c>
      <c r="C523" s="1" t="n">
        <v>45350</v>
      </c>
      <c r="D523" t="inlineStr">
        <is>
          <t>STOCKHOLMS LÄN</t>
        </is>
      </c>
      <c r="E523" t="inlineStr">
        <is>
          <t>SÖDERTÄLJE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65027-2018</t>
        </is>
      </c>
      <c r="B524" s="1" t="n">
        <v>43432</v>
      </c>
      <c r="C524" s="1" t="n">
        <v>45350</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65232-2018</t>
        </is>
      </c>
      <c r="B525" s="1" t="n">
        <v>43432</v>
      </c>
      <c r="C525" s="1" t="n">
        <v>45350</v>
      </c>
      <c r="D525" t="inlineStr">
        <is>
          <t>STOCKHOLMS LÄN</t>
        </is>
      </c>
      <c r="E525" t="inlineStr">
        <is>
          <t>SÖDERTÄLJE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65235-2018</t>
        </is>
      </c>
      <c r="B526" s="1" t="n">
        <v>43432</v>
      </c>
      <c r="C526" s="1" t="n">
        <v>45350</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65015-2018</t>
        </is>
      </c>
      <c r="B527" s="1" t="n">
        <v>43432</v>
      </c>
      <c r="C527" s="1" t="n">
        <v>45350</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65566-2018</t>
        </is>
      </c>
      <c r="B528" s="1" t="n">
        <v>43433</v>
      </c>
      <c r="C528" s="1" t="n">
        <v>45350</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66176-2018</t>
        </is>
      </c>
      <c r="B529" s="1" t="n">
        <v>43434</v>
      </c>
      <c r="C529" s="1" t="n">
        <v>45350</v>
      </c>
      <c r="D529" t="inlineStr">
        <is>
          <t>STOCKHOLMS LÄN</t>
        </is>
      </c>
      <c r="E529" t="inlineStr">
        <is>
          <t>BOTKYRKA</t>
        </is>
      </c>
      <c r="G529" t="n">
        <v>3.9</v>
      </c>
      <c r="H529" t="n">
        <v>0</v>
      </c>
      <c r="I529" t="n">
        <v>0</v>
      </c>
      <c r="J529" t="n">
        <v>0</v>
      </c>
      <c r="K529" t="n">
        <v>0</v>
      </c>
      <c r="L529" t="n">
        <v>0</v>
      </c>
      <c r="M529" t="n">
        <v>0</v>
      </c>
      <c r="N529" t="n">
        <v>0</v>
      </c>
      <c r="O529" t="n">
        <v>0</v>
      </c>
      <c r="P529" t="n">
        <v>0</v>
      </c>
      <c r="Q529" t="n">
        <v>0</v>
      </c>
      <c r="R529" s="2" t="inlineStr"/>
    </row>
    <row r="530" ht="15" customHeight="1">
      <c r="A530" t="inlineStr">
        <is>
          <t>A 66351-2018</t>
        </is>
      </c>
      <c r="B530" s="1" t="n">
        <v>43436</v>
      </c>
      <c r="C530" s="1" t="n">
        <v>45350</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66350-2018</t>
        </is>
      </c>
      <c r="B531" s="1" t="n">
        <v>43436</v>
      </c>
      <c r="C531" s="1" t="n">
        <v>45350</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67595-2018</t>
        </is>
      </c>
      <c r="B532" s="1" t="n">
        <v>43439</v>
      </c>
      <c r="C532" s="1" t="n">
        <v>45350</v>
      </c>
      <c r="D532" t="inlineStr">
        <is>
          <t>STOCKHOLMS LÄN</t>
        </is>
      </c>
      <c r="E532" t="inlineStr">
        <is>
          <t>SÖDERTÄLJE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67508-2018</t>
        </is>
      </c>
      <c r="B533" s="1" t="n">
        <v>43439</v>
      </c>
      <c r="C533" s="1" t="n">
        <v>45350</v>
      </c>
      <c r="D533" t="inlineStr">
        <is>
          <t>STOCKHOLMS LÄN</t>
        </is>
      </c>
      <c r="E533" t="inlineStr">
        <is>
          <t>SÖDERTÄLJE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68832-2018</t>
        </is>
      </c>
      <c r="B534" s="1" t="n">
        <v>43439</v>
      </c>
      <c r="C534" s="1" t="n">
        <v>45350</v>
      </c>
      <c r="D534" t="inlineStr">
        <is>
          <t>STOCKHOLMS LÄN</t>
        </is>
      </c>
      <c r="E534" t="inlineStr">
        <is>
          <t>BOTKYRKA</t>
        </is>
      </c>
      <c r="G534" t="n">
        <v>0.5</v>
      </c>
      <c r="H534" t="n">
        <v>0</v>
      </c>
      <c r="I534" t="n">
        <v>0</v>
      </c>
      <c r="J534" t="n">
        <v>0</v>
      </c>
      <c r="K534" t="n">
        <v>0</v>
      </c>
      <c r="L534" t="n">
        <v>0</v>
      </c>
      <c r="M534" t="n">
        <v>0</v>
      </c>
      <c r="N534" t="n">
        <v>0</v>
      </c>
      <c r="O534" t="n">
        <v>0</v>
      </c>
      <c r="P534" t="n">
        <v>0</v>
      </c>
      <c r="Q534" t="n">
        <v>0</v>
      </c>
      <c r="R534" s="2" t="inlineStr"/>
    </row>
    <row r="535" ht="15" customHeight="1">
      <c r="A535" t="inlineStr">
        <is>
          <t>A 67951-2018</t>
        </is>
      </c>
      <c r="B535" s="1" t="n">
        <v>43440</v>
      </c>
      <c r="C535" s="1" t="n">
        <v>45350</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67992-2018</t>
        </is>
      </c>
      <c r="B536" s="1" t="n">
        <v>43440</v>
      </c>
      <c r="C536" s="1" t="n">
        <v>45350</v>
      </c>
      <c r="D536" t="inlineStr">
        <is>
          <t>STOCKHOLMS LÄN</t>
        </is>
      </c>
      <c r="E536" t="inlineStr">
        <is>
          <t>NYKVARN</t>
        </is>
      </c>
      <c r="G536" t="n">
        <v>0.8</v>
      </c>
      <c r="H536" t="n">
        <v>0</v>
      </c>
      <c r="I536" t="n">
        <v>0</v>
      </c>
      <c r="J536" t="n">
        <v>0</v>
      </c>
      <c r="K536" t="n">
        <v>0</v>
      </c>
      <c r="L536" t="n">
        <v>0</v>
      </c>
      <c r="M536" t="n">
        <v>0</v>
      </c>
      <c r="N536" t="n">
        <v>0</v>
      </c>
      <c r="O536" t="n">
        <v>0</v>
      </c>
      <c r="P536" t="n">
        <v>0</v>
      </c>
      <c r="Q536" t="n">
        <v>0</v>
      </c>
      <c r="R536" s="2" t="inlineStr"/>
    </row>
    <row r="537" ht="15" customHeight="1">
      <c r="A537" t="inlineStr">
        <is>
          <t>A 68371-2018</t>
        </is>
      </c>
      <c r="B537" s="1" t="n">
        <v>43441</v>
      </c>
      <c r="C537" s="1" t="n">
        <v>45350</v>
      </c>
      <c r="D537" t="inlineStr">
        <is>
          <t>STOCKHOLMS LÄN</t>
        </is>
      </c>
      <c r="E537" t="inlineStr">
        <is>
          <t>NYKVARN</t>
        </is>
      </c>
      <c r="G537" t="n">
        <v>1.2</v>
      </c>
      <c r="H537" t="n">
        <v>0</v>
      </c>
      <c r="I537" t="n">
        <v>0</v>
      </c>
      <c r="J537" t="n">
        <v>0</v>
      </c>
      <c r="K537" t="n">
        <v>0</v>
      </c>
      <c r="L537" t="n">
        <v>0</v>
      </c>
      <c r="M537" t="n">
        <v>0</v>
      </c>
      <c r="N537" t="n">
        <v>0</v>
      </c>
      <c r="O537" t="n">
        <v>0</v>
      </c>
      <c r="P537" t="n">
        <v>0</v>
      </c>
      <c r="Q537" t="n">
        <v>0</v>
      </c>
      <c r="R537" s="2" t="inlineStr"/>
    </row>
    <row r="538" ht="15" customHeight="1">
      <c r="A538" t="inlineStr">
        <is>
          <t>A 68366-2018</t>
        </is>
      </c>
      <c r="B538" s="1" t="n">
        <v>43441</v>
      </c>
      <c r="C538" s="1" t="n">
        <v>45350</v>
      </c>
      <c r="D538" t="inlineStr">
        <is>
          <t>STOCKHOLMS LÄN</t>
        </is>
      </c>
      <c r="E538" t="inlineStr">
        <is>
          <t>NYKVARN</t>
        </is>
      </c>
      <c r="G538" t="n">
        <v>3.2</v>
      </c>
      <c r="H538" t="n">
        <v>0</v>
      </c>
      <c r="I538" t="n">
        <v>0</v>
      </c>
      <c r="J538" t="n">
        <v>0</v>
      </c>
      <c r="K538" t="n">
        <v>0</v>
      </c>
      <c r="L538" t="n">
        <v>0</v>
      </c>
      <c r="M538" t="n">
        <v>0</v>
      </c>
      <c r="N538" t="n">
        <v>0</v>
      </c>
      <c r="O538" t="n">
        <v>0</v>
      </c>
      <c r="P538" t="n">
        <v>0</v>
      </c>
      <c r="Q538" t="n">
        <v>0</v>
      </c>
      <c r="R538" s="2" t="inlineStr"/>
    </row>
    <row r="539" ht="15" customHeight="1">
      <c r="A539" t="inlineStr">
        <is>
          <t>A 68508-2018</t>
        </is>
      </c>
      <c r="B539" s="1" t="n">
        <v>43443</v>
      </c>
      <c r="C539" s="1" t="n">
        <v>45350</v>
      </c>
      <c r="D539" t="inlineStr">
        <is>
          <t>STOCKHOLMS LÄN</t>
        </is>
      </c>
      <c r="E539" t="inlineStr">
        <is>
          <t>NYKVARN</t>
        </is>
      </c>
      <c r="G539" t="n">
        <v>4.1</v>
      </c>
      <c r="H539" t="n">
        <v>0</v>
      </c>
      <c r="I539" t="n">
        <v>0</v>
      </c>
      <c r="J539" t="n">
        <v>0</v>
      </c>
      <c r="K539" t="n">
        <v>0</v>
      </c>
      <c r="L539" t="n">
        <v>0</v>
      </c>
      <c r="M539" t="n">
        <v>0</v>
      </c>
      <c r="N539" t="n">
        <v>0</v>
      </c>
      <c r="O539" t="n">
        <v>0</v>
      </c>
      <c r="P539" t="n">
        <v>0</v>
      </c>
      <c r="Q539" t="n">
        <v>0</v>
      </c>
      <c r="R539" s="2" t="inlineStr"/>
    </row>
    <row r="540" ht="15" customHeight="1">
      <c r="A540" t="inlineStr">
        <is>
          <t>A 70310-2018</t>
        </is>
      </c>
      <c r="B540" s="1" t="n">
        <v>43445</v>
      </c>
      <c r="C540" s="1" t="n">
        <v>45350</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69025-2018</t>
        </is>
      </c>
      <c r="B541" s="1" t="n">
        <v>43445</v>
      </c>
      <c r="C541" s="1" t="n">
        <v>45350</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69314-2018</t>
        </is>
      </c>
      <c r="B542" s="1" t="n">
        <v>43446</v>
      </c>
      <c r="C542" s="1" t="n">
        <v>45350</v>
      </c>
      <c r="D542" t="inlineStr">
        <is>
          <t>STOCKHOLMS LÄN</t>
        </is>
      </c>
      <c r="E542" t="inlineStr">
        <is>
          <t>NYNÄSHAMN</t>
        </is>
      </c>
      <c r="G542" t="n">
        <v>1.3</v>
      </c>
      <c r="H542" t="n">
        <v>0</v>
      </c>
      <c r="I542" t="n">
        <v>0</v>
      </c>
      <c r="J542" t="n">
        <v>0</v>
      </c>
      <c r="K542" t="n">
        <v>0</v>
      </c>
      <c r="L542" t="n">
        <v>0</v>
      </c>
      <c r="M542" t="n">
        <v>0</v>
      </c>
      <c r="N542" t="n">
        <v>0</v>
      </c>
      <c r="O542" t="n">
        <v>0</v>
      </c>
      <c r="P542" t="n">
        <v>0</v>
      </c>
      <c r="Q542" t="n">
        <v>0</v>
      </c>
      <c r="R542" s="2" t="inlineStr"/>
    </row>
    <row r="543" ht="15" customHeight="1">
      <c r="A543" t="inlineStr">
        <is>
          <t>A 69301-2018</t>
        </is>
      </c>
      <c r="B543" s="1" t="n">
        <v>43446</v>
      </c>
      <c r="C543" s="1" t="n">
        <v>45350</v>
      </c>
      <c r="D543" t="inlineStr">
        <is>
          <t>STOCKHOLMS LÄN</t>
        </is>
      </c>
      <c r="E543" t="inlineStr">
        <is>
          <t>NYNÄSHAMN</t>
        </is>
      </c>
      <c r="G543" t="n">
        <v>2.2</v>
      </c>
      <c r="H543" t="n">
        <v>0</v>
      </c>
      <c r="I543" t="n">
        <v>0</v>
      </c>
      <c r="J543" t="n">
        <v>0</v>
      </c>
      <c r="K543" t="n">
        <v>0</v>
      </c>
      <c r="L543" t="n">
        <v>0</v>
      </c>
      <c r="M543" t="n">
        <v>0</v>
      </c>
      <c r="N543" t="n">
        <v>0</v>
      </c>
      <c r="O543" t="n">
        <v>0</v>
      </c>
      <c r="P543" t="n">
        <v>0</v>
      </c>
      <c r="Q543" t="n">
        <v>0</v>
      </c>
      <c r="R543" s="2" t="inlineStr"/>
    </row>
    <row r="544" ht="15" customHeight="1">
      <c r="A544" t="inlineStr">
        <is>
          <t>A 69903-2018</t>
        </is>
      </c>
      <c r="B544" s="1" t="n">
        <v>43447</v>
      </c>
      <c r="C544" s="1" t="n">
        <v>45350</v>
      </c>
      <c r="D544" t="inlineStr">
        <is>
          <t>STOCKHOLMS LÄN</t>
        </is>
      </c>
      <c r="E544" t="inlineStr">
        <is>
          <t>SIGTUNA</t>
        </is>
      </c>
      <c r="G544" t="n">
        <v>4.8</v>
      </c>
      <c r="H544" t="n">
        <v>0</v>
      </c>
      <c r="I544" t="n">
        <v>0</v>
      </c>
      <c r="J544" t="n">
        <v>0</v>
      </c>
      <c r="K544" t="n">
        <v>0</v>
      </c>
      <c r="L544" t="n">
        <v>0</v>
      </c>
      <c r="M544" t="n">
        <v>0</v>
      </c>
      <c r="N544" t="n">
        <v>0</v>
      </c>
      <c r="O544" t="n">
        <v>0</v>
      </c>
      <c r="P544" t="n">
        <v>0</v>
      </c>
      <c r="Q544" t="n">
        <v>0</v>
      </c>
      <c r="R544" s="2" t="inlineStr"/>
    </row>
    <row r="545" ht="15" customHeight="1">
      <c r="A545" t="inlineStr">
        <is>
          <t>A 71399-2018</t>
        </is>
      </c>
      <c r="B545" s="1" t="n">
        <v>43453</v>
      </c>
      <c r="C545" s="1" t="n">
        <v>45350</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72278-2018</t>
        </is>
      </c>
      <c r="B546" s="1" t="n">
        <v>43455</v>
      </c>
      <c r="C546" s="1" t="n">
        <v>45350</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72167-2018</t>
        </is>
      </c>
      <c r="B547" s="1" t="n">
        <v>43455</v>
      </c>
      <c r="C547" s="1" t="n">
        <v>45350</v>
      </c>
      <c r="D547" t="inlineStr">
        <is>
          <t>STOCKHOLMS LÄN</t>
        </is>
      </c>
      <c r="E547" t="inlineStr">
        <is>
          <t>VALLENTUNA</t>
        </is>
      </c>
      <c r="G547" t="n">
        <v>5.7</v>
      </c>
      <c r="H547" t="n">
        <v>0</v>
      </c>
      <c r="I547" t="n">
        <v>0</v>
      </c>
      <c r="J547" t="n">
        <v>0</v>
      </c>
      <c r="K547" t="n">
        <v>0</v>
      </c>
      <c r="L547" t="n">
        <v>0</v>
      </c>
      <c r="M547" t="n">
        <v>0</v>
      </c>
      <c r="N547" t="n">
        <v>0</v>
      </c>
      <c r="O547" t="n">
        <v>0</v>
      </c>
      <c r="P547" t="n">
        <v>0</v>
      </c>
      <c r="Q547" t="n">
        <v>0</v>
      </c>
      <c r="R547" s="2" t="inlineStr"/>
    </row>
    <row r="548" ht="15" customHeight="1">
      <c r="A548" t="inlineStr">
        <is>
          <t>A 72184-2018</t>
        </is>
      </c>
      <c r="B548" s="1" t="n">
        <v>43455</v>
      </c>
      <c r="C548" s="1" t="n">
        <v>45350</v>
      </c>
      <c r="D548" t="inlineStr">
        <is>
          <t>STOCKHOLMS LÄN</t>
        </is>
      </c>
      <c r="E548" t="inlineStr">
        <is>
          <t>ÖSTERÅKER</t>
        </is>
      </c>
      <c r="G548" t="n">
        <v>5</v>
      </c>
      <c r="H548" t="n">
        <v>0</v>
      </c>
      <c r="I548" t="n">
        <v>0</v>
      </c>
      <c r="J548" t="n">
        <v>0</v>
      </c>
      <c r="K548" t="n">
        <v>0</v>
      </c>
      <c r="L548" t="n">
        <v>0</v>
      </c>
      <c r="M548" t="n">
        <v>0</v>
      </c>
      <c r="N548" t="n">
        <v>0</v>
      </c>
      <c r="O548" t="n">
        <v>0</v>
      </c>
      <c r="P548" t="n">
        <v>0</v>
      </c>
      <c r="Q548" t="n">
        <v>0</v>
      </c>
      <c r="R548" s="2" t="inlineStr"/>
    </row>
    <row r="549" ht="15" customHeight="1">
      <c r="A549" t="inlineStr">
        <is>
          <t>A 72255-2018</t>
        </is>
      </c>
      <c r="B549" s="1" t="n">
        <v>43455</v>
      </c>
      <c r="C549" s="1" t="n">
        <v>45350</v>
      </c>
      <c r="D549" t="inlineStr">
        <is>
          <t>STOCKHOLMS LÄN</t>
        </is>
      </c>
      <c r="E549" t="inlineStr">
        <is>
          <t>ÖSTERÅKER</t>
        </is>
      </c>
      <c r="G549" t="n">
        <v>1.9</v>
      </c>
      <c r="H549" t="n">
        <v>0</v>
      </c>
      <c r="I549" t="n">
        <v>0</v>
      </c>
      <c r="J549" t="n">
        <v>0</v>
      </c>
      <c r="K549" t="n">
        <v>0</v>
      </c>
      <c r="L549" t="n">
        <v>0</v>
      </c>
      <c r="M549" t="n">
        <v>0</v>
      </c>
      <c r="N549" t="n">
        <v>0</v>
      </c>
      <c r="O549" t="n">
        <v>0</v>
      </c>
      <c r="P549" t="n">
        <v>0</v>
      </c>
      <c r="Q549" t="n">
        <v>0</v>
      </c>
      <c r="R549" s="2" t="inlineStr"/>
    </row>
    <row r="550" ht="15" customHeight="1">
      <c r="A550" t="inlineStr">
        <is>
          <t>A 72281-2018</t>
        </is>
      </c>
      <c r="B550" s="1" t="n">
        <v>43455</v>
      </c>
      <c r="C550" s="1" t="n">
        <v>45350</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72321-2018</t>
        </is>
      </c>
      <c r="B551" s="1" t="n">
        <v>43456</v>
      </c>
      <c r="C551" s="1" t="n">
        <v>45350</v>
      </c>
      <c r="D551" t="inlineStr">
        <is>
          <t>STOCKHOLMS LÄN</t>
        </is>
      </c>
      <c r="E551" t="inlineStr">
        <is>
          <t>SÖDERTÄLJE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72323-2018</t>
        </is>
      </c>
      <c r="B552" s="1" t="n">
        <v>43456</v>
      </c>
      <c r="C552" s="1" t="n">
        <v>45350</v>
      </c>
      <c r="D552" t="inlineStr">
        <is>
          <t>STOCKHOLMS LÄN</t>
        </is>
      </c>
      <c r="E552" t="inlineStr">
        <is>
          <t>SÖDERTÄLJE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72328-2018</t>
        </is>
      </c>
      <c r="B553" s="1" t="n">
        <v>43459</v>
      </c>
      <c r="C553" s="1" t="n">
        <v>45350</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1424-2019</t>
        </is>
      </c>
      <c r="B554" s="1" t="n">
        <v>43461</v>
      </c>
      <c r="C554" s="1" t="n">
        <v>45350</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72453-2018</t>
        </is>
      </c>
      <c r="B555" s="1" t="n">
        <v>43461</v>
      </c>
      <c r="C555" s="1" t="n">
        <v>45350</v>
      </c>
      <c r="D555" t="inlineStr">
        <is>
          <t>STOCKHOLMS LÄN</t>
        </is>
      </c>
      <c r="E555" t="inlineStr">
        <is>
          <t>NORRTÄLJE</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72408-2018</t>
        </is>
      </c>
      <c r="B556" s="1" t="n">
        <v>43461</v>
      </c>
      <c r="C556" s="1" t="n">
        <v>45350</v>
      </c>
      <c r="D556" t="inlineStr">
        <is>
          <t>STOCKHOLMS LÄN</t>
        </is>
      </c>
      <c r="E556" t="inlineStr">
        <is>
          <t>NORRTÄLJE</t>
        </is>
      </c>
      <c r="G556" t="n">
        <v>1.9</v>
      </c>
      <c r="H556" t="n">
        <v>0</v>
      </c>
      <c r="I556" t="n">
        <v>0</v>
      </c>
      <c r="J556" t="n">
        <v>0</v>
      </c>
      <c r="K556" t="n">
        <v>0</v>
      </c>
      <c r="L556" t="n">
        <v>0</v>
      </c>
      <c r="M556" t="n">
        <v>0</v>
      </c>
      <c r="N556" t="n">
        <v>0</v>
      </c>
      <c r="O556" t="n">
        <v>0</v>
      </c>
      <c r="P556" t="n">
        <v>0</v>
      </c>
      <c r="Q556" t="n">
        <v>0</v>
      </c>
      <c r="R556" s="2" t="inlineStr"/>
    </row>
    <row r="557" ht="15" customHeight="1">
      <c r="A557" t="inlineStr">
        <is>
          <t>A 72547-2018</t>
        </is>
      </c>
      <c r="B557" s="1" t="n">
        <v>43462</v>
      </c>
      <c r="C557" s="1" t="n">
        <v>45350</v>
      </c>
      <c r="D557" t="inlineStr">
        <is>
          <t>STOCKHOLMS LÄN</t>
        </is>
      </c>
      <c r="E557" t="inlineStr">
        <is>
          <t>EKERÖ</t>
        </is>
      </c>
      <c r="F557" t="inlineStr">
        <is>
          <t>Kyrkan</t>
        </is>
      </c>
      <c r="G557" t="n">
        <v>5.1</v>
      </c>
      <c r="H557" t="n">
        <v>0</v>
      </c>
      <c r="I557" t="n">
        <v>0</v>
      </c>
      <c r="J557" t="n">
        <v>0</v>
      </c>
      <c r="K557" t="n">
        <v>0</v>
      </c>
      <c r="L557" t="n">
        <v>0</v>
      </c>
      <c r="M557" t="n">
        <v>0</v>
      </c>
      <c r="N557" t="n">
        <v>0</v>
      </c>
      <c r="O557" t="n">
        <v>0</v>
      </c>
      <c r="P557" t="n">
        <v>0</v>
      </c>
      <c r="Q557" t="n">
        <v>0</v>
      </c>
      <c r="R557" s="2" t="inlineStr"/>
    </row>
    <row r="558" ht="15" customHeight="1">
      <c r="A558" t="inlineStr">
        <is>
          <t>A 248-2019</t>
        </is>
      </c>
      <c r="B558" s="1" t="n">
        <v>43467</v>
      </c>
      <c r="C558" s="1" t="n">
        <v>45350</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441-2019</t>
        </is>
      </c>
      <c r="B559" s="1" t="n">
        <v>43468</v>
      </c>
      <c r="C559" s="1" t="n">
        <v>45350</v>
      </c>
      <c r="D559" t="inlineStr">
        <is>
          <t>STOCKHOLMS LÄN</t>
        </is>
      </c>
      <c r="E559" t="inlineStr">
        <is>
          <t>NORRTÄLJE</t>
        </is>
      </c>
      <c r="G559" t="n">
        <v>7.2</v>
      </c>
      <c r="H559" t="n">
        <v>0</v>
      </c>
      <c r="I559" t="n">
        <v>0</v>
      </c>
      <c r="J559" t="n">
        <v>0</v>
      </c>
      <c r="K559" t="n">
        <v>0</v>
      </c>
      <c r="L559" t="n">
        <v>0</v>
      </c>
      <c r="M559" t="n">
        <v>0</v>
      </c>
      <c r="N559" t="n">
        <v>0</v>
      </c>
      <c r="O559" t="n">
        <v>0</v>
      </c>
      <c r="P559" t="n">
        <v>0</v>
      </c>
      <c r="Q559" t="n">
        <v>0</v>
      </c>
      <c r="R559" s="2" t="inlineStr"/>
    </row>
    <row r="560" ht="15" customHeight="1">
      <c r="A560" t="inlineStr">
        <is>
          <t>A 682-2019</t>
        </is>
      </c>
      <c r="B560" s="1" t="n">
        <v>43469</v>
      </c>
      <c r="C560" s="1" t="n">
        <v>45350</v>
      </c>
      <c r="D560" t="inlineStr">
        <is>
          <t>STOCKHOLMS LÄN</t>
        </is>
      </c>
      <c r="E560" t="inlineStr">
        <is>
          <t>ÖSTERÅKER</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694-2019</t>
        </is>
      </c>
      <c r="B561" s="1" t="n">
        <v>43469</v>
      </c>
      <c r="C561" s="1" t="n">
        <v>45350</v>
      </c>
      <c r="D561" t="inlineStr">
        <is>
          <t>STOCKHOLMS LÄN</t>
        </is>
      </c>
      <c r="E561" t="inlineStr">
        <is>
          <t>NORRTÄLJE</t>
        </is>
      </c>
      <c r="G561" t="n">
        <v>9.4</v>
      </c>
      <c r="H561" t="n">
        <v>0</v>
      </c>
      <c r="I561" t="n">
        <v>0</v>
      </c>
      <c r="J561" t="n">
        <v>0</v>
      </c>
      <c r="K561" t="n">
        <v>0</v>
      </c>
      <c r="L561" t="n">
        <v>0</v>
      </c>
      <c r="M561" t="n">
        <v>0</v>
      </c>
      <c r="N561" t="n">
        <v>0</v>
      </c>
      <c r="O561" t="n">
        <v>0</v>
      </c>
      <c r="P561" t="n">
        <v>0</v>
      </c>
      <c r="Q561" t="n">
        <v>0</v>
      </c>
      <c r="R561" s="2" t="inlineStr"/>
    </row>
    <row r="562" ht="15" customHeight="1">
      <c r="A562" t="inlineStr">
        <is>
          <t>A 649-2019</t>
        </is>
      </c>
      <c r="B562" s="1" t="n">
        <v>43469</v>
      </c>
      <c r="C562" s="1" t="n">
        <v>45350</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568-2019</t>
        </is>
      </c>
      <c r="B563" s="1" t="n">
        <v>43469</v>
      </c>
      <c r="C563" s="1" t="n">
        <v>45350</v>
      </c>
      <c r="D563" t="inlineStr">
        <is>
          <t>STOCKHOLMS LÄN</t>
        </is>
      </c>
      <c r="E563" t="inlineStr">
        <is>
          <t>SÖDERTÄLJE</t>
        </is>
      </c>
      <c r="G563" t="n">
        <v>12.4</v>
      </c>
      <c r="H563" t="n">
        <v>0</v>
      </c>
      <c r="I563" t="n">
        <v>0</v>
      </c>
      <c r="J563" t="n">
        <v>0</v>
      </c>
      <c r="K563" t="n">
        <v>0</v>
      </c>
      <c r="L563" t="n">
        <v>0</v>
      </c>
      <c r="M563" t="n">
        <v>0</v>
      </c>
      <c r="N563" t="n">
        <v>0</v>
      </c>
      <c r="O563" t="n">
        <v>0</v>
      </c>
      <c r="P563" t="n">
        <v>0</v>
      </c>
      <c r="Q563" t="n">
        <v>0</v>
      </c>
      <c r="R563" s="2" t="inlineStr"/>
    </row>
    <row r="564" ht="15" customHeight="1">
      <c r="A564" t="inlineStr">
        <is>
          <t>A 708-2019</t>
        </is>
      </c>
      <c r="B564" s="1" t="n">
        <v>43470</v>
      </c>
      <c r="C564" s="1" t="n">
        <v>45350</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738-2019</t>
        </is>
      </c>
      <c r="B565" s="1" t="n">
        <v>43471</v>
      </c>
      <c r="C565" s="1" t="n">
        <v>45350</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753-2019</t>
        </is>
      </c>
      <c r="B566" s="1" t="n">
        <v>43471</v>
      </c>
      <c r="C566" s="1" t="n">
        <v>45350</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728-2019</t>
        </is>
      </c>
      <c r="B567" s="1" t="n">
        <v>43471</v>
      </c>
      <c r="C567" s="1" t="n">
        <v>45350</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740-2019</t>
        </is>
      </c>
      <c r="B568" s="1" t="n">
        <v>43471</v>
      </c>
      <c r="C568" s="1" t="n">
        <v>45350</v>
      </c>
      <c r="D568" t="inlineStr">
        <is>
          <t>STOCKHOLMS LÄN</t>
        </is>
      </c>
      <c r="E568" t="inlineStr">
        <is>
          <t>NORRTÄLJE</t>
        </is>
      </c>
      <c r="G568" t="n">
        <v>11.4</v>
      </c>
      <c r="H568" t="n">
        <v>0</v>
      </c>
      <c r="I568" t="n">
        <v>0</v>
      </c>
      <c r="J568" t="n">
        <v>0</v>
      </c>
      <c r="K568" t="n">
        <v>0</v>
      </c>
      <c r="L568" t="n">
        <v>0</v>
      </c>
      <c r="M568" t="n">
        <v>0</v>
      </c>
      <c r="N568" t="n">
        <v>0</v>
      </c>
      <c r="O568" t="n">
        <v>0</v>
      </c>
      <c r="P568" t="n">
        <v>0</v>
      </c>
      <c r="Q568" t="n">
        <v>0</v>
      </c>
      <c r="R568" s="2" t="inlineStr"/>
    </row>
    <row r="569" ht="15" customHeight="1">
      <c r="A569" t="inlineStr">
        <is>
          <t>A 761-2019</t>
        </is>
      </c>
      <c r="B569" s="1" t="n">
        <v>43471</v>
      </c>
      <c r="C569" s="1" t="n">
        <v>45350</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750-2019</t>
        </is>
      </c>
      <c r="B570" s="1" t="n">
        <v>43471</v>
      </c>
      <c r="C570" s="1" t="n">
        <v>45350</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725-2019</t>
        </is>
      </c>
      <c r="B571" s="1" t="n">
        <v>43471</v>
      </c>
      <c r="C571" s="1" t="n">
        <v>45350</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751-2019</t>
        </is>
      </c>
      <c r="B572" s="1" t="n">
        <v>43471</v>
      </c>
      <c r="C572" s="1" t="n">
        <v>45350</v>
      </c>
      <c r="D572" t="inlineStr">
        <is>
          <t>STOCKHOLMS LÄN</t>
        </is>
      </c>
      <c r="E572" t="inlineStr">
        <is>
          <t>NORRTÄLJE</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743-2019</t>
        </is>
      </c>
      <c r="B573" s="1" t="n">
        <v>43471</v>
      </c>
      <c r="C573" s="1" t="n">
        <v>45350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726-2019</t>
        </is>
      </c>
      <c r="B574" s="1" t="n">
        <v>43471</v>
      </c>
      <c r="C574" s="1" t="n">
        <v>45350</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744-2019</t>
        </is>
      </c>
      <c r="B575" s="1" t="n">
        <v>43471</v>
      </c>
      <c r="C575" s="1" t="n">
        <v>45350</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758-2019</t>
        </is>
      </c>
      <c r="B576" s="1" t="n">
        <v>43471</v>
      </c>
      <c r="C576" s="1" t="n">
        <v>45350</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727-2019</t>
        </is>
      </c>
      <c r="B577" s="1" t="n">
        <v>43471</v>
      </c>
      <c r="C577" s="1" t="n">
        <v>45350</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891-2019</t>
        </is>
      </c>
      <c r="B578" s="1" t="n">
        <v>43472</v>
      </c>
      <c r="C578" s="1" t="n">
        <v>45350</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1093-2019</t>
        </is>
      </c>
      <c r="B579" s="1" t="n">
        <v>43472</v>
      </c>
      <c r="C579" s="1" t="n">
        <v>45350</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1099-2019</t>
        </is>
      </c>
      <c r="B580" s="1" t="n">
        <v>43472</v>
      </c>
      <c r="C580" s="1" t="n">
        <v>45350</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1336-2019</t>
        </is>
      </c>
      <c r="B581" s="1" t="n">
        <v>43473</v>
      </c>
      <c r="C581" s="1" t="n">
        <v>45350</v>
      </c>
      <c r="D581" t="inlineStr">
        <is>
          <t>STOCKHOLMS LÄN</t>
        </is>
      </c>
      <c r="E581" t="inlineStr">
        <is>
          <t>NORRTÄLJE</t>
        </is>
      </c>
      <c r="G581" t="n">
        <v>4.8</v>
      </c>
      <c r="H581" t="n">
        <v>0</v>
      </c>
      <c r="I581" t="n">
        <v>0</v>
      </c>
      <c r="J581" t="n">
        <v>0</v>
      </c>
      <c r="K581" t="n">
        <v>0</v>
      </c>
      <c r="L581" t="n">
        <v>0</v>
      </c>
      <c r="M581" t="n">
        <v>0</v>
      </c>
      <c r="N581" t="n">
        <v>0</v>
      </c>
      <c r="O581" t="n">
        <v>0</v>
      </c>
      <c r="P581" t="n">
        <v>0</v>
      </c>
      <c r="Q581" t="n">
        <v>0</v>
      </c>
      <c r="R581" s="2" t="inlineStr"/>
    </row>
    <row r="582" ht="15" customHeight="1">
      <c r="A582" t="inlineStr">
        <is>
          <t>A 1349-2019</t>
        </is>
      </c>
      <c r="B582" s="1" t="n">
        <v>43473</v>
      </c>
      <c r="C582" s="1" t="n">
        <v>45350</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1252-2019</t>
        </is>
      </c>
      <c r="B583" s="1" t="n">
        <v>43473</v>
      </c>
      <c r="C583" s="1" t="n">
        <v>45350</v>
      </c>
      <c r="D583" t="inlineStr">
        <is>
          <t>STOCKHOLMS LÄN</t>
        </is>
      </c>
      <c r="E583" t="inlineStr">
        <is>
          <t>NORRTÄLJE</t>
        </is>
      </c>
      <c r="G583" t="n">
        <v>3.7</v>
      </c>
      <c r="H583" t="n">
        <v>0</v>
      </c>
      <c r="I583" t="n">
        <v>0</v>
      </c>
      <c r="J583" t="n">
        <v>0</v>
      </c>
      <c r="K583" t="n">
        <v>0</v>
      </c>
      <c r="L583" t="n">
        <v>0</v>
      </c>
      <c r="M583" t="n">
        <v>0</v>
      </c>
      <c r="N583" t="n">
        <v>0</v>
      </c>
      <c r="O583" t="n">
        <v>0</v>
      </c>
      <c r="P583" t="n">
        <v>0</v>
      </c>
      <c r="Q583" t="n">
        <v>0</v>
      </c>
      <c r="R583" s="2" t="inlineStr"/>
    </row>
    <row r="584" ht="15" customHeight="1">
      <c r="A584" t="inlineStr">
        <is>
          <t>A 3688-2019</t>
        </is>
      </c>
      <c r="B584" s="1" t="n">
        <v>43473</v>
      </c>
      <c r="C584" s="1" t="n">
        <v>45350</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3042-2019</t>
        </is>
      </c>
      <c r="B585" s="1" t="n">
        <v>43473</v>
      </c>
      <c r="C585" s="1" t="n">
        <v>45350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1942-2019</t>
        </is>
      </c>
      <c r="B586" s="1" t="n">
        <v>43474</v>
      </c>
      <c r="C586" s="1" t="n">
        <v>45350</v>
      </c>
      <c r="D586" t="inlineStr">
        <is>
          <t>STOCKHOLMS LÄN</t>
        </is>
      </c>
      <c r="E586" t="inlineStr">
        <is>
          <t>VÄRMDÖ</t>
        </is>
      </c>
      <c r="G586" t="n">
        <v>0.7</v>
      </c>
      <c r="H586" t="n">
        <v>0</v>
      </c>
      <c r="I586" t="n">
        <v>0</v>
      </c>
      <c r="J586" t="n">
        <v>0</v>
      </c>
      <c r="K586" t="n">
        <v>0</v>
      </c>
      <c r="L586" t="n">
        <v>0</v>
      </c>
      <c r="M586" t="n">
        <v>0</v>
      </c>
      <c r="N586" t="n">
        <v>0</v>
      </c>
      <c r="O586" t="n">
        <v>0</v>
      </c>
      <c r="P586" t="n">
        <v>0</v>
      </c>
      <c r="Q586" t="n">
        <v>0</v>
      </c>
      <c r="R586" s="2" t="inlineStr"/>
    </row>
    <row r="587" ht="15" customHeight="1">
      <c r="A587" t="inlineStr">
        <is>
          <t>A 2215-2019</t>
        </is>
      </c>
      <c r="B587" s="1" t="n">
        <v>43475</v>
      </c>
      <c r="C587" s="1" t="n">
        <v>45350</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2281-2019</t>
        </is>
      </c>
      <c r="B588" s="1" t="n">
        <v>43475</v>
      </c>
      <c r="C588" s="1" t="n">
        <v>45350</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1996-2019</t>
        </is>
      </c>
      <c r="B589" s="1" t="n">
        <v>43475</v>
      </c>
      <c r="C589" s="1" t="n">
        <v>45350</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2143-2019</t>
        </is>
      </c>
      <c r="B590" s="1" t="n">
        <v>43475</v>
      </c>
      <c r="C590" s="1" t="n">
        <v>45350</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2011-2019</t>
        </is>
      </c>
      <c r="B591" s="1" t="n">
        <v>43475</v>
      </c>
      <c r="C591" s="1" t="n">
        <v>45350</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2259-2019</t>
        </is>
      </c>
      <c r="B592" s="1" t="n">
        <v>43475</v>
      </c>
      <c r="C592" s="1" t="n">
        <v>45350</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2251-2019</t>
        </is>
      </c>
      <c r="B593" s="1" t="n">
        <v>43475</v>
      </c>
      <c r="C593" s="1" t="n">
        <v>45350</v>
      </c>
      <c r="D593" t="inlineStr">
        <is>
          <t>STOCKHOLMS LÄN</t>
        </is>
      </c>
      <c r="E593" t="inlineStr">
        <is>
          <t>NORRTÄLJE</t>
        </is>
      </c>
      <c r="G593" t="n">
        <v>3.9</v>
      </c>
      <c r="H593" t="n">
        <v>0</v>
      </c>
      <c r="I593" t="n">
        <v>0</v>
      </c>
      <c r="J593" t="n">
        <v>0</v>
      </c>
      <c r="K593" t="n">
        <v>0</v>
      </c>
      <c r="L593" t="n">
        <v>0</v>
      </c>
      <c r="M593" t="n">
        <v>0</v>
      </c>
      <c r="N593" t="n">
        <v>0</v>
      </c>
      <c r="O593" t="n">
        <v>0</v>
      </c>
      <c r="P593" t="n">
        <v>0</v>
      </c>
      <c r="Q593" t="n">
        <v>0</v>
      </c>
      <c r="R593" s="2" t="inlineStr"/>
    </row>
    <row r="594" ht="15" customHeight="1">
      <c r="A594" t="inlineStr">
        <is>
          <t>A 2200-2019</t>
        </is>
      </c>
      <c r="B594" s="1" t="n">
        <v>43475</v>
      </c>
      <c r="C594" s="1" t="n">
        <v>45350</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2137-2019</t>
        </is>
      </c>
      <c r="B595" s="1" t="n">
        <v>43475</v>
      </c>
      <c r="C595" s="1" t="n">
        <v>45350</v>
      </c>
      <c r="D595" t="inlineStr">
        <is>
          <t>STOCKHOLMS LÄN</t>
        </is>
      </c>
      <c r="E595" t="inlineStr">
        <is>
          <t>NORRTÄLJE</t>
        </is>
      </c>
      <c r="G595" t="n">
        <v>4.3</v>
      </c>
      <c r="H595" t="n">
        <v>0</v>
      </c>
      <c r="I595" t="n">
        <v>0</v>
      </c>
      <c r="J595" t="n">
        <v>0</v>
      </c>
      <c r="K595" t="n">
        <v>0</v>
      </c>
      <c r="L595" t="n">
        <v>0</v>
      </c>
      <c r="M595" t="n">
        <v>0</v>
      </c>
      <c r="N595" t="n">
        <v>0</v>
      </c>
      <c r="O595" t="n">
        <v>0</v>
      </c>
      <c r="P595" t="n">
        <v>0</v>
      </c>
      <c r="Q595" t="n">
        <v>0</v>
      </c>
      <c r="R595" s="2" t="inlineStr"/>
    </row>
    <row r="596" ht="15" customHeight="1">
      <c r="A596" t="inlineStr">
        <is>
          <t>A 3848-2019</t>
        </is>
      </c>
      <c r="B596" s="1" t="n">
        <v>43475</v>
      </c>
      <c r="C596" s="1" t="n">
        <v>45350</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2568-2019</t>
        </is>
      </c>
      <c r="B597" s="1" t="n">
        <v>43476</v>
      </c>
      <c r="C597" s="1" t="n">
        <v>45350</v>
      </c>
      <c r="D597" t="inlineStr">
        <is>
          <t>STOCKHOLMS LÄN</t>
        </is>
      </c>
      <c r="E597" t="inlineStr">
        <is>
          <t>NORRTÄLJE</t>
        </is>
      </c>
      <c r="G597" t="n">
        <v>7.4</v>
      </c>
      <c r="H597" t="n">
        <v>0</v>
      </c>
      <c r="I597" t="n">
        <v>0</v>
      </c>
      <c r="J597" t="n">
        <v>0</v>
      </c>
      <c r="K597" t="n">
        <v>0</v>
      </c>
      <c r="L597" t="n">
        <v>0</v>
      </c>
      <c r="M597" t="n">
        <v>0</v>
      </c>
      <c r="N597" t="n">
        <v>0</v>
      </c>
      <c r="O597" t="n">
        <v>0</v>
      </c>
      <c r="P597" t="n">
        <v>0</v>
      </c>
      <c r="Q597" t="n">
        <v>0</v>
      </c>
      <c r="R597" s="2" t="inlineStr"/>
    </row>
    <row r="598" ht="15" customHeight="1">
      <c r="A598" t="inlineStr">
        <is>
          <t>A 2571-2019</t>
        </is>
      </c>
      <c r="B598" s="1" t="n">
        <v>43476</v>
      </c>
      <c r="C598" s="1" t="n">
        <v>45350</v>
      </c>
      <c r="D598" t="inlineStr">
        <is>
          <t>STOCKHOLMS LÄN</t>
        </is>
      </c>
      <c r="E598" t="inlineStr">
        <is>
          <t>NORRTÄLJE</t>
        </is>
      </c>
      <c r="G598" t="n">
        <v>16.5</v>
      </c>
      <c r="H598" t="n">
        <v>0</v>
      </c>
      <c r="I598" t="n">
        <v>0</v>
      </c>
      <c r="J598" t="n">
        <v>0</v>
      </c>
      <c r="K598" t="n">
        <v>0</v>
      </c>
      <c r="L598" t="n">
        <v>0</v>
      </c>
      <c r="M598" t="n">
        <v>0</v>
      </c>
      <c r="N598" t="n">
        <v>0</v>
      </c>
      <c r="O598" t="n">
        <v>0</v>
      </c>
      <c r="P598" t="n">
        <v>0</v>
      </c>
      <c r="Q598" t="n">
        <v>0</v>
      </c>
      <c r="R598" s="2" t="inlineStr"/>
    </row>
    <row r="599" ht="15" customHeight="1">
      <c r="A599" t="inlineStr">
        <is>
          <t>A 2575-2019</t>
        </is>
      </c>
      <c r="B599" s="1" t="n">
        <v>43476</v>
      </c>
      <c r="C599" s="1" t="n">
        <v>45350</v>
      </c>
      <c r="D599" t="inlineStr">
        <is>
          <t>STOCKHOLMS LÄN</t>
        </is>
      </c>
      <c r="E599" t="inlineStr">
        <is>
          <t>HANINGE</t>
        </is>
      </c>
      <c r="F599" t="inlineStr">
        <is>
          <t>Kommuner</t>
        </is>
      </c>
      <c r="G599" t="n">
        <v>2.6</v>
      </c>
      <c r="H599" t="n">
        <v>0</v>
      </c>
      <c r="I599" t="n">
        <v>0</v>
      </c>
      <c r="J599" t="n">
        <v>0</v>
      </c>
      <c r="K599" t="n">
        <v>0</v>
      </c>
      <c r="L599" t="n">
        <v>0</v>
      </c>
      <c r="M599" t="n">
        <v>0</v>
      </c>
      <c r="N599" t="n">
        <v>0</v>
      </c>
      <c r="O599" t="n">
        <v>0</v>
      </c>
      <c r="P599" t="n">
        <v>0</v>
      </c>
      <c r="Q599" t="n">
        <v>0</v>
      </c>
      <c r="R599" s="2" t="inlineStr"/>
    </row>
    <row r="600" ht="15" customHeight="1">
      <c r="A600" t="inlineStr">
        <is>
          <t>A 2628-2019</t>
        </is>
      </c>
      <c r="B600" s="1" t="n">
        <v>43477</v>
      </c>
      <c r="C600" s="1" t="n">
        <v>45350</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2626-2019</t>
        </is>
      </c>
      <c r="B601" s="1" t="n">
        <v>43477</v>
      </c>
      <c r="C601" s="1" t="n">
        <v>45350</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2634-2019</t>
        </is>
      </c>
      <c r="B602" s="1" t="n">
        <v>43478</v>
      </c>
      <c r="C602" s="1" t="n">
        <v>45350</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2659-2019</t>
        </is>
      </c>
      <c r="B603" s="1" t="n">
        <v>43478</v>
      </c>
      <c r="C603" s="1" t="n">
        <v>45350</v>
      </c>
      <c r="D603" t="inlineStr">
        <is>
          <t>STOCKHOLMS LÄN</t>
        </is>
      </c>
      <c r="E603" t="inlineStr">
        <is>
          <t>NORRTÄLJE</t>
        </is>
      </c>
      <c r="G603" t="n">
        <v>6.8</v>
      </c>
      <c r="H603" t="n">
        <v>0</v>
      </c>
      <c r="I603" t="n">
        <v>0</v>
      </c>
      <c r="J603" t="n">
        <v>0</v>
      </c>
      <c r="K603" t="n">
        <v>0</v>
      </c>
      <c r="L603" t="n">
        <v>0</v>
      </c>
      <c r="M603" t="n">
        <v>0</v>
      </c>
      <c r="N603" t="n">
        <v>0</v>
      </c>
      <c r="O603" t="n">
        <v>0</v>
      </c>
      <c r="P603" t="n">
        <v>0</v>
      </c>
      <c r="Q603" t="n">
        <v>0</v>
      </c>
      <c r="R603" s="2" t="inlineStr"/>
    </row>
    <row r="604" ht="15" customHeight="1">
      <c r="A604" t="inlineStr">
        <is>
          <t>A 2646-2019</t>
        </is>
      </c>
      <c r="B604" s="1" t="n">
        <v>43478</v>
      </c>
      <c r="C604" s="1" t="n">
        <v>45350</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2657-2019</t>
        </is>
      </c>
      <c r="B605" s="1" t="n">
        <v>43478</v>
      </c>
      <c r="C605" s="1" t="n">
        <v>45350</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2651-2019</t>
        </is>
      </c>
      <c r="B606" s="1" t="n">
        <v>43478</v>
      </c>
      <c r="C606" s="1" t="n">
        <v>45350</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2635-2019</t>
        </is>
      </c>
      <c r="B607" s="1" t="n">
        <v>43478</v>
      </c>
      <c r="C607" s="1" t="n">
        <v>45350</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2655-2019</t>
        </is>
      </c>
      <c r="B608" s="1" t="n">
        <v>43478</v>
      </c>
      <c r="C608" s="1" t="n">
        <v>45350</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2658-2019</t>
        </is>
      </c>
      <c r="B609" s="1" t="n">
        <v>43478</v>
      </c>
      <c r="C609" s="1" t="n">
        <v>45350</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2731-2019</t>
        </is>
      </c>
      <c r="B610" s="1" t="n">
        <v>43479</v>
      </c>
      <c r="C610" s="1" t="n">
        <v>45350</v>
      </c>
      <c r="D610" t="inlineStr">
        <is>
          <t>STOCKHOLMS LÄN</t>
        </is>
      </c>
      <c r="E610" t="inlineStr">
        <is>
          <t>NYKVARN</t>
        </is>
      </c>
      <c r="G610" t="n">
        <v>1.3</v>
      </c>
      <c r="H610" t="n">
        <v>0</v>
      </c>
      <c r="I610" t="n">
        <v>0</v>
      </c>
      <c r="J610" t="n">
        <v>0</v>
      </c>
      <c r="K610" t="n">
        <v>0</v>
      </c>
      <c r="L610" t="n">
        <v>0</v>
      </c>
      <c r="M610" t="n">
        <v>0</v>
      </c>
      <c r="N610" t="n">
        <v>0</v>
      </c>
      <c r="O610" t="n">
        <v>0</v>
      </c>
      <c r="P610" t="n">
        <v>0</v>
      </c>
      <c r="Q610" t="n">
        <v>0</v>
      </c>
      <c r="R610" s="2" t="inlineStr"/>
    </row>
    <row r="611" ht="15" customHeight="1">
      <c r="A611" t="inlineStr">
        <is>
          <t>A 2823-2019</t>
        </is>
      </c>
      <c r="B611" s="1" t="n">
        <v>43479</v>
      </c>
      <c r="C611" s="1" t="n">
        <v>45350</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2796-2019</t>
        </is>
      </c>
      <c r="B612" s="1" t="n">
        <v>43479</v>
      </c>
      <c r="C612" s="1" t="n">
        <v>45350</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3054-2019</t>
        </is>
      </c>
      <c r="B613" s="1" t="n">
        <v>43479</v>
      </c>
      <c r="C613" s="1" t="n">
        <v>45350</v>
      </c>
      <c r="D613" t="inlineStr">
        <is>
          <t>STOCKHOLMS LÄN</t>
        </is>
      </c>
      <c r="E613" t="inlineStr">
        <is>
          <t>SIGTUNA</t>
        </is>
      </c>
      <c r="G613" t="n">
        <v>1.4</v>
      </c>
      <c r="H613" t="n">
        <v>0</v>
      </c>
      <c r="I613" t="n">
        <v>0</v>
      </c>
      <c r="J613" t="n">
        <v>0</v>
      </c>
      <c r="K613" t="n">
        <v>0</v>
      </c>
      <c r="L613" t="n">
        <v>0</v>
      </c>
      <c r="M613" t="n">
        <v>0</v>
      </c>
      <c r="N613" t="n">
        <v>0</v>
      </c>
      <c r="O613" t="n">
        <v>0</v>
      </c>
      <c r="P613" t="n">
        <v>0</v>
      </c>
      <c r="Q613" t="n">
        <v>0</v>
      </c>
      <c r="R613" s="2" t="inlineStr"/>
    </row>
    <row r="614" ht="15" customHeight="1">
      <c r="A614" t="inlineStr">
        <is>
          <t>A 2833-2019</t>
        </is>
      </c>
      <c r="B614" s="1" t="n">
        <v>43479</v>
      </c>
      <c r="C614" s="1" t="n">
        <v>45350</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2966-2019</t>
        </is>
      </c>
      <c r="B615" s="1" t="n">
        <v>43479</v>
      </c>
      <c r="C615" s="1" t="n">
        <v>45350</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2967-2019</t>
        </is>
      </c>
      <c r="B616" s="1" t="n">
        <v>43479</v>
      </c>
      <c r="C616" s="1" t="n">
        <v>45350</v>
      </c>
      <c r="D616" t="inlineStr">
        <is>
          <t>STOCKHOLMS LÄN</t>
        </is>
      </c>
      <c r="E616" t="inlineStr">
        <is>
          <t>NYNÄSHAMN</t>
        </is>
      </c>
      <c r="G616" t="n">
        <v>2.2</v>
      </c>
      <c r="H616" t="n">
        <v>0</v>
      </c>
      <c r="I616" t="n">
        <v>0</v>
      </c>
      <c r="J616" t="n">
        <v>0</v>
      </c>
      <c r="K616" t="n">
        <v>0</v>
      </c>
      <c r="L616" t="n">
        <v>0</v>
      </c>
      <c r="M616" t="n">
        <v>0</v>
      </c>
      <c r="N616" t="n">
        <v>0</v>
      </c>
      <c r="O616" t="n">
        <v>0</v>
      </c>
      <c r="P616" t="n">
        <v>0</v>
      </c>
      <c r="Q616" t="n">
        <v>0</v>
      </c>
      <c r="R616" s="2" t="inlineStr"/>
    </row>
    <row r="617" ht="15" customHeight="1">
      <c r="A617" t="inlineStr">
        <is>
          <t>A 3079-2019</t>
        </is>
      </c>
      <c r="B617" s="1" t="n">
        <v>43479</v>
      </c>
      <c r="C617" s="1" t="n">
        <v>45350</v>
      </c>
      <c r="D617" t="inlineStr">
        <is>
          <t>STOCKHOLMS LÄN</t>
        </is>
      </c>
      <c r="E617" t="inlineStr">
        <is>
          <t>NORRTÄLJE</t>
        </is>
      </c>
      <c r="G617" t="n">
        <v>13.6</v>
      </c>
      <c r="H617" t="n">
        <v>0</v>
      </c>
      <c r="I617" t="n">
        <v>0</v>
      </c>
      <c r="J617" t="n">
        <v>0</v>
      </c>
      <c r="K617" t="n">
        <v>0</v>
      </c>
      <c r="L617" t="n">
        <v>0</v>
      </c>
      <c r="M617" t="n">
        <v>0</v>
      </c>
      <c r="N617" t="n">
        <v>0</v>
      </c>
      <c r="O617" t="n">
        <v>0</v>
      </c>
      <c r="P617" t="n">
        <v>0</v>
      </c>
      <c r="Q617" t="n">
        <v>0</v>
      </c>
      <c r="R617" s="2" t="inlineStr"/>
    </row>
    <row r="618" ht="15" customHeight="1">
      <c r="A618" t="inlineStr">
        <is>
          <t>A 2839-2019</t>
        </is>
      </c>
      <c r="B618" s="1" t="n">
        <v>43479</v>
      </c>
      <c r="C618" s="1" t="n">
        <v>45350</v>
      </c>
      <c r="D618" t="inlineStr">
        <is>
          <t>STOCKHOLMS LÄN</t>
        </is>
      </c>
      <c r="E618" t="inlineStr">
        <is>
          <t>NORRTÄLJE</t>
        </is>
      </c>
      <c r="G618" t="n">
        <v>4</v>
      </c>
      <c r="H618" t="n">
        <v>0</v>
      </c>
      <c r="I618" t="n">
        <v>0</v>
      </c>
      <c r="J618" t="n">
        <v>0</v>
      </c>
      <c r="K618" t="n">
        <v>0</v>
      </c>
      <c r="L618" t="n">
        <v>0</v>
      </c>
      <c r="M618" t="n">
        <v>0</v>
      </c>
      <c r="N618" t="n">
        <v>0</v>
      </c>
      <c r="O618" t="n">
        <v>0</v>
      </c>
      <c r="P618" t="n">
        <v>0</v>
      </c>
      <c r="Q618" t="n">
        <v>0</v>
      </c>
      <c r="R618" s="2" t="inlineStr"/>
    </row>
    <row r="619" ht="15" customHeight="1">
      <c r="A619" t="inlineStr">
        <is>
          <t>A 4731-2019</t>
        </is>
      </c>
      <c r="B619" s="1" t="n">
        <v>43479</v>
      </c>
      <c r="C619" s="1" t="n">
        <v>45350</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3088-2019</t>
        </is>
      </c>
      <c r="B620" s="1" t="n">
        <v>43479</v>
      </c>
      <c r="C620" s="1" t="n">
        <v>45350</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3133-2019</t>
        </is>
      </c>
      <c r="B621" s="1" t="n">
        <v>43480</v>
      </c>
      <c r="C621" s="1" t="n">
        <v>45350</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3376-2019</t>
        </is>
      </c>
      <c r="B622" s="1" t="n">
        <v>43480</v>
      </c>
      <c r="C622" s="1" t="n">
        <v>45350</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3361-2019</t>
        </is>
      </c>
      <c r="B623" s="1" t="n">
        <v>43480</v>
      </c>
      <c r="C623" s="1" t="n">
        <v>45350</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3372-2019</t>
        </is>
      </c>
      <c r="B624" s="1" t="n">
        <v>43480</v>
      </c>
      <c r="C624" s="1" t="n">
        <v>45350</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3342-2019</t>
        </is>
      </c>
      <c r="B625" s="1" t="n">
        <v>43480</v>
      </c>
      <c r="C625" s="1" t="n">
        <v>45350</v>
      </c>
      <c r="D625" t="inlineStr">
        <is>
          <t>STOCKHOLMS LÄN</t>
        </is>
      </c>
      <c r="E625" t="inlineStr">
        <is>
          <t>NYNÄSHAMN</t>
        </is>
      </c>
      <c r="G625" t="n">
        <v>2.1</v>
      </c>
      <c r="H625" t="n">
        <v>0</v>
      </c>
      <c r="I625" t="n">
        <v>0</v>
      </c>
      <c r="J625" t="n">
        <v>0</v>
      </c>
      <c r="K625" t="n">
        <v>0</v>
      </c>
      <c r="L625" t="n">
        <v>0</v>
      </c>
      <c r="M625" t="n">
        <v>0</v>
      </c>
      <c r="N625" t="n">
        <v>0</v>
      </c>
      <c r="O625" t="n">
        <v>0</v>
      </c>
      <c r="P625" t="n">
        <v>0</v>
      </c>
      <c r="Q625" t="n">
        <v>0</v>
      </c>
      <c r="R625" s="2" t="inlineStr"/>
    </row>
    <row r="626" ht="15" customHeight="1">
      <c r="A626" t="inlineStr">
        <is>
          <t>A 3232-2019</t>
        </is>
      </c>
      <c r="B626" s="1" t="n">
        <v>43480</v>
      </c>
      <c r="C626" s="1" t="n">
        <v>45350</v>
      </c>
      <c r="D626" t="inlineStr">
        <is>
          <t>STOCKHOLMS LÄN</t>
        </is>
      </c>
      <c r="E626" t="inlineStr">
        <is>
          <t>NORRTÄLJE</t>
        </is>
      </c>
      <c r="G626" t="n">
        <v>9.1</v>
      </c>
      <c r="H626" t="n">
        <v>0</v>
      </c>
      <c r="I626" t="n">
        <v>0</v>
      </c>
      <c r="J626" t="n">
        <v>0</v>
      </c>
      <c r="K626" t="n">
        <v>0</v>
      </c>
      <c r="L626" t="n">
        <v>0</v>
      </c>
      <c r="M626" t="n">
        <v>0</v>
      </c>
      <c r="N626" t="n">
        <v>0</v>
      </c>
      <c r="O626" t="n">
        <v>0</v>
      </c>
      <c r="P626" t="n">
        <v>0</v>
      </c>
      <c r="Q626" t="n">
        <v>0</v>
      </c>
      <c r="R626" s="2" t="inlineStr"/>
    </row>
    <row r="627" ht="15" customHeight="1">
      <c r="A627" t="inlineStr">
        <is>
          <t>A 3156-2019</t>
        </is>
      </c>
      <c r="B627" s="1" t="n">
        <v>43480</v>
      </c>
      <c r="C627" s="1" t="n">
        <v>45350</v>
      </c>
      <c r="D627" t="inlineStr">
        <is>
          <t>STOCKHOLMS LÄN</t>
        </is>
      </c>
      <c r="E627" t="inlineStr">
        <is>
          <t>NORRTÄLJE</t>
        </is>
      </c>
      <c r="G627" t="n">
        <v>0.1</v>
      </c>
      <c r="H627" t="n">
        <v>0</v>
      </c>
      <c r="I627" t="n">
        <v>0</v>
      </c>
      <c r="J627" t="n">
        <v>0</v>
      </c>
      <c r="K627" t="n">
        <v>0</v>
      </c>
      <c r="L627" t="n">
        <v>0</v>
      </c>
      <c r="M627" t="n">
        <v>0</v>
      </c>
      <c r="N627" t="n">
        <v>0</v>
      </c>
      <c r="O627" t="n">
        <v>0</v>
      </c>
      <c r="P627" t="n">
        <v>0</v>
      </c>
      <c r="Q627" t="n">
        <v>0</v>
      </c>
      <c r="R627" s="2" t="inlineStr"/>
    </row>
    <row r="628" ht="15" customHeight="1">
      <c r="A628" t="inlineStr">
        <is>
          <t>A 3475-2019</t>
        </is>
      </c>
      <c r="B628" s="1" t="n">
        <v>43481</v>
      </c>
      <c r="C628" s="1" t="n">
        <v>45350</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3480-2019</t>
        </is>
      </c>
      <c r="B629" s="1" t="n">
        <v>43481</v>
      </c>
      <c r="C629" s="1" t="n">
        <v>45350</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3741-2019</t>
        </is>
      </c>
      <c r="B630" s="1" t="n">
        <v>43481</v>
      </c>
      <c r="C630" s="1" t="n">
        <v>45350</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3743-2019</t>
        </is>
      </c>
      <c r="B631" s="1" t="n">
        <v>43481</v>
      </c>
      <c r="C631" s="1" t="n">
        <v>45350</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3456-2019</t>
        </is>
      </c>
      <c r="B632" s="1" t="n">
        <v>43481</v>
      </c>
      <c r="C632" s="1" t="n">
        <v>45350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3502-2019</t>
        </is>
      </c>
      <c r="B633" s="1" t="n">
        <v>43481</v>
      </c>
      <c r="C633" s="1" t="n">
        <v>45350</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4107-2019</t>
        </is>
      </c>
      <c r="B634" s="1" t="n">
        <v>43482</v>
      </c>
      <c r="C634" s="1" t="n">
        <v>45350</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3879-2019</t>
        </is>
      </c>
      <c r="B635" s="1" t="n">
        <v>43482</v>
      </c>
      <c r="C635" s="1" t="n">
        <v>45350</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4069-2019</t>
        </is>
      </c>
      <c r="B636" s="1" t="n">
        <v>43482</v>
      </c>
      <c r="C636" s="1" t="n">
        <v>45350</v>
      </c>
      <c r="D636" t="inlineStr">
        <is>
          <t>STOCKHOLMS LÄN</t>
        </is>
      </c>
      <c r="E636" t="inlineStr">
        <is>
          <t>SÖDERTÄLJE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4040-2019</t>
        </is>
      </c>
      <c r="B637" s="1" t="n">
        <v>43482</v>
      </c>
      <c r="C637" s="1" t="n">
        <v>45350</v>
      </c>
      <c r="D637" t="inlineStr">
        <is>
          <t>STOCKHOLMS LÄN</t>
        </is>
      </c>
      <c r="E637" t="inlineStr">
        <is>
          <t>NORRTÄLJE</t>
        </is>
      </c>
      <c r="F637" t="inlineStr">
        <is>
          <t>Övriga statliga verk och myndigheter</t>
        </is>
      </c>
      <c r="G637" t="n">
        <v>10.7</v>
      </c>
      <c r="H637" t="n">
        <v>0</v>
      </c>
      <c r="I637" t="n">
        <v>0</v>
      </c>
      <c r="J637" t="n">
        <v>0</v>
      </c>
      <c r="K637" t="n">
        <v>0</v>
      </c>
      <c r="L637" t="n">
        <v>0</v>
      </c>
      <c r="M637" t="n">
        <v>0</v>
      </c>
      <c r="N637" t="n">
        <v>0</v>
      </c>
      <c r="O637" t="n">
        <v>0</v>
      </c>
      <c r="P637" t="n">
        <v>0</v>
      </c>
      <c r="Q637" t="n">
        <v>0</v>
      </c>
      <c r="R637" s="2" t="inlineStr"/>
    </row>
    <row r="638" ht="15" customHeight="1">
      <c r="A638" t="inlineStr">
        <is>
          <t>A 4036-2019</t>
        </is>
      </c>
      <c r="B638" s="1" t="n">
        <v>43482</v>
      </c>
      <c r="C638" s="1" t="n">
        <v>45350</v>
      </c>
      <c r="D638" t="inlineStr">
        <is>
          <t>STOCKHOLMS LÄN</t>
        </is>
      </c>
      <c r="E638" t="inlineStr">
        <is>
          <t>NORRTÄLJE</t>
        </is>
      </c>
      <c r="G638" t="n">
        <v>6</v>
      </c>
      <c r="H638" t="n">
        <v>0</v>
      </c>
      <c r="I638" t="n">
        <v>0</v>
      </c>
      <c r="J638" t="n">
        <v>0</v>
      </c>
      <c r="K638" t="n">
        <v>0</v>
      </c>
      <c r="L638" t="n">
        <v>0</v>
      </c>
      <c r="M638" t="n">
        <v>0</v>
      </c>
      <c r="N638" t="n">
        <v>0</v>
      </c>
      <c r="O638" t="n">
        <v>0</v>
      </c>
      <c r="P638" t="n">
        <v>0</v>
      </c>
      <c r="Q638" t="n">
        <v>0</v>
      </c>
      <c r="R638" s="2" t="inlineStr"/>
    </row>
    <row r="639" ht="15" customHeight="1">
      <c r="A639" t="inlineStr">
        <is>
          <t>A 4037-2019</t>
        </is>
      </c>
      <c r="B639" s="1" t="n">
        <v>43482</v>
      </c>
      <c r="C639" s="1" t="n">
        <v>45350</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4027-2019</t>
        </is>
      </c>
      <c r="B640" s="1" t="n">
        <v>43482</v>
      </c>
      <c r="C640" s="1" t="n">
        <v>45350</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3864-2019</t>
        </is>
      </c>
      <c r="B641" s="1" t="n">
        <v>43482</v>
      </c>
      <c r="C641" s="1" t="n">
        <v>45350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5507-2019</t>
        </is>
      </c>
      <c r="B642" s="1" t="n">
        <v>43482</v>
      </c>
      <c r="C642" s="1" t="n">
        <v>45350</v>
      </c>
      <c r="D642" t="inlineStr">
        <is>
          <t>STOCKHOLMS LÄN</t>
        </is>
      </c>
      <c r="E642" t="inlineStr">
        <is>
          <t>VALLENTUNA</t>
        </is>
      </c>
      <c r="G642" t="n">
        <v>2.5</v>
      </c>
      <c r="H642" t="n">
        <v>0</v>
      </c>
      <c r="I642" t="n">
        <v>0</v>
      </c>
      <c r="J642" t="n">
        <v>0</v>
      </c>
      <c r="K642" t="n">
        <v>0</v>
      </c>
      <c r="L642" t="n">
        <v>0</v>
      </c>
      <c r="M642" t="n">
        <v>0</v>
      </c>
      <c r="N642" t="n">
        <v>0</v>
      </c>
      <c r="O642" t="n">
        <v>0</v>
      </c>
      <c r="P642" t="n">
        <v>0</v>
      </c>
      <c r="Q642" t="n">
        <v>0</v>
      </c>
      <c r="R642" s="2" t="inlineStr"/>
    </row>
    <row r="643" ht="15" customHeight="1">
      <c r="A643" t="inlineStr">
        <is>
          <t>A 4230-2019</t>
        </is>
      </c>
      <c r="B643" s="1" t="n">
        <v>43483</v>
      </c>
      <c r="C643" s="1" t="n">
        <v>45350</v>
      </c>
      <c r="D643" t="inlineStr">
        <is>
          <t>STOCKHOLMS LÄN</t>
        </is>
      </c>
      <c r="E643" t="inlineStr">
        <is>
          <t>VALLENTUNA</t>
        </is>
      </c>
      <c r="G643" t="n">
        <v>1.7</v>
      </c>
      <c r="H643" t="n">
        <v>0</v>
      </c>
      <c r="I643" t="n">
        <v>0</v>
      </c>
      <c r="J643" t="n">
        <v>0</v>
      </c>
      <c r="K643" t="n">
        <v>0</v>
      </c>
      <c r="L643" t="n">
        <v>0</v>
      </c>
      <c r="M643" t="n">
        <v>0</v>
      </c>
      <c r="N643" t="n">
        <v>0</v>
      </c>
      <c r="O643" t="n">
        <v>0</v>
      </c>
      <c r="P643" t="n">
        <v>0</v>
      </c>
      <c r="Q643" t="n">
        <v>0</v>
      </c>
      <c r="R643" s="2" t="inlineStr"/>
    </row>
    <row r="644" ht="15" customHeight="1">
      <c r="A644" t="inlineStr">
        <is>
          <t>A 4133-2019</t>
        </is>
      </c>
      <c r="B644" s="1" t="n">
        <v>43483</v>
      </c>
      <c r="C644" s="1" t="n">
        <v>45350</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4397-2019</t>
        </is>
      </c>
      <c r="B645" s="1" t="n">
        <v>43484</v>
      </c>
      <c r="C645" s="1" t="n">
        <v>45350</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4393-2019</t>
        </is>
      </c>
      <c r="B646" s="1" t="n">
        <v>43484</v>
      </c>
      <c r="C646" s="1" t="n">
        <v>45350</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4395-2019</t>
        </is>
      </c>
      <c r="B647" s="1" t="n">
        <v>43484</v>
      </c>
      <c r="C647" s="1" t="n">
        <v>45350</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4394-2019</t>
        </is>
      </c>
      <c r="B648" s="1" t="n">
        <v>43484</v>
      </c>
      <c r="C648" s="1" t="n">
        <v>45350</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4457-2019</t>
        </is>
      </c>
      <c r="B649" s="1" t="n">
        <v>43485</v>
      </c>
      <c r="C649" s="1" t="n">
        <v>45350</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4664-2019</t>
        </is>
      </c>
      <c r="B650" s="1" t="n">
        <v>43486</v>
      </c>
      <c r="C650" s="1" t="n">
        <v>45350</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4548-2019</t>
        </is>
      </c>
      <c r="B651" s="1" t="n">
        <v>43486</v>
      </c>
      <c r="C651" s="1" t="n">
        <v>45350</v>
      </c>
      <c r="D651" t="inlineStr">
        <is>
          <t>STOCKHOLMS LÄN</t>
        </is>
      </c>
      <c r="E651" t="inlineStr">
        <is>
          <t>NORRTÄLJE</t>
        </is>
      </c>
      <c r="F651" t="inlineStr">
        <is>
          <t>Kommuner</t>
        </is>
      </c>
      <c r="G651" t="n">
        <v>2</v>
      </c>
      <c r="H651" t="n">
        <v>0</v>
      </c>
      <c r="I651" t="n">
        <v>0</v>
      </c>
      <c r="J651" t="n">
        <v>0</v>
      </c>
      <c r="K651" t="n">
        <v>0</v>
      </c>
      <c r="L651" t="n">
        <v>0</v>
      </c>
      <c r="M651" t="n">
        <v>0</v>
      </c>
      <c r="N651" t="n">
        <v>0</v>
      </c>
      <c r="O651" t="n">
        <v>0</v>
      </c>
      <c r="P651" t="n">
        <v>0</v>
      </c>
      <c r="Q651" t="n">
        <v>0</v>
      </c>
      <c r="R651" s="2" t="inlineStr"/>
    </row>
    <row r="652" ht="15" customHeight="1">
      <c r="A652" t="inlineStr">
        <is>
          <t>A 4528-2019</t>
        </is>
      </c>
      <c r="B652" s="1" t="n">
        <v>43486</v>
      </c>
      <c r="C652" s="1" t="n">
        <v>45350</v>
      </c>
      <c r="D652" t="inlineStr">
        <is>
          <t>STOCKHOLMS LÄN</t>
        </is>
      </c>
      <c r="E652" t="inlineStr">
        <is>
          <t>NORRTÄLJE</t>
        </is>
      </c>
      <c r="G652" t="n">
        <v>3.1</v>
      </c>
      <c r="H652" t="n">
        <v>0</v>
      </c>
      <c r="I652" t="n">
        <v>0</v>
      </c>
      <c r="J652" t="n">
        <v>0</v>
      </c>
      <c r="K652" t="n">
        <v>0</v>
      </c>
      <c r="L652" t="n">
        <v>0</v>
      </c>
      <c r="M652" t="n">
        <v>0</v>
      </c>
      <c r="N652" t="n">
        <v>0</v>
      </c>
      <c r="O652" t="n">
        <v>0</v>
      </c>
      <c r="P652" t="n">
        <v>0</v>
      </c>
      <c r="Q652" t="n">
        <v>0</v>
      </c>
      <c r="R652" s="2" t="inlineStr"/>
    </row>
    <row r="653" ht="15" customHeight="1">
      <c r="A653" t="inlineStr">
        <is>
          <t>A 4800-2019</t>
        </is>
      </c>
      <c r="B653" s="1" t="n">
        <v>43486</v>
      </c>
      <c r="C653" s="1" t="n">
        <v>45350</v>
      </c>
      <c r="D653" t="inlineStr">
        <is>
          <t>STOCKHOLMS LÄN</t>
        </is>
      </c>
      <c r="E653" t="inlineStr">
        <is>
          <t>SIGTUNA</t>
        </is>
      </c>
      <c r="G653" t="n">
        <v>6</v>
      </c>
      <c r="H653" t="n">
        <v>0</v>
      </c>
      <c r="I653" t="n">
        <v>0</v>
      </c>
      <c r="J653" t="n">
        <v>0</v>
      </c>
      <c r="K653" t="n">
        <v>0</v>
      </c>
      <c r="L653" t="n">
        <v>0</v>
      </c>
      <c r="M653" t="n">
        <v>0</v>
      </c>
      <c r="N653" t="n">
        <v>0</v>
      </c>
      <c r="O653" t="n">
        <v>0</v>
      </c>
      <c r="P653" t="n">
        <v>0</v>
      </c>
      <c r="Q653" t="n">
        <v>0</v>
      </c>
      <c r="R653" s="2" t="inlineStr"/>
    </row>
    <row r="654" ht="15" customHeight="1">
      <c r="A654" t="inlineStr">
        <is>
          <t>A 4885-2019</t>
        </is>
      </c>
      <c r="B654" s="1" t="n">
        <v>43486</v>
      </c>
      <c r="C654" s="1" t="n">
        <v>45350</v>
      </c>
      <c r="D654" t="inlineStr">
        <is>
          <t>STOCKHOLMS LÄN</t>
        </is>
      </c>
      <c r="E654" t="inlineStr">
        <is>
          <t>NORRTÄLJE</t>
        </is>
      </c>
      <c r="G654" t="n">
        <v>11.4</v>
      </c>
      <c r="H654" t="n">
        <v>0</v>
      </c>
      <c r="I654" t="n">
        <v>0</v>
      </c>
      <c r="J654" t="n">
        <v>0</v>
      </c>
      <c r="K654" t="n">
        <v>0</v>
      </c>
      <c r="L654" t="n">
        <v>0</v>
      </c>
      <c r="M654" t="n">
        <v>0</v>
      </c>
      <c r="N654" t="n">
        <v>0</v>
      </c>
      <c r="O654" t="n">
        <v>0</v>
      </c>
      <c r="P654" t="n">
        <v>0</v>
      </c>
      <c r="Q654" t="n">
        <v>0</v>
      </c>
      <c r="R654" s="2" t="inlineStr"/>
    </row>
    <row r="655" ht="15" customHeight="1">
      <c r="A655" t="inlineStr">
        <is>
          <t>A 4833-2019</t>
        </is>
      </c>
      <c r="B655" s="1" t="n">
        <v>43486</v>
      </c>
      <c r="C655" s="1" t="n">
        <v>45350</v>
      </c>
      <c r="D655" t="inlineStr">
        <is>
          <t>STOCKHOLMS LÄN</t>
        </is>
      </c>
      <c r="E655" t="inlineStr">
        <is>
          <t>NORRTÄLJE</t>
        </is>
      </c>
      <c r="G655" t="n">
        <v>7.5</v>
      </c>
      <c r="H655" t="n">
        <v>0</v>
      </c>
      <c r="I655" t="n">
        <v>0</v>
      </c>
      <c r="J655" t="n">
        <v>0</v>
      </c>
      <c r="K655" t="n">
        <v>0</v>
      </c>
      <c r="L655" t="n">
        <v>0</v>
      </c>
      <c r="M655" t="n">
        <v>0</v>
      </c>
      <c r="N655" t="n">
        <v>0</v>
      </c>
      <c r="O655" t="n">
        <v>0</v>
      </c>
      <c r="P655" t="n">
        <v>0</v>
      </c>
      <c r="Q655" t="n">
        <v>0</v>
      </c>
      <c r="R655" s="2" t="inlineStr"/>
    </row>
    <row r="656" ht="15" customHeight="1">
      <c r="A656" t="inlineStr">
        <is>
          <t>A 4862-2019</t>
        </is>
      </c>
      <c r="B656" s="1" t="n">
        <v>43486</v>
      </c>
      <c r="C656" s="1" t="n">
        <v>45350</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4894-2019</t>
        </is>
      </c>
      <c r="B657" s="1" t="n">
        <v>43486</v>
      </c>
      <c r="C657" s="1" t="n">
        <v>45350</v>
      </c>
      <c r="D657" t="inlineStr">
        <is>
          <t>STOCKHOLMS LÄN</t>
        </is>
      </c>
      <c r="E657" t="inlineStr">
        <is>
          <t>VALLENTUNA</t>
        </is>
      </c>
      <c r="G657" t="n">
        <v>11.2</v>
      </c>
      <c r="H657" t="n">
        <v>0</v>
      </c>
      <c r="I657" t="n">
        <v>0</v>
      </c>
      <c r="J657" t="n">
        <v>0</v>
      </c>
      <c r="K657" t="n">
        <v>0</v>
      </c>
      <c r="L657" t="n">
        <v>0</v>
      </c>
      <c r="M657" t="n">
        <v>0</v>
      </c>
      <c r="N657" t="n">
        <v>0</v>
      </c>
      <c r="O657" t="n">
        <v>0</v>
      </c>
      <c r="P657" t="n">
        <v>0</v>
      </c>
      <c r="Q657" t="n">
        <v>0</v>
      </c>
      <c r="R657" s="2" t="inlineStr"/>
    </row>
    <row r="658" ht="15" customHeight="1">
      <c r="A658" t="inlineStr">
        <is>
          <t>A 4584-2019</t>
        </is>
      </c>
      <c r="B658" s="1" t="n">
        <v>43486</v>
      </c>
      <c r="C658" s="1" t="n">
        <v>45350</v>
      </c>
      <c r="D658" t="inlineStr">
        <is>
          <t>STOCKHOLMS LÄN</t>
        </is>
      </c>
      <c r="E658" t="inlineStr">
        <is>
          <t>SIGTUNA</t>
        </is>
      </c>
      <c r="G658" t="n">
        <v>3.9</v>
      </c>
      <c r="H658" t="n">
        <v>0</v>
      </c>
      <c r="I658" t="n">
        <v>0</v>
      </c>
      <c r="J658" t="n">
        <v>0</v>
      </c>
      <c r="K658" t="n">
        <v>0</v>
      </c>
      <c r="L658" t="n">
        <v>0</v>
      </c>
      <c r="M658" t="n">
        <v>0</v>
      </c>
      <c r="N658" t="n">
        <v>0</v>
      </c>
      <c r="O658" t="n">
        <v>0</v>
      </c>
      <c r="P658" t="n">
        <v>0</v>
      </c>
      <c r="Q658" t="n">
        <v>0</v>
      </c>
      <c r="R658" s="2" t="inlineStr"/>
    </row>
    <row r="659" ht="15" customHeight="1">
      <c r="A659" t="inlineStr">
        <is>
          <t>A 4947-2019</t>
        </is>
      </c>
      <c r="B659" s="1" t="n">
        <v>43487</v>
      </c>
      <c r="C659" s="1" t="n">
        <v>45350</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5109-2019</t>
        </is>
      </c>
      <c r="B660" s="1" t="n">
        <v>43487</v>
      </c>
      <c r="C660" s="1" t="n">
        <v>45350</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4857-2019</t>
        </is>
      </c>
      <c r="B661" s="1" t="n">
        <v>43487</v>
      </c>
      <c r="C661" s="1" t="n">
        <v>45350</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4922-2019</t>
        </is>
      </c>
      <c r="B662" s="1" t="n">
        <v>43487</v>
      </c>
      <c r="C662" s="1" t="n">
        <v>45350</v>
      </c>
      <c r="D662" t="inlineStr">
        <is>
          <t>STOCKHOLMS LÄN</t>
        </is>
      </c>
      <c r="E662" t="inlineStr">
        <is>
          <t>SÖDERTÄLJE</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5106-2019</t>
        </is>
      </c>
      <c r="B663" s="1" t="n">
        <v>43487</v>
      </c>
      <c r="C663" s="1" t="n">
        <v>45350</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6606-2019</t>
        </is>
      </c>
      <c r="B664" s="1" t="n">
        <v>43487</v>
      </c>
      <c r="C664" s="1" t="n">
        <v>45350</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5080-2019</t>
        </is>
      </c>
      <c r="B665" s="1" t="n">
        <v>43487</v>
      </c>
      <c r="C665" s="1" t="n">
        <v>45350</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5386-2019</t>
        </is>
      </c>
      <c r="B666" s="1" t="n">
        <v>43488</v>
      </c>
      <c r="C666" s="1" t="n">
        <v>45350</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5314-2019</t>
        </is>
      </c>
      <c r="B667" s="1" t="n">
        <v>43488</v>
      </c>
      <c r="C667" s="1" t="n">
        <v>45350</v>
      </c>
      <c r="D667" t="inlineStr">
        <is>
          <t>STOCKHOLMS LÄN</t>
        </is>
      </c>
      <c r="E667" t="inlineStr">
        <is>
          <t>NORRTÄLJE</t>
        </is>
      </c>
      <c r="G667" t="n">
        <v>0.3</v>
      </c>
      <c r="H667" t="n">
        <v>0</v>
      </c>
      <c r="I667" t="n">
        <v>0</v>
      </c>
      <c r="J667" t="n">
        <v>0</v>
      </c>
      <c r="K667" t="n">
        <v>0</v>
      </c>
      <c r="L667" t="n">
        <v>0</v>
      </c>
      <c r="M667" t="n">
        <v>0</v>
      </c>
      <c r="N667" t="n">
        <v>0</v>
      </c>
      <c r="O667" t="n">
        <v>0</v>
      </c>
      <c r="P667" t="n">
        <v>0</v>
      </c>
      <c r="Q667" t="n">
        <v>0</v>
      </c>
      <c r="R667" s="2" t="inlineStr"/>
    </row>
    <row r="668" ht="15" customHeight="1">
      <c r="A668" t="inlineStr">
        <is>
          <t>A 5517-2019</t>
        </is>
      </c>
      <c r="B668" s="1" t="n">
        <v>43489</v>
      </c>
      <c r="C668" s="1" t="n">
        <v>45350</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5548-2019</t>
        </is>
      </c>
      <c r="B669" s="1" t="n">
        <v>43489</v>
      </c>
      <c r="C669" s="1" t="n">
        <v>45350</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5580-2019</t>
        </is>
      </c>
      <c r="B670" s="1" t="n">
        <v>43489</v>
      </c>
      <c r="C670" s="1" t="n">
        <v>45350</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5486-2019</t>
        </is>
      </c>
      <c r="B671" s="1" t="n">
        <v>43489</v>
      </c>
      <c r="C671" s="1" t="n">
        <v>45350</v>
      </c>
      <c r="D671" t="inlineStr">
        <is>
          <t>STOCKHOLMS LÄN</t>
        </is>
      </c>
      <c r="E671" t="inlineStr">
        <is>
          <t>NORRTÄLJE</t>
        </is>
      </c>
      <c r="F671" t="inlineStr">
        <is>
          <t>Övriga Aktiebolag</t>
        </is>
      </c>
      <c r="G671" t="n">
        <v>3.9</v>
      </c>
      <c r="H671" t="n">
        <v>0</v>
      </c>
      <c r="I671" t="n">
        <v>0</v>
      </c>
      <c r="J671" t="n">
        <v>0</v>
      </c>
      <c r="K671" t="n">
        <v>0</v>
      </c>
      <c r="L671" t="n">
        <v>0</v>
      </c>
      <c r="M671" t="n">
        <v>0</v>
      </c>
      <c r="N671" t="n">
        <v>0</v>
      </c>
      <c r="O671" t="n">
        <v>0</v>
      </c>
      <c r="P671" t="n">
        <v>0</v>
      </c>
      <c r="Q671" t="n">
        <v>0</v>
      </c>
      <c r="R671" s="2" t="inlineStr"/>
    </row>
    <row r="672" ht="15" customHeight="1">
      <c r="A672" t="inlineStr">
        <is>
          <t>A 5717-2019</t>
        </is>
      </c>
      <c r="B672" s="1" t="n">
        <v>43489</v>
      </c>
      <c r="C672" s="1" t="n">
        <v>45350</v>
      </c>
      <c r="D672" t="inlineStr">
        <is>
          <t>STOCKHOLMS LÄN</t>
        </is>
      </c>
      <c r="E672" t="inlineStr">
        <is>
          <t>EKERÖ</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5640-2019</t>
        </is>
      </c>
      <c r="B673" s="1" t="n">
        <v>43489</v>
      </c>
      <c r="C673" s="1" t="n">
        <v>45350</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5664-2019</t>
        </is>
      </c>
      <c r="B674" s="1" t="n">
        <v>43489</v>
      </c>
      <c r="C674" s="1" t="n">
        <v>45350</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5504-2019</t>
        </is>
      </c>
      <c r="B675" s="1" t="n">
        <v>43489</v>
      </c>
      <c r="C675" s="1" t="n">
        <v>45350</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5919-2019</t>
        </is>
      </c>
      <c r="B676" s="1" t="n">
        <v>43490</v>
      </c>
      <c r="C676" s="1" t="n">
        <v>45350</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5959-2019</t>
        </is>
      </c>
      <c r="B677" s="1" t="n">
        <v>43492</v>
      </c>
      <c r="C677" s="1" t="n">
        <v>45350</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6187-2019</t>
        </is>
      </c>
      <c r="B678" s="1" t="n">
        <v>43493</v>
      </c>
      <c r="C678" s="1" t="n">
        <v>45350</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6222-2019</t>
        </is>
      </c>
      <c r="B679" s="1" t="n">
        <v>43493</v>
      </c>
      <c r="C679" s="1" t="n">
        <v>45350</v>
      </c>
      <c r="D679" t="inlineStr">
        <is>
          <t>STOCKHOLMS LÄN</t>
        </is>
      </c>
      <c r="E679" t="inlineStr">
        <is>
          <t>VALLENTUNA</t>
        </is>
      </c>
      <c r="G679" t="n">
        <v>1.9</v>
      </c>
      <c r="H679" t="n">
        <v>0</v>
      </c>
      <c r="I679" t="n">
        <v>0</v>
      </c>
      <c r="J679" t="n">
        <v>0</v>
      </c>
      <c r="K679" t="n">
        <v>0</v>
      </c>
      <c r="L679" t="n">
        <v>0</v>
      </c>
      <c r="M679" t="n">
        <v>0</v>
      </c>
      <c r="N679" t="n">
        <v>0</v>
      </c>
      <c r="O679" t="n">
        <v>0</v>
      </c>
      <c r="P679" t="n">
        <v>0</v>
      </c>
      <c r="Q679" t="n">
        <v>0</v>
      </c>
      <c r="R679" s="2" t="inlineStr"/>
    </row>
    <row r="680" ht="15" customHeight="1">
      <c r="A680" t="inlineStr">
        <is>
          <t>A 6184-2019</t>
        </is>
      </c>
      <c r="B680" s="1" t="n">
        <v>43493</v>
      </c>
      <c r="C680" s="1" t="n">
        <v>45350</v>
      </c>
      <c r="D680" t="inlineStr">
        <is>
          <t>STOCKHOLMS LÄN</t>
        </is>
      </c>
      <c r="E680" t="inlineStr">
        <is>
          <t>NORRTÄLJE</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6121-2019</t>
        </is>
      </c>
      <c r="B681" s="1" t="n">
        <v>43493</v>
      </c>
      <c r="C681" s="1" t="n">
        <v>45350</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6170-2019</t>
        </is>
      </c>
      <c r="B682" s="1" t="n">
        <v>43493</v>
      </c>
      <c r="C682" s="1" t="n">
        <v>45350</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6496-2019</t>
        </is>
      </c>
      <c r="B683" s="1" t="n">
        <v>43494</v>
      </c>
      <c r="C683" s="1" t="n">
        <v>45350</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6563-2019</t>
        </is>
      </c>
      <c r="B684" s="1" t="n">
        <v>43494</v>
      </c>
      <c r="C684" s="1" t="n">
        <v>45350</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6560-2019</t>
        </is>
      </c>
      <c r="B685" s="1" t="n">
        <v>43494</v>
      </c>
      <c r="C685" s="1" t="n">
        <v>45350</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6740-2019</t>
        </is>
      </c>
      <c r="B686" s="1" t="n">
        <v>43494</v>
      </c>
      <c r="C686" s="1" t="n">
        <v>45350</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6671-2019</t>
        </is>
      </c>
      <c r="B687" s="1" t="n">
        <v>43494</v>
      </c>
      <c r="C687" s="1" t="n">
        <v>45350</v>
      </c>
      <c r="D687" t="inlineStr">
        <is>
          <t>STOCKHOLMS LÄN</t>
        </is>
      </c>
      <c r="E687" t="inlineStr">
        <is>
          <t>VAXHOLM</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6530-2019</t>
        </is>
      </c>
      <c r="B688" s="1" t="n">
        <v>43494</v>
      </c>
      <c r="C688" s="1" t="n">
        <v>45350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6672-2019</t>
        </is>
      </c>
      <c r="B689" s="1" t="n">
        <v>43494</v>
      </c>
      <c r="C689" s="1" t="n">
        <v>45350</v>
      </c>
      <c r="D689" t="inlineStr">
        <is>
          <t>STOCKHOLMS LÄN</t>
        </is>
      </c>
      <c r="E689" t="inlineStr">
        <is>
          <t>VAXHOLM</t>
        </is>
      </c>
      <c r="F689" t="inlineStr">
        <is>
          <t>Övriga statliga verk och myndigheter</t>
        </is>
      </c>
      <c r="G689" t="n">
        <v>2.1</v>
      </c>
      <c r="H689" t="n">
        <v>0</v>
      </c>
      <c r="I689" t="n">
        <v>0</v>
      </c>
      <c r="J689" t="n">
        <v>0</v>
      </c>
      <c r="K689" t="n">
        <v>0</v>
      </c>
      <c r="L689" t="n">
        <v>0</v>
      </c>
      <c r="M689" t="n">
        <v>0</v>
      </c>
      <c r="N689" t="n">
        <v>0</v>
      </c>
      <c r="O689" t="n">
        <v>0</v>
      </c>
      <c r="P689" t="n">
        <v>0</v>
      </c>
      <c r="Q689" t="n">
        <v>0</v>
      </c>
      <c r="R689" s="2" t="inlineStr"/>
    </row>
    <row r="690" ht="15" customHeight="1">
      <c r="A690" t="inlineStr">
        <is>
          <t>A 6545-2019</t>
        </is>
      </c>
      <c r="B690" s="1" t="n">
        <v>43494</v>
      </c>
      <c r="C690" s="1" t="n">
        <v>45350</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6921-2019</t>
        </is>
      </c>
      <c r="B691" s="1" t="n">
        <v>43495</v>
      </c>
      <c r="C691" s="1" t="n">
        <v>45350</v>
      </c>
      <c r="D691" t="inlineStr">
        <is>
          <t>STOCKHOLMS LÄN</t>
        </is>
      </c>
      <c r="E691" t="inlineStr">
        <is>
          <t>NORRTÄLJE</t>
        </is>
      </c>
      <c r="G691" t="n">
        <v>5.8</v>
      </c>
      <c r="H691" t="n">
        <v>0</v>
      </c>
      <c r="I691" t="n">
        <v>0</v>
      </c>
      <c r="J691" t="n">
        <v>0</v>
      </c>
      <c r="K691" t="n">
        <v>0</v>
      </c>
      <c r="L691" t="n">
        <v>0</v>
      </c>
      <c r="M691" t="n">
        <v>0</v>
      </c>
      <c r="N691" t="n">
        <v>0</v>
      </c>
      <c r="O691" t="n">
        <v>0</v>
      </c>
      <c r="P691" t="n">
        <v>0</v>
      </c>
      <c r="Q691" t="n">
        <v>0</v>
      </c>
      <c r="R691" s="2" t="inlineStr"/>
    </row>
    <row r="692" ht="15" customHeight="1">
      <c r="A692" t="inlineStr">
        <is>
          <t>A 8087-2019</t>
        </is>
      </c>
      <c r="B692" s="1" t="n">
        <v>43495</v>
      </c>
      <c r="C692" s="1" t="n">
        <v>45350</v>
      </c>
      <c r="D692" t="inlineStr">
        <is>
          <t>STOCKHOLMS LÄN</t>
        </is>
      </c>
      <c r="E692" t="inlineStr">
        <is>
          <t>HANINGE</t>
        </is>
      </c>
      <c r="G692" t="n">
        <v>1.8</v>
      </c>
      <c r="H692" t="n">
        <v>0</v>
      </c>
      <c r="I692" t="n">
        <v>0</v>
      </c>
      <c r="J692" t="n">
        <v>0</v>
      </c>
      <c r="K692" t="n">
        <v>0</v>
      </c>
      <c r="L692" t="n">
        <v>0</v>
      </c>
      <c r="M692" t="n">
        <v>0</v>
      </c>
      <c r="N692" t="n">
        <v>0</v>
      </c>
      <c r="O692" t="n">
        <v>0</v>
      </c>
      <c r="P692" t="n">
        <v>0</v>
      </c>
      <c r="Q692" t="n">
        <v>0</v>
      </c>
      <c r="R692" s="2" t="inlineStr"/>
    </row>
    <row r="693" ht="15" customHeight="1">
      <c r="A693" t="inlineStr">
        <is>
          <t>A 7041-2019</t>
        </is>
      </c>
      <c r="B693" s="1" t="n">
        <v>43495</v>
      </c>
      <c r="C693" s="1" t="n">
        <v>45350</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7040-2019</t>
        </is>
      </c>
      <c r="B694" s="1" t="n">
        <v>43495</v>
      </c>
      <c r="C694" s="1" t="n">
        <v>45350</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7003-2019</t>
        </is>
      </c>
      <c r="B695" s="1" t="n">
        <v>43495</v>
      </c>
      <c r="C695" s="1" t="n">
        <v>45350</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6985-2019</t>
        </is>
      </c>
      <c r="B696" s="1" t="n">
        <v>43495</v>
      </c>
      <c r="C696" s="1" t="n">
        <v>45350</v>
      </c>
      <c r="D696" t="inlineStr">
        <is>
          <t>STOCKHOLMS LÄN</t>
        </is>
      </c>
      <c r="E696" t="inlineStr">
        <is>
          <t>NORRTÄLJE</t>
        </is>
      </c>
      <c r="G696" t="n">
        <v>75.09999999999999</v>
      </c>
      <c r="H696" t="n">
        <v>0</v>
      </c>
      <c r="I696" t="n">
        <v>0</v>
      </c>
      <c r="J696" t="n">
        <v>0</v>
      </c>
      <c r="K696" t="n">
        <v>0</v>
      </c>
      <c r="L696" t="n">
        <v>0</v>
      </c>
      <c r="M696" t="n">
        <v>0</v>
      </c>
      <c r="N696" t="n">
        <v>0</v>
      </c>
      <c r="O696" t="n">
        <v>0</v>
      </c>
      <c r="P696" t="n">
        <v>0</v>
      </c>
      <c r="Q696" t="n">
        <v>0</v>
      </c>
      <c r="R696" s="2" t="inlineStr"/>
    </row>
    <row r="697" ht="15" customHeight="1">
      <c r="A697" t="inlineStr">
        <is>
          <t>A 6970-2019</t>
        </is>
      </c>
      <c r="B697" s="1" t="n">
        <v>43495</v>
      </c>
      <c r="C697" s="1" t="n">
        <v>45350</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7090-2019</t>
        </is>
      </c>
      <c r="B698" s="1" t="n">
        <v>43495</v>
      </c>
      <c r="C698" s="1" t="n">
        <v>45350</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7015-2019</t>
        </is>
      </c>
      <c r="B699" s="1" t="n">
        <v>43495</v>
      </c>
      <c r="C699" s="1" t="n">
        <v>45350</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7117-2019</t>
        </is>
      </c>
      <c r="B700" s="1" t="n">
        <v>43496</v>
      </c>
      <c r="C700" s="1" t="n">
        <v>45350</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7288-2019</t>
        </is>
      </c>
      <c r="B701" s="1" t="n">
        <v>43496</v>
      </c>
      <c r="C701" s="1" t="n">
        <v>45350</v>
      </c>
      <c r="D701" t="inlineStr">
        <is>
          <t>STOCKHOLMS LÄN</t>
        </is>
      </c>
      <c r="E701" t="inlineStr">
        <is>
          <t>NORRTÄLJE</t>
        </is>
      </c>
      <c r="G701" t="n">
        <v>7.6</v>
      </c>
      <c r="H701" t="n">
        <v>0</v>
      </c>
      <c r="I701" t="n">
        <v>0</v>
      </c>
      <c r="J701" t="n">
        <v>0</v>
      </c>
      <c r="K701" t="n">
        <v>0</v>
      </c>
      <c r="L701" t="n">
        <v>0</v>
      </c>
      <c r="M701" t="n">
        <v>0</v>
      </c>
      <c r="N701" t="n">
        <v>0</v>
      </c>
      <c r="O701" t="n">
        <v>0</v>
      </c>
      <c r="P701" t="n">
        <v>0</v>
      </c>
      <c r="Q701" t="n">
        <v>0</v>
      </c>
      <c r="R701" s="2" t="inlineStr"/>
    </row>
    <row r="702" ht="15" customHeight="1">
      <c r="A702" t="inlineStr">
        <is>
          <t>A 7278-2019</t>
        </is>
      </c>
      <c r="B702" s="1" t="n">
        <v>43496</v>
      </c>
      <c r="C702" s="1" t="n">
        <v>45350</v>
      </c>
      <c r="D702" t="inlineStr">
        <is>
          <t>STOCKHOLMS LÄN</t>
        </is>
      </c>
      <c r="E702" t="inlineStr">
        <is>
          <t>NORRTÄLJE</t>
        </is>
      </c>
      <c r="G702" t="n">
        <v>13.6</v>
      </c>
      <c r="H702" t="n">
        <v>0</v>
      </c>
      <c r="I702" t="n">
        <v>0</v>
      </c>
      <c r="J702" t="n">
        <v>0</v>
      </c>
      <c r="K702" t="n">
        <v>0</v>
      </c>
      <c r="L702" t="n">
        <v>0</v>
      </c>
      <c r="M702" t="n">
        <v>0</v>
      </c>
      <c r="N702" t="n">
        <v>0</v>
      </c>
      <c r="O702" t="n">
        <v>0</v>
      </c>
      <c r="P702" t="n">
        <v>0</v>
      </c>
      <c r="Q702" t="n">
        <v>0</v>
      </c>
      <c r="R702" s="2" t="inlineStr"/>
    </row>
    <row r="703" ht="15" customHeight="1">
      <c r="A703" t="inlineStr">
        <is>
          <t>A 7255-2019</t>
        </is>
      </c>
      <c r="B703" s="1" t="n">
        <v>43496</v>
      </c>
      <c r="C703" s="1" t="n">
        <v>45350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7285-2019</t>
        </is>
      </c>
      <c r="B704" s="1" t="n">
        <v>43496</v>
      </c>
      <c r="C704" s="1" t="n">
        <v>45350</v>
      </c>
      <c r="D704" t="inlineStr">
        <is>
          <t>STOCKHOLMS LÄN</t>
        </is>
      </c>
      <c r="E704" t="inlineStr">
        <is>
          <t>NORRTÄLJE</t>
        </is>
      </c>
      <c r="G704" t="n">
        <v>7.8</v>
      </c>
      <c r="H704" t="n">
        <v>0</v>
      </c>
      <c r="I704" t="n">
        <v>0</v>
      </c>
      <c r="J704" t="n">
        <v>0</v>
      </c>
      <c r="K704" t="n">
        <v>0</v>
      </c>
      <c r="L704" t="n">
        <v>0</v>
      </c>
      <c r="M704" t="n">
        <v>0</v>
      </c>
      <c r="N704" t="n">
        <v>0</v>
      </c>
      <c r="O704" t="n">
        <v>0</v>
      </c>
      <c r="P704" t="n">
        <v>0</v>
      </c>
      <c r="Q704" t="n">
        <v>0</v>
      </c>
      <c r="R704" s="2" t="inlineStr"/>
    </row>
    <row r="705" ht="15" customHeight="1">
      <c r="A705" t="inlineStr">
        <is>
          <t>A 7176-2019</t>
        </is>
      </c>
      <c r="B705" s="1" t="n">
        <v>43496</v>
      </c>
      <c r="C705" s="1" t="n">
        <v>45350</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7170-2019</t>
        </is>
      </c>
      <c r="B706" s="1" t="n">
        <v>43496</v>
      </c>
      <c r="C706" s="1" t="n">
        <v>45350</v>
      </c>
      <c r="D706" t="inlineStr">
        <is>
          <t>STOCKHOLMS LÄN</t>
        </is>
      </c>
      <c r="E706" t="inlineStr">
        <is>
          <t>NORRTÄLJE</t>
        </is>
      </c>
      <c r="F706" t="inlineStr">
        <is>
          <t>Holmen skog AB</t>
        </is>
      </c>
      <c r="G706" t="n">
        <v>14.6</v>
      </c>
      <c r="H706" t="n">
        <v>0</v>
      </c>
      <c r="I706" t="n">
        <v>0</v>
      </c>
      <c r="J706" t="n">
        <v>0</v>
      </c>
      <c r="K706" t="n">
        <v>0</v>
      </c>
      <c r="L706" t="n">
        <v>0</v>
      </c>
      <c r="M706" t="n">
        <v>0</v>
      </c>
      <c r="N706" t="n">
        <v>0</v>
      </c>
      <c r="O706" t="n">
        <v>0</v>
      </c>
      <c r="P706" t="n">
        <v>0</v>
      </c>
      <c r="Q706" t="n">
        <v>0</v>
      </c>
      <c r="R706" s="2" t="inlineStr"/>
    </row>
    <row r="707" ht="15" customHeight="1">
      <c r="A707" t="inlineStr">
        <is>
          <t>A 7343-2019</t>
        </is>
      </c>
      <c r="B707" s="1" t="n">
        <v>43496</v>
      </c>
      <c r="C707" s="1" t="n">
        <v>45350</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7174-2019</t>
        </is>
      </c>
      <c r="B708" s="1" t="n">
        <v>43496</v>
      </c>
      <c r="C708" s="1" t="n">
        <v>45350</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7432-2019</t>
        </is>
      </c>
      <c r="B709" s="1" t="n">
        <v>43497</v>
      </c>
      <c r="C709" s="1" t="n">
        <v>45350</v>
      </c>
      <c r="D709" t="inlineStr">
        <is>
          <t>STOCKHOLMS LÄN</t>
        </is>
      </c>
      <c r="E709" t="inlineStr">
        <is>
          <t>NYNÄSHAMN</t>
        </is>
      </c>
      <c r="G709" t="n">
        <v>3</v>
      </c>
      <c r="H709" t="n">
        <v>0</v>
      </c>
      <c r="I709" t="n">
        <v>0</v>
      </c>
      <c r="J709" t="n">
        <v>0</v>
      </c>
      <c r="K709" t="n">
        <v>0</v>
      </c>
      <c r="L709" t="n">
        <v>0</v>
      </c>
      <c r="M709" t="n">
        <v>0</v>
      </c>
      <c r="N709" t="n">
        <v>0</v>
      </c>
      <c r="O709" t="n">
        <v>0</v>
      </c>
      <c r="P709" t="n">
        <v>0</v>
      </c>
      <c r="Q709" t="n">
        <v>0</v>
      </c>
      <c r="R709" s="2" t="inlineStr"/>
    </row>
    <row r="710" ht="15" customHeight="1">
      <c r="A710" t="inlineStr">
        <is>
          <t>A 7502-2019</t>
        </is>
      </c>
      <c r="B710" s="1" t="n">
        <v>43497</v>
      </c>
      <c r="C710" s="1" t="n">
        <v>45350</v>
      </c>
      <c r="D710" t="inlineStr">
        <is>
          <t>STOCKHOLMS LÄN</t>
        </is>
      </c>
      <c r="E710" t="inlineStr">
        <is>
          <t>NORRTÄLJE</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7426-2019</t>
        </is>
      </c>
      <c r="B711" s="1" t="n">
        <v>43497</v>
      </c>
      <c r="C711" s="1" t="n">
        <v>45350</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7568-2019</t>
        </is>
      </c>
      <c r="B712" s="1" t="n">
        <v>43497</v>
      </c>
      <c r="C712" s="1" t="n">
        <v>45350</v>
      </c>
      <c r="D712" t="inlineStr">
        <is>
          <t>STOCKHOLMS LÄN</t>
        </is>
      </c>
      <c r="E712" t="inlineStr">
        <is>
          <t>NORRTÄLJE</t>
        </is>
      </c>
      <c r="G712" t="n">
        <v>4.2</v>
      </c>
      <c r="H712" t="n">
        <v>0</v>
      </c>
      <c r="I712" t="n">
        <v>0</v>
      </c>
      <c r="J712" t="n">
        <v>0</v>
      </c>
      <c r="K712" t="n">
        <v>0</v>
      </c>
      <c r="L712" t="n">
        <v>0</v>
      </c>
      <c r="M712" t="n">
        <v>0</v>
      </c>
      <c r="N712" t="n">
        <v>0</v>
      </c>
      <c r="O712" t="n">
        <v>0</v>
      </c>
      <c r="P712" t="n">
        <v>0</v>
      </c>
      <c r="Q712" t="n">
        <v>0</v>
      </c>
      <c r="R712" s="2" t="inlineStr"/>
    </row>
    <row r="713" ht="15" customHeight="1">
      <c r="A713" t="inlineStr">
        <is>
          <t>A 7419-2019</t>
        </is>
      </c>
      <c r="B713" s="1" t="n">
        <v>43497</v>
      </c>
      <c r="C713" s="1" t="n">
        <v>45350</v>
      </c>
      <c r="D713" t="inlineStr">
        <is>
          <t>STOCKHOLMS LÄN</t>
        </is>
      </c>
      <c r="E713" t="inlineStr">
        <is>
          <t>SÖDERTÄLJE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7403-2019</t>
        </is>
      </c>
      <c r="B714" s="1" t="n">
        <v>43497</v>
      </c>
      <c r="C714" s="1" t="n">
        <v>45350</v>
      </c>
      <c r="D714" t="inlineStr">
        <is>
          <t>STOCKHOLMS LÄN</t>
        </is>
      </c>
      <c r="E714" t="inlineStr">
        <is>
          <t>NORRTÄLJE</t>
        </is>
      </c>
      <c r="G714" t="n">
        <v>6.1</v>
      </c>
      <c r="H714" t="n">
        <v>0</v>
      </c>
      <c r="I714" t="n">
        <v>0</v>
      </c>
      <c r="J714" t="n">
        <v>0</v>
      </c>
      <c r="K714" t="n">
        <v>0</v>
      </c>
      <c r="L714" t="n">
        <v>0</v>
      </c>
      <c r="M714" t="n">
        <v>0</v>
      </c>
      <c r="N714" t="n">
        <v>0</v>
      </c>
      <c r="O714" t="n">
        <v>0</v>
      </c>
      <c r="P714" t="n">
        <v>0</v>
      </c>
      <c r="Q714" t="n">
        <v>0</v>
      </c>
      <c r="R714" s="2" t="inlineStr"/>
    </row>
    <row r="715" ht="15" customHeight="1">
      <c r="A715" t="inlineStr">
        <is>
          <t>A 7429-2019</t>
        </is>
      </c>
      <c r="B715" s="1" t="n">
        <v>43497</v>
      </c>
      <c r="C715" s="1" t="n">
        <v>45350</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7579-2019</t>
        </is>
      </c>
      <c r="B716" s="1" t="n">
        <v>43498</v>
      </c>
      <c r="C716" s="1" t="n">
        <v>45350</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7608-2019</t>
        </is>
      </c>
      <c r="B717" s="1" t="n">
        <v>43499</v>
      </c>
      <c r="C717" s="1" t="n">
        <v>45350</v>
      </c>
      <c r="D717" t="inlineStr">
        <is>
          <t>STOCKHOLMS LÄN</t>
        </is>
      </c>
      <c r="E717" t="inlineStr">
        <is>
          <t>NORRTÄLJE</t>
        </is>
      </c>
      <c r="G717" t="n">
        <v>10</v>
      </c>
      <c r="H717" t="n">
        <v>0</v>
      </c>
      <c r="I717" t="n">
        <v>0</v>
      </c>
      <c r="J717" t="n">
        <v>0</v>
      </c>
      <c r="K717" t="n">
        <v>0</v>
      </c>
      <c r="L717" t="n">
        <v>0</v>
      </c>
      <c r="M717" t="n">
        <v>0</v>
      </c>
      <c r="N717" t="n">
        <v>0</v>
      </c>
      <c r="O717" t="n">
        <v>0</v>
      </c>
      <c r="P717" t="n">
        <v>0</v>
      </c>
      <c r="Q717" t="n">
        <v>0</v>
      </c>
      <c r="R717" s="2" t="inlineStr"/>
    </row>
    <row r="718" ht="15" customHeight="1">
      <c r="A718" t="inlineStr">
        <is>
          <t>A 7606-2019</t>
        </is>
      </c>
      <c r="B718" s="1" t="n">
        <v>43499</v>
      </c>
      <c r="C718" s="1" t="n">
        <v>45350</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7607-2019</t>
        </is>
      </c>
      <c r="B719" s="1" t="n">
        <v>43499</v>
      </c>
      <c r="C719" s="1" t="n">
        <v>45350</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7892-2019</t>
        </is>
      </c>
      <c r="B720" s="1" t="n">
        <v>43500</v>
      </c>
      <c r="C720" s="1" t="n">
        <v>45350</v>
      </c>
      <c r="D720" t="inlineStr">
        <is>
          <t>STOCKHOLMS LÄN</t>
        </is>
      </c>
      <c r="E720" t="inlineStr">
        <is>
          <t>ÖSTERÅKER</t>
        </is>
      </c>
      <c r="G720" t="n">
        <v>0.8</v>
      </c>
      <c r="H720" t="n">
        <v>0</v>
      </c>
      <c r="I720" t="n">
        <v>0</v>
      </c>
      <c r="J720" t="n">
        <v>0</v>
      </c>
      <c r="K720" t="n">
        <v>0</v>
      </c>
      <c r="L720" t="n">
        <v>0</v>
      </c>
      <c r="M720" t="n">
        <v>0</v>
      </c>
      <c r="N720" t="n">
        <v>0</v>
      </c>
      <c r="O720" t="n">
        <v>0</v>
      </c>
      <c r="P720" t="n">
        <v>0</v>
      </c>
      <c r="Q720" t="n">
        <v>0</v>
      </c>
      <c r="R720" s="2" t="inlineStr"/>
    </row>
    <row r="721" ht="15" customHeight="1">
      <c r="A721" t="inlineStr">
        <is>
          <t>A 8501-2019</t>
        </is>
      </c>
      <c r="B721" s="1" t="n">
        <v>43500</v>
      </c>
      <c r="C721" s="1" t="n">
        <v>45350</v>
      </c>
      <c r="D721" t="inlineStr">
        <is>
          <t>STOCKHOLMS LÄN</t>
        </is>
      </c>
      <c r="E721" t="inlineStr">
        <is>
          <t>SIGTUNA</t>
        </is>
      </c>
      <c r="G721" t="n">
        <v>1.3</v>
      </c>
      <c r="H721" t="n">
        <v>0</v>
      </c>
      <c r="I721" t="n">
        <v>0</v>
      </c>
      <c r="J721" t="n">
        <v>0</v>
      </c>
      <c r="K721" t="n">
        <v>0</v>
      </c>
      <c r="L721" t="n">
        <v>0</v>
      </c>
      <c r="M721" t="n">
        <v>0</v>
      </c>
      <c r="N721" t="n">
        <v>0</v>
      </c>
      <c r="O721" t="n">
        <v>0</v>
      </c>
      <c r="P721" t="n">
        <v>0</v>
      </c>
      <c r="Q721" t="n">
        <v>0</v>
      </c>
      <c r="R721" s="2" t="inlineStr"/>
    </row>
    <row r="722" ht="15" customHeight="1">
      <c r="A722" t="inlineStr">
        <is>
          <t>A 7650-2019</t>
        </is>
      </c>
      <c r="B722" s="1" t="n">
        <v>43500</v>
      </c>
      <c r="C722" s="1" t="n">
        <v>45350</v>
      </c>
      <c r="D722" t="inlineStr">
        <is>
          <t>STOCKHOLMS LÄN</t>
        </is>
      </c>
      <c r="E722" t="inlineStr">
        <is>
          <t>NORRTÄLJE</t>
        </is>
      </c>
      <c r="F722" t="inlineStr">
        <is>
          <t>Övriga Aktiebolag</t>
        </is>
      </c>
      <c r="G722" t="n">
        <v>3.8</v>
      </c>
      <c r="H722" t="n">
        <v>0</v>
      </c>
      <c r="I722" t="n">
        <v>0</v>
      </c>
      <c r="J722" t="n">
        <v>0</v>
      </c>
      <c r="K722" t="n">
        <v>0</v>
      </c>
      <c r="L722" t="n">
        <v>0</v>
      </c>
      <c r="M722" t="n">
        <v>0</v>
      </c>
      <c r="N722" t="n">
        <v>0</v>
      </c>
      <c r="O722" t="n">
        <v>0</v>
      </c>
      <c r="P722" t="n">
        <v>0</v>
      </c>
      <c r="Q722" t="n">
        <v>0</v>
      </c>
      <c r="R722" s="2" t="inlineStr"/>
    </row>
    <row r="723" ht="15" customHeight="1">
      <c r="A723" t="inlineStr">
        <is>
          <t>A 8039-2019</t>
        </is>
      </c>
      <c r="B723" s="1" t="n">
        <v>43501</v>
      </c>
      <c r="C723" s="1" t="n">
        <v>45350</v>
      </c>
      <c r="D723" t="inlineStr">
        <is>
          <t>STOCKHOLMS LÄN</t>
        </is>
      </c>
      <c r="E723" t="inlineStr">
        <is>
          <t>NORRTÄLJE</t>
        </is>
      </c>
      <c r="G723" t="n">
        <v>16.8</v>
      </c>
      <c r="H723" t="n">
        <v>0</v>
      </c>
      <c r="I723" t="n">
        <v>0</v>
      </c>
      <c r="J723" t="n">
        <v>0</v>
      </c>
      <c r="K723" t="n">
        <v>0</v>
      </c>
      <c r="L723" t="n">
        <v>0</v>
      </c>
      <c r="M723" t="n">
        <v>0</v>
      </c>
      <c r="N723" t="n">
        <v>0</v>
      </c>
      <c r="O723" t="n">
        <v>0</v>
      </c>
      <c r="P723" t="n">
        <v>0</v>
      </c>
      <c r="Q723" t="n">
        <v>0</v>
      </c>
      <c r="R723" s="2" t="inlineStr"/>
    </row>
    <row r="724" ht="15" customHeight="1">
      <c r="A724" t="inlineStr">
        <is>
          <t>A 8256-2019</t>
        </is>
      </c>
      <c r="B724" s="1" t="n">
        <v>43501</v>
      </c>
      <c r="C724" s="1" t="n">
        <v>45350</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8452-2019</t>
        </is>
      </c>
      <c r="B725" s="1" t="n">
        <v>43502</v>
      </c>
      <c r="C725" s="1" t="n">
        <v>45350</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8523-2019</t>
        </is>
      </c>
      <c r="B726" s="1" t="n">
        <v>43502</v>
      </c>
      <c r="C726" s="1" t="n">
        <v>45350</v>
      </c>
      <c r="D726" t="inlineStr">
        <is>
          <t>STOCKHOLMS LÄN</t>
        </is>
      </c>
      <c r="E726" t="inlineStr">
        <is>
          <t>BOTKYRKA</t>
        </is>
      </c>
      <c r="G726" t="n">
        <v>1.8</v>
      </c>
      <c r="H726" t="n">
        <v>0</v>
      </c>
      <c r="I726" t="n">
        <v>0</v>
      </c>
      <c r="J726" t="n">
        <v>0</v>
      </c>
      <c r="K726" t="n">
        <v>0</v>
      </c>
      <c r="L726" t="n">
        <v>0</v>
      </c>
      <c r="M726" t="n">
        <v>0</v>
      </c>
      <c r="N726" t="n">
        <v>0</v>
      </c>
      <c r="O726" t="n">
        <v>0</v>
      </c>
      <c r="P726" t="n">
        <v>0</v>
      </c>
      <c r="Q726" t="n">
        <v>0</v>
      </c>
      <c r="R726" s="2" t="inlineStr"/>
    </row>
    <row r="727" ht="15" customHeight="1">
      <c r="A727" t="inlineStr">
        <is>
          <t>A 8586-2019</t>
        </is>
      </c>
      <c r="B727" s="1" t="n">
        <v>43502</v>
      </c>
      <c r="C727" s="1" t="n">
        <v>45350</v>
      </c>
      <c r="D727" t="inlineStr">
        <is>
          <t>STOCKHOLMS LÄN</t>
        </is>
      </c>
      <c r="E727" t="inlineStr">
        <is>
          <t>NORRTÄLJE</t>
        </is>
      </c>
      <c r="G727" t="n">
        <v>12.4</v>
      </c>
      <c r="H727" t="n">
        <v>0</v>
      </c>
      <c r="I727" t="n">
        <v>0</v>
      </c>
      <c r="J727" t="n">
        <v>0</v>
      </c>
      <c r="K727" t="n">
        <v>0</v>
      </c>
      <c r="L727" t="n">
        <v>0</v>
      </c>
      <c r="M727" t="n">
        <v>0</v>
      </c>
      <c r="N727" t="n">
        <v>0</v>
      </c>
      <c r="O727" t="n">
        <v>0</v>
      </c>
      <c r="P727" t="n">
        <v>0</v>
      </c>
      <c r="Q727" t="n">
        <v>0</v>
      </c>
      <c r="R727" s="2" t="inlineStr"/>
    </row>
    <row r="728" ht="15" customHeight="1">
      <c r="A728" t="inlineStr">
        <is>
          <t>A 8469-2019</t>
        </is>
      </c>
      <c r="B728" s="1" t="n">
        <v>43502</v>
      </c>
      <c r="C728" s="1" t="n">
        <v>45350</v>
      </c>
      <c r="D728" t="inlineStr">
        <is>
          <t>STOCKHOLMS LÄN</t>
        </is>
      </c>
      <c r="E728" t="inlineStr">
        <is>
          <t>SIGTUNA</t>
        </is>
      </c>
      <c r="F728" t="inlineStr">
        <is>
          <t>Allmännings- och besparingsskogar</t>
        </is>
      </c>
      <c r="G728" t="n">
        <v>5.7</v>
      </c>
      <c r="H728" t="n">
        <v>0</v>
      </c>
      <c r="I728" t="n">
        <v>0</v>
      </c>
      <c r="J728" t="n">
        <v>0</v>
      </c>
      <c r="K728" t="n">
        <v>0</v>
      </c>
      <c r="L728" t="n">
        <v>0</v>
      </c>
      <c r="M728" t="n">
        <v>0</v>
      </c>
      <c r="N728" t="n">
        <v>0</v>
      </c>
      <c r="O728" t="n">
        <v>0</v>
      </c>
      <c r="P728" t="n">
        <v>0</v>
      </c>
      <c r="Q728" t="n">
        <v>0</v>
      </c>
      <c r="R728" s="2" t="inlineStr"/>
    </row>
    <row r="729" ht="15" customHeight="1">
      <c r="A729" t="inlineStr">
        <is>
          <t>A 8574-2019</t>
        </is>
      </c>
      <c r="B729" s="1" t="n">
        <v>43502</v>
      </c>
      <c r="C729" s="1" t="n">
        <v>45350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8678-2019</t>
        </is>
      </c>
      <c r="B730" s="1" t="n">
        <v>43503</v>
      </c>
      <c r="C730" s="1" t="n">
        <v>45350</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8701-2019</t>
        </is>
      </c>
      <c r="B731" s="1" t="n">
        <v>43503</v>
      </c>
      <c r="C731" s="1" t="n">
        <v>45350</v>
      </c>
      <c r="D731" t="inlineStr">
        <is>
          <t>STOCKHOLMS LÄN</t>
        </is>
      </c>
      <c r="E731" t="inlineStr">
        <is>
          <t>NORRTÄLJE</t>
        </is>
      </c>
      <c r="G731" t="n">
        <v>15.3</v>
      </c>
      <c r="H731" t="n">
        <v>0</v>
      </c>
      <c r="I731" t="n">
        <v>0</v>
      </c>
      <c r="J731" t="n">
        <v>0</v>
      </c>
      <c r="K731" t="n">
        <v>0</v>
      </c>
      <c r="L731" t="n">
        <v>0</v>
      </c>
      <c r="M731" t="n">
        <v>0</v>
      </c>
      <c r="N731" t="n">
        <v>0</v>
      </c>
      <c r="O731" t="n">
        <v>0</v>
      </c>
      <c r="P731" t="n">
        <v>0</v>
      </c>
      <c r="Q731" t="n">
        <v>0</v>
      </c>
      <c r="R731" s="2" t="inlineStr"/>
    </row>
    <row r="732" ht="15" customHeight="1">
      <c r="A732" t="inlineStr">
        <is>
          <t>A 8719-2019</t>
        </is>
      </c>
      <c r="B732" s="1" t="n">
        <v>43503</v>
      </c>
      <c r="C732" s="1" t="n">
        <v>45350</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8996-2019</t>
        </is>
      </c>
      <c r="B733" s="1" t="n">
        <v>43503</v>
      </c>
      <c r="C733" s="1" t="n">
        <v>45350</v>
      </c>
      <c r="D733" t="inlineStr">
        <is>
          <t>STOCKHOLMS LÄN</t>
        </is>
      </c>
      <c r="E733" t="inlineStr">
        <is>
          <t>ÖSTERÅKER</t>
        </is>
      </c>
      <c r="G733" t="n">
        <v>1.5</v>
      </c>
      <c r="H733" t="n">
        <v>0</v>
      </c>
      <c r="I733" t="n">
        <v>0</v>
      </c>
      <c r="J733" t="n">
        <v>0</v>
      </c>
      <c r="K733" t="n">
        <v>0</v>
      </c>
      <c r="L733" t="n">
        <v>0</v>
      </c>
      <c r="M733" t="n">
        <v>0</v>
      </c>
      <c r="N733" t="n">
        <v>0</v>
      </c>
      <c r="O733" t="n">
        <v>0</v>
      </c>
      <c r="P733" t="n">
        <v>0</v>
      </c>
      <c r="Q733" t="n">
        <v>0</v>
      </c>
      <c r="R733" s="2" t="inlineStr"/>
    </row>
    <row r="734" ht="15" customHeight="1">
      <c r="A734" t="inlineStr">
        <is>
          <t>A 8721-2019</t>
        </is>
      </c>
      <c r="B734" s="1" t="n">
        <v>43503</v>
      </c>
      <c r="C734" s="1" t="n">
        <v>45350</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8818-2019</t>
        </is>
      </c>
      <c r="B735" s="1" t="n">
        <v>43503</v>
      </c>
      <c r="C735" s="1" t="n">
        <v>45350</v>
      </c>
      <c r="D735" t="inlineStr">
        <is>
          <t>STOCKHOLMS LÄN</t>
        </is>
      </c>
      <c r="E735" t="inlineStr">
        <is>
          <t>NORRTÄLJE</t>
        </is>
      </c>
      <c r="F735" t="inlineStr">
        <is>
          <t>Övriga statliga verk och myndigheter</t>
        </is>
      </c>
      <c r="G735" t="n">
        <v>2.7</v>
      </c>
      <c r="H735" t="n">
        <v>0</v>
      </c>
      <c r="I735" t="n">
        <v>0</v>
      </c>
      <c r="J735" t="n">
        <v>0</v>
      </c>
      <c r="K735" t="n">
        <v>0</v>
      </c>
      <c r="L735" t="n">
        <v>0</v>
      </c>
      <c r="M735" t="n">
        <v>0</v>
      </c>
      <c r="N735" t="n">
        <v>0</v>
      </c>
      <c r="O735" t="n">
        <v>0</v>
      </c>
      <c r="P735" t="n">
        <v>0</v>
      </c>
      <c r="Q735" t="n">
        <v>0</v>
      </c>
      <c r="R735" s="2" t="inlineStr"/>
    </row>
    <row r="736" ht="15" customHeight="1">
      <c r="A736" t="inlineStr">
        <is>
          <t>A 8692-2019</t>
        </is>
      </c>
      <c r="B736" s="1" t="n">
        <v>43503</v>
      </c>
      <c r="C736" s="1" t="n">
        <v>45350</v>
      </c>
      <c r="D736" t="inlineStr">
        <is>
          <t>STOCKHOLMS LÄN</t>
        </is>
      </c>
      <c r="E736" t="inlineStr">
        <is>
          <t>NORRTÄLJE</t>
        </is>
      </c>
      <c r="G736" t="n">
        <v>6.8</v>
      </c>
      <c r="H736" t="n">
        <v>0</v>
      </c>
      <c r="I736" t="n">
        <v>0</v>
      </c>
      <c r="J736" t="n">
        <v>0</v>
      </c>
      <c r="K736" t="n">
        <v>0</v>
      </c>
      <c r="L736" t="n">
        <v>0</v>
      </c>
      <c r="M736" t="n">
        <v>0</v>
      </c>
      <c r="N736" t="n">
        <v>0</v>
      </c>
      <c r="O736" t="n">
        <v>0</v>
      </c>
      <c r="P736" t="n">
        <v>0</v>
      </c>
      <c r="Q736" t="n">
        <v>0</v>
      </c>
      <c r="R736" s="2" t="inlineStr"/>
    </row>
    <row r="737" ht="15" customHeight="1">
      <c r="A737" t="inlineStr">
        <is>
          <t>A 8797-2019</t>
        </is>
      </c>
      <c r="B737" s="1" t="n">
        <v>43503</v>
      </c>
      <c r="C737" s="1" t="n">
        <v>45350</v>
      </c>
      <c r="D737" t="inlineStr">
        <is>
          <t>STOCKHOLMS LÄN</t>
        </is>
      </c>
      <c r="E737" t="inlineStr">
        <is>
          <t>HANINGE</t>
        </is>
      </c>
      <c r="F737" t="inlineStr">
        <is>
          <t>Övriga statliga verk och myndigheter</t>
        </is>
      </c>
      <c r="G737" t="n">
        <v>4.3</v>
      </c>
      <c r="H737" t="n">
        <v>0</v>
      </c>
      <c r="I737" t="n">
        <v>0</v>
      </c>
      <c r="J737" t="n">
        <v>0</v>
      </c>
      <c r="K737" t="n">
        <v>0</v>
      </c>
      <c r="L737" t="n">
        <v>0</v>
      </c>
      <c r="M737" t="n">
        <v>0</v>
      </c>
      <c r="N737" t="n">
        <v>0</v>
      </c>
      <c r="O737" t="n">
        <v>0</v>
      </c>
      <c r="P737" t="n">
        <v>0</v>
      </c>
      <c r="Q737" t="n">
        <v>0</v>
      </c>
      <c r="R737" s="2" t="inlineStr"/>
    </row>
    <row r="738" ht="15" customHeight="1">
      <c r="A738" t="inlineStr">
        <is>
          <t>A 8686-2019</t>
        </is>
      </c>
      <c r="B738" s="1" t="n">
        <v>43503</v>
      </c>
      <c r="C738" s="1" t="n">
        <v>45350</v>
      </c>
      <c r="D738" t="inlineStr">
        <is>
          <t>STOCKHOLMS LÄN</t>
        </is>
      </c>
      <c r="E738" t="inlineStr">
        <is>
          <t>VALLENTUNA</t>
        </is>
      </c>
      <c r="G738" t="n">
        <v>5.1</v>
      </c>
      <c r="H738" t="n">
        <v>0</v>
      </c>
      <c r="I738" t="n">
        <v>0</v>
      </c>
      <c r="J738" t="n">
        <v>0</v>
      </c>
      <c r="K738" t="n">
        <v>0</v>
      </c>
      <c r="L738" t="n">
        <v>0</v>
      </c>
      <c r="M738" t="n">
        <v>0</v>
      </c>
      <c r="N738" t="n">
        <v>0</v>
      </c>
      <c r="O738" t="n">
        <v>0</v>
      </c>
      <c r="P738" t="n">
        <v>0</v>
      </c>
      <c r="Q738" t="n">
        <v>0</v>
      </c>
      <c r="R738" s="2" t="inlineStr"/>
    </row>
    <row r="739" ht="15" customHeight="1">
      <c r="A739" t="inlineStr">
        <is>
          <t>A 9090-2019</t>
        </is>
      </c>
      <c r="B739" s="1" t="n">
        <v>43504</v>
      </c>
      <c r="C739" s="1" t="n">
        <v>45350</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9126-2019</t>
        </is>
      </c>
      <c r="B740" s="1" t="n">
        <v>43504</v>
      </c>
      <c r="C740" s="1" t="n">
        <v>45350</v>
      </c>
      <c r="D740" t="inlineStr">
        <is>
          <t>STOCKHOLMS LÄN</t>
        </is>
      </c>
      <c r="E740" t="inlineStr">
        <is>
          <t>VAXHOLM</t>
        </is>
      </c>
      <c r="F740" t="inlineStr">
        <is>
          <t>Övriga statliga verk och myndigheter</t>
        </is>
      </c>
      <c r="G740" t="n">
        <v>1.1</v>
      </c>
      <c r="H740" t="n">
        <v>0</v>
      </c>
      <c r="I740" t="n">
        <v>0</v>
      </c>
      <c r="J740" t="n">
        <v>0</v>
      </c>
      <c r="K740" t="n">
        <v>0</v>
      </c>
      <c r="L740" t="n">
        <v>0</v>
      </c>
      <c r="M740" t="n">
        <v>0</v>
      </c>
      <c r="N740" t="n">
        <v>0</v>
      </c>
      <c r="O740" t="n">
        <v>0</v>
      </c>
      <c r="P740" t="n">
        <v>0</v>
      </c>
      <c r="Q740" t="n">
        <v>0</v>
      </c>
      <c r="R740" s="2" t="inlineStr"/>
    </row>
    <row r="741" ht="15" customHeight="1">
      <c r="A741" t="inlineStr">
        <is>
          <t>A 9154-2019</t>
        </is>
      </c>
      <c r="B741" s="1" t="n">
        <v>43504</v>
      </c>
      <c r="C741" s="1" t="n">
        <v>45350</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9216-2019</t>
        </is>
      </c>
      <c r="B742" s="1" t="n">
        <v>43506</v>
      </c>
      <c r="C742" s="1" t="n">
        <v>45350</v>
      </c>
      <c r="D742" t="inlineStr">
        <is>
          <t>STOCKHOLMS LÄN</t>
        </is>
      </c>
      <c r="E742" t="inlineStr">
        <is>
          <t>NORRTÄLJE</t>
        </is>
      </c>
      <c r="G742" t="n">
        <v>3.8</v>
      </c>
      <c r="H742" t="n">
        <v>0</v>
      </c>
      <c r="I742" t="n">
        <v>0</v>
      </c>
      <c r="J742" t="n">
        <v>0</v>
      </c>
      <c r="K742" t="n">
        <v>0</v>
      </c>
      <c r="L742" t="n">
        <v>0</v>
      </c>
      <c r="M742" t="n">
        <v>0</v>
      </c>
      <c r="N742" t="n">
        <v>0</v>
      </c>
      <c r="O742" t="n">
        <v>0</v>
      </c>
      <c r="P742" t="n">
        <v>0</v>
      </c>
      <c r="Q742" t="n">
        <v>0</v>
      </c>
      <c r="R742" s="2" t="inlineStr"/>
    </row>
    <row r="743" ht="15" customHeight="1">
      <c r="A743" t="inlineStr">
        <is>
          <t>A 9452-2019</t>
        </is>
      </c>
      <c r="B743" s="1" t="n">
        <v>43507</v>
      </c>
      <c r="C743" s="1" t="n">
        <v>45350</v>
      </c>
      <c r="D743" t="inlineStr">
        <is>
          <t>STOCKHOLMS LÄN</t>
        </is>
      </c>
      <c r="E743" t="inlineStr">
        <is>
          <t>NORRTÄLJE</t>
        </is>
      </c>
      <c r="G743" t="n">
        <v>4.2</v>
      </c>
      <c r="H743" t="n">
        <v>0</v>
      </c>
      <c r="I743" t="n">
        <v>0</v>
      </c>
      <c r="J743" t="n">
        <v>0</v>
      </c>
      <c r="K743" t="n">
        <v>0</v>
      </c>
      <c r="L743" t="n">
        <v>0</v>
      </c>
      <c r="M743" t="n">
        <v>0</v>
      </c>
      <c r="N743" t="n">
        <v>0</v>
      </c>
      <c r="O743" t="n">
        <v>0</v>
      </c>
      <c r="P743" t="n">
        <v>0</v>
      </c>
      <c r="Q743" t="n">
        <v>0</v>
      </c>
      <c r="R743" s="2" t="inlineStr"/>
    </row>
    <row r="744" ht="15" customHeight="1">
      <c r="A744" t="inlineStr">
        <is>
          <t>A 9507-2019</t>
        </is>
      </c>
      <c r="B744" s="1" t="n">
        <v>43507</v>
      </c>
      <c r="C744" s="1" t="n">
        <v>45350</v>
      </c>
      <c r="D744" t="inlineStr">
        <is>
          <t>STOCKHOLMS LÄN</t>
        </is>
      </c>
      <c r="E744" t="inlineStr">
        <is>
          <t>NORRTÄLJE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9500-2019</t>
        </is>
      </c>
      <c r="B745" s="1" t="n">
        <v>43507</v>
      </c>
      <c r="C745" s="1" t="n">
        <v>45350</v>
      </c>
      <c r="D745" t="inlineStr">
        <is>
          <t>STOCKHOLMS LÄN</t>
        </is>
      </c>
      <c r="E745" t="inlineStr">
        <is>
          <t>NORRTÄLJE</t>
        </is>
      </c>
      <c r="G745" t="n">
        <v>3.7</v>
      </c>
      <c r="H745" t="n">
        <v>0</v>
      </c>
      <c r="I745" t="n">
        <v>0</v>
      </c>
      <c r="J745" t="n">
        <v>0</v>
      </c>
      <c r="K745" t="n">
        <v>0</v>
      </c>
      <c r="L745" t="n">
        <v>0</v>
      </c>
      <c r="M745" t="n">
        <v>0</v>
      </c>
      <c r="N745" t="n">
        <v>0</v>
      </c>
      <c r="O745" t="n">
        <v>0</v>
      </c>
      <c r="P745" t="n">
        <v>0</v>
      </c>
      <c r="Q745" t="n">
        <v>0</v>
      </c>
      <c r="R745" s="2" t="inlineStr"/>
    </row>
    <row r="746" ht="15" customHeight="1">
      <c r="A746" t="inlineStr">
        <is>
          <t>A 9505-2019</t>
        </is>
      </c>
      <c r="B746" s="1" t="n">
        <v>43507</v>
      </c>
      <c r="C746" s="1" t="n">
        <v>45350</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9462-2019</t>
        </is>
      </c>
      <c r="B747" s="1" t="n">
        <v>43507</v>
      </c>
      <c r="C747" s="1" t="n">
        <v>45350</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9504-2019</t>
        </is>
      </c>
      <c r="B748" s="1" t="n">
        <v>43507</v>
      </c>
      <c r="C748" s="1" t="n">
        <v>45350</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9447-2019</t>
        </is>
      </c>
      <c r="B749" s="1" t="n">
        <v>43507</v>
      </c>
      <c r="C749" s="1" t="n">
        <v>45350</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9506-2019</t>
        </is>
      </c>
      <c r="B750" s="1" t="n">
        <v>43507</v>
      </c>
      <c r="C750" s="1" t="n">
        <v>45350</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9432-2019</t>
        </is>
      </c>
      <c r="B751" s="1" t="n">
        <v>43507</v>
      </c>
      <c r="C751" s="1" t="n">
        <v>45350</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9550-2019</t>
        </is>
      </c>
      <c r="B752" s="1" t="n">
        <v>43508</v>
      </c>
      <c r="C752" s="1" t="n">
        <v>45350</v>
      </c>
      <c r="D752" t="inlineStr">
        <is>
          <t>STOCKHOLMS LÄN</t>
        </is>
      </c>
      <c r="E752" t="inlineStr">
        <is>
          <t>VÄRMDÖ</t>
        </is>
      </c>
      <c r="G752" t="n">
        <v>1.3</v>
      </c>
      <c r="H752" t="n">
        <v>0</v>
      </c>
      <c r="I752" t="n">
        <v>0</v>
      </c>
      <c r="J752" t="n">
        <v>0</v>
      </c>
      <c r="K752" t="n">
        <v>0</v>
      </c>
      <c r="L752" t="n">
        <v>0</v>
      </c>
      <c r="M752" t="n">
        <v>0</v>
      </c>
      <c r="N752" t="n">
        <v>0</v>
      </c>
      <c r="O752" t="n">
        <v>0</v>
      </c>
      <c r="P752" t="n">
        <v>0</v>
      </c>
      <c r="Q752" t="n">
        <v>0</v>
      </c>
      <c r="R752" s="2" t="inlineStr"/>
    </row>
    <row r="753" ht="15" customHeight="1">
      <c r="A753" t="inlineStr">
        <is>
          <t>A 9556-2019</t>
        </is>
      </c>
      <c r="B753" s="1" t="n">
        <v>43508</v>
      </c>
      <c r="C753" s="1" t="n">
        <v>45350</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9569-2019</t>
        </is>
      </c>
      <c r="B754" s="1" t="n">
        <v>43508</v>
      </c>
      <c r="C754" s="1" t="n">
        <v>45350</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9619-2019</t>
        </is>
      </c>
      <c r="B755" s="1" t="n">
        <v>43508</v>
      </c>
      <c r="C755" s="1" t="n">
        <v>45350</v>
      </c>
      <c r="D755" t="inlineStr">
        <is>
          <t>STOCKHOLMS LÄN</t>
        </is>
      </c>
      <c r="E755" t="inlineStr">
        <is>
          <t>VÄRMDÖ</t>
        </is>
      </c>
      <c r="G755" t="n">
        <v>1.8</v>
      </c>
      <c r="H755" t="n">
        <v>0</v>
      </c>
      <c r="I755" t="n">
        <v>0</v>
      </c>
      <c r="J755" t="n">
        <v>0</v>
      </c>
      <c r="K755" t="n">
        <v>0</v>
      </c>
      <c r="L755" t="n">
        <v>0</v>
      </c>
      <c r="M755" t="n">
        <v>0</v>
      </c>
      <c r="N755" t="n">
        <v>0</v>
      </c>
      <c r="O755" t="n">
        <v>0</v>
      </c>
      <c r="P755" t="n">
        <v>0</v>
      </c>
      <c r="Q755" t="n">
        <v>0</v>
      </c>
      <c r="R755" s="2" t="inlineStr"/>
    </row>
    <row r="756" ht="15" customHeight="1">
      <c r="A756" t="inlineStr">
        <is>
          <t>A 9712-2019</t>
        </is>
      </c>
      <c r="B756" s="1" t="n">
        <v>43508</v>
      </c>
      <c r="C756" s="1" t="n">
        <v>45350</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9722-2019</t>
        </is>
      </c>
      <c r="B757" s="1" t="n">
        <v>43508</v>
      </c>
      <c r="C757" s="1" t="n">
        <v>45350</v>
      </c>
      <c r="D757" t="inlineStr">
        <is>
          <t>STOCKHOLMS LÄN</t>
        </is>
      </c>
      <c r="E757" t="inlineStr">
        <is>
          <t>VÄRMDÖ</t>
        </is>
      </c>
      <c r="G757" t="n">
        <v>1.1</v>
      </c>
      <c r="H757" t="n">
        <v>0</v>
      </c>
      <c r="I757" t="n">
        <v>0</v>
      </c>
      <c r="J757" t="n">
        <v>0</v>
      </c>
      <c r="K757" t="n">
        <v>0</v>
      </c>
      <c r="L757" t="n">
        <v>0</v>
      </c>
      <c r="M757" t="n">
        <v>0</v>
      </c>
      <c r="N757" t="n">
        <v>0</v>
      </c>
      <c r="O757" t="n">
        <v>0</v>
      </c>
      <c r="P757" t="n">
        <v>0</v>
      </c>
      <c r="Q757" t="n">
        <v>0</v>
      </c>
      <c r="R757" s="2" t="inlineStr"/>
    </row>
    <row r="758" ht="15" customHeight="1">
      <c r="A758" t="inlineStr">
        <is>
          <t>A 9725-2019</t>
        </is>
      </c>
      <c r="B758" s="1" t="n">
        <v>43508</v>
      </c>
      <c r="C758" s="1" t="n">
        <v>45350</v>
      </c>
      <c r="D758" t="inlineStr">
        <is>
          <t>STOCKHOLMS LÄN</t>
        </is>
      </c>
      <c r="E758" t="inlineStr">
        <is>
          <t>VÄRMDÖ</t>
        </is>
      </c>
      <c r="G758" t="n">
        <v>3.5</v>
      </c>
      <c r="H758" t="n">
        <v>0</v>
      </c>
      <c r="I758" t="n">
        <v>0</v>
      </c>
      <c r="J758" t="n">
        <v>0</v>
      </c>
      <c r="K758" t="n">
        <v>0</v>
      </c>
      <c r="L758" t="n">
        <v>0</v>
      </c>
      <c r="M758" t="n">
        <v>0</v>
      </c>
      <c r="N758" t="n">
        <v>0</v>
      </c>
      <c r="O758" t="n">
        <v>0</v>
      </c>
      <c r="P758" t="n">
        <v>0</v>
      </c>
      <c r="Q758" t="n">
        <v>0</v>
      </c>
      <c r="R758" s="2" t="inlineStr"/>
    </row>
    <row r="759" ht="15" customHeight="1">
      <c r="A759" t="inlineStr">
        <is>
          <t>A 9577-2019</t>
        </is>
      </c>
      <c r="B759" s="1" t="n">
        <v>43508</v>
      </c>
      <c r="C759" s="1" t="n">
        <v>45350</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9687-2019</t>
        </is>
      </c>
      <c r="B760" s="1" t="n">
        <v>43508</v>
      </c>
      <c r="C760" s="1" t="n">
        <v>45350</v>
      </c>
      <c r="D760" t="inlineStr">
        <is>
          <t>STOCKHOLMS LÄN</t>
        </is>
      </c>
      <c r="E760" t="inlineStr">
        <is>
          <t>NORRTÄLJE</t>
        </is>
      </c>
      <c r="F760" t="inlineStr">
        <is>
          <t>Övriga statliga verk och myndigheter</t>
        </is>
      </c>
      <c r="G760" t="n">
        <v>10</v>
      </c>
      <c r="H760" t="n">
        <v>0</v>
      </c>
      <c r="I760" t="n">
        <v>0</v>
      </c>
      <c r="J760" t="n">
        <v>0</v>
      </c>
      <c r="K760" t="n">
        <v>0</v>
      </c>
      <c r="L760" t="n">
        <v>0</v>
      </c>
      <c r="M760" t="n">
        <v>0</v>
      </c>
      <c r="N760" t="n">
        <v>0</v>
      </c>
      <c r="O760" t="n">
        <v>0</v>
      </c>
      <c r="P760" t="n">
        <v>0</v>
      </c>
      <c r="Q760" t="n">
        <v>0</v>
      </c>
      <c r="R760" s="2" t="inlineStr"/>
    </row>
    <row r="761" ht="15" customHeight="1">
      <c r="A761" t="inlineStr">
        <is>
          <t>A 9723-2019</t>
        </is>
      </c>
      <c r="B761" s="1" t="n">
        <v>43508</v>
      </c>
      <c r="C761" s="1" t="n">
        <v>45350</v>
      </c>
      <c r="D761" t="inlineStr">
        <is>
          <t>STOCKHOLMS LÄN</t>
        </is>
      </c>
      <c r="E761" t="inlineStr">
        <is>
          <t>VÄRMDÖ</t>
        </is>
      </c>
      <c r="G761" t="n">
        <v>1.2</v>
      </c>
      <c r="H761" t="n">
        <v>0</v>
      </c>
      <c r="I761" t="n">
        <v>0</v>
      </c>
      <c r="J761" t="n">
        <v>0</v>
      </c>
      <c r="K761" t="n">
        <v>0</v>
      </c>
      <c r="L761" t="n">
        <v>0</v>
      </c>
      <c r="M761" t="n">
        <v>0</v>
      </c>
      <c r="N761" t="n">
        <v>0</v>
      </c>
      <c r="O761" t="n">
        <v>0</v>
      </c>
      <c r="P761" t="n">
        <v>0</v>
      </c>
      <c r="Q761" t="n">
        <v>0</v>
      </c>
      <c r="R761" s="2" t="inlineStr"/>
    </row>
    <row r="762" ht="15" customHeight="1">
      <c r="A762" t="inlineStr">
        <is>
          <t>A 9641-2019</t>
        </is>
      </c>
      <c r="B762" s="1" t="n">
        <v>43508</v>
      </c>
      <c r="C762" s="1" t="n">
        <v>45350</v>
      </c>
      <c r="D762" t="inlineStr">
        <is>
          <t>STOCKHOLMS LÄN</t>
        </is>
      </c>
      <c r="E762" t="inlineStr">
        <is>
          <t>SÖDERTÄLJE</t>
        </is>
      </c>
      <c r="G762" t="n">
        <v>21.7</v>
      </c>
      <c r="H762" t="n">
        <v>0</v>
      </c>
      <c r="I762" t="n">
        <v>0</v>
      </c>
      <c r="J762" t="n">
        <v>0</v>
      </c>
      <c r="K762" t="n">
        <v>0</v>
      </c>
      <c r="L762" t="n">
        <v>0</v>
      </c>
      <c r="M762" t="n">
        <v>0</v>
      </c>
      <c r="N762" t="n">
        <v>0</v>
      </c>
      <c r="O762" t="n">
        <v>0</v>
      </c>
      <c r="P762" t="n">
        <v>0</v>
      </c>
      <c r="Q762" t="n">
        <v>0</v>
      </c>
      <c r="R762" s="2" t="inlineStr"/>
    </row>
    <row r="763" ht="15" customHeight="1">
      <c r="A763" t="inlineStr">
        <is>
          <t>A 9693-2019</t>
        </is>
      </c>
      <c r="B763" s="1" t="n">
        <v>43508</v>
      </c>
      <c r="C763" s="1" t="n">
        <v>45350</v>
      </c>
      <c r="D763" t="inlineStr">
        <is>
          <t>STOCKHOLMS LÄN</t>
        </is>
      </c>
      <c r="E763" t="inlineStr">
        <is>
          <t>NORRTÄLJE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9644-2019</t>
        </is>
      </c>
      <c r="B764" s="1" t="n">
        <v>43508</v>
      </c>
      <c r="C764" s="1" t="n">
        <v>45350</v>
      </c>
      <c r="D764" t="inlineStr">
        <is>
          <t>STOCKHOLMS LÄN</t>
        </is>
      </c>
      <c r="E764" t="inlineStr">
        <is>
          <t>UPPLANDS VÄSBY</t>
        </is>
      </c>
      <c r="G764" t="n">
        <v>5</v>
      </c>
      <c r="H764" t="n">
        <v>0</v>
      </c>
      <c r="I764" t="n">
        <v>0</v>
      </c>
      <c r="J764" t="n">
        <v>0</v>
      </c>
      <c r="K764" t="n">
        <v>0</v>
      </c>
      <c r="L764" t="n">
        <v>0</v>
      </c>
      <c r="M764" t="n">
        <v>0</v>
      </c>
      <c r="N764" t="n">
        <v>0</v>
      </c>
      <c r="O764" t="n">
        <v>0</v>
      </c>
      <c r="P764" t="n">
        <v>0</v>
      </c>
      <c r="Q764" t="n">
        <v>0</v>
      </c>
      <c r="R764" s="2" t="inlineStr"/>
    </row>
    <row r="765" ht="15" customHeight="1">
      <c r="A765" t="inlineStr">
        <is>
          <t>A 9605-2019</t>
        </is>
      </c>
      <c r="B765" s="1" t="n">
        <v>43508</v>
      </c>
      <c r="C765" s="1" t="n">
        <v>45350</v>
      </c>
      <c r="D765" t="inlineStr">
        <is>
          <t>STOCKHOLMS LÄN</t>
        </is>
      </c>
      <c r="E765" t="inlineStr">
        <is>
          <t>VÄRMDÖ</t>
        </is>
      </c>
      <c r="G765" t="n">
        <v>2.2</v>
      </c>
      <c r="H765" t="n">
        <v>0</v>
      </c>
      <c r="I765" t="n">
        <v>0</v>
      </c>
      <c r="J765" t="n">
        <v>0</v>
      </c>
      <c r="K765" t="n">
        <v>0</v>
      </c>
      <c r="L765" t="n">
        <v>0</v>
      </c>
      <c r="M765" t="n">
        <v>0</v>
      </c>
      <c r="N765" t="n">
        <v>0</v>
      </c>
      <c r="O765" t="n">
        <v>0</v>
      </c>
      <c r="P765" t="n">
        <v>0</v>
      </c>
      <c r="Q765" t="n">
        <v>0</v>
      </c>
      <c r="R765" s="2" t="inlineStr"/>
    </row>
    <row r="766" ht="15" customHeight="1">
      <c r="A766" t="inlineStr">
        <is>
          <t>A 9893-2019</t>
        </is>
      </c>
      <c r="B766" s="1" t="n">
        <v>43509</v>
      </c>
      <c r="C766" s="1" t="n">
        <v>45350</v>
      </c>
      <c r="D766" t="inlineStr">
        <is>
          <t>STOCKHOLMS LÄN</t>
        </is>
      </c>
      <c r="E766" t="inlineStr">
        <is>
          <t>VALLENTUNA</t>
        </is>
      </c>
      <c r="G766" t="n">
        <v>2.1</v>
      </c>
      <c r="H766" t="n">
        <v>0</v>
      </c>
      <c r="I766" t="n">
        <v>0</v>
      </c>
      <c r="J766" t="n">
        <v>0</v>
      </c>
      <c r="K766" t="n">
        <v>0</v>
      </c>
      <c r="L766" t="n">
        <v>0</v>
      </c>
      <c r="M766" t="n">
        <v>0</v>
      </c>
      <c r="N766" t="n">
        <v>0</v>
      </c>
      <c r="O766" t="n">
        <v>0</v>
      </c>
      <c r="P766" t="n">
        <v>0</v>
      </c>
      <c r="Q766" t="n">
        <v>0</v>
      </c>
      <c r="R766" s="2" t="inlineStr"/>
    </row>
    <row r="767" ht="15" customHeight="1">
      <c r="A767" t="inlineStr">
        <is>
          <t>A 9927-2019</t>
        </is>
      </c>
      <c r="B767" s="1" t="n">
        <v>43509</v>
      </c>
      <c r="C767" s="1" t="n">
        <v>45350</v>
      </c>
      <c r="D767" t="inlineStr">
        <is>
          <t>STOCKHOLMS LÄN</t>
        </is>
      </c>
      <c r="E767" t="inlineStr">
        <is>
          <t>NORRTÄLJE</t>
        </is>
      </c>
      <c r="G767" t="n">
        <v>3.7</v>
      </c>
      <c r="H767" t="n">
        <v>0</v>
      </c>
      <c r="I767" t="n">
        <v>0</v>
      </c>
      <c r="J767" t="n">
        <v>0</v>
      </c>
      <c r="K767" t="n">
        <v>0</v>
      </c>
      <c r="L767" t="n">
        <v>0</v>
      </c>
      <c r="M767" t="n">
        <v>0</v>
      </c>
      <c r="N767" t="n">
        <v>0</v>
      </c>
      <c r="O767" t="n">
        <v>0</v>
      </c>
      <c r="P767" t="n">
        <v>0</v>
      </c>
      <c r="Q767" t="n">
        <v>0</v>
      </c>
      <c r="R767" s="2" t="inlineStr"/>
    </row>
    <row r="768" ht="15" customHeight="1">
      <c r="A768" t="inlineStr">
        <is>
          <t>A 10062-2019</t>
        </is>
      </c>
      <c r="B768" s="1" t="n">
        <v>43510</v>
      </c>
      <c r="C768" s="1" t="n">
        <v>45350</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10207-2019</t>
        </is>
      </c>
      <c r="B769" s="1" t="n">
        <v>43510</v>
      </c>
      <c r="C769" s="1" t="n">
        <v>45350</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10150-2019</t>
        </is>
      </c>
      <c r="B770" s="1" t="n">
        <v>43510</v>
      </c>
      <c r="C770" s="1" t="n">
        <v>45350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10225-2019</t>
        </is>
      </c>
      <c r="B771" s="1" t="n">
        <v>43510</v>
      </c>
      <c r="C771" s="1" t="n">
        <v>45350</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10100-2019</t>
        </is>
      </c>
      <c r="B772" s="1" t="n">
        <v>43510</v>
      </c>
      <c r="C772" s="1" t="n">
        <v>45350</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10055-2019</t>
        </is>
      </c>
      <c r="B773" s="1" t="n">
        <v>43510</v>
      </c>
      <c r="C773" s="1" t="n">
        <v>45350</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10049-2019</t>
        </is>
      </c>
      <c r="B774" s="1" t="n">
        <v>43510</v>
      </c>
      <c r="C774" s="1" t="n">
        <v>45350</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10168-2019</t>
        </is>
      </c>
      <c r="B775" s="1" t="n">
        <v>43510</v>
      </c>
      <c r="C775" s="1" t="n">
        <v>45350</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10071-2019</t>
        </is>
      </c>
      <c r="B776" s="1" t="n">
        <v>43510</v>
      </c>
      <c r="C776" s="1" t="n">
        <v>45350</v>
      </c>
      <c r="D776" t="inlineStr">
        <is>
          <t>STOCKHOLMS LÄN</t>
        </is>
      </c>
      <c r="E776" t="inlineStr">
        <is>
          <t>NORRTÄLJE</t>
        </is>
      </c>
      <c r="G776" t="n">
        <v>11.8</v>
      </c>
      <c r="H776" t="n">
        <v>0</v>
      </c>
      <c r="I776" t="n">
        <v>0</v>
      </c>
      <c r="J776" t="n">
        <v>0</v>
      </c>
      <c r="K776" t="n">
        <v>0</v>
      </c>
      <c r="L776" t="n">
        <v>0</v>
      </c>
      <c r="M776" t="n">
        <v>0</v>
      </c>
      <c r="N776" t="n">
        <v>0</v>
      </c>
      <c r="O776" t="n">
        <v>0</v>
      </c>
      <c r="P776" t="n">
        <v>0</v>
      </c>
      <c r="Q776" t="n">
        <v>0</v>
      </c>
      <c r="R776" s="2" t="inlineStr"/>
    </row>
    <row r="777" ht="15" customHeight="1">
      <c r="A777" t="inlineStr">
        <is>
          <t>A 10277-2019</t>
        </is>
      </c>
      <c r="B777" s="1" t="n">
        <v>43511</v>
      </c>
      <c r="C777" s="1" t="n">
        <v>45350</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10458-2019</t>
        </is>
      </c>
      <c r="B778" s="1" t="n">
        <v>43511</v>
      </c>
      <c r="C778" s="1" t="n">
        <v>45350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10314-2019</t>
        </is>
      </c>
      <c r="B779" s="1" t="n">
        <v>43511</v>
      </c>
      <c r="C779" s="1" t="n">
        <v>45350</v>
      </c>
      <c r="D779" t="inlineStr">
        <is>
          <t>STOCKHOLMS LÄN</t>
        </is>
      </c>
      <c r="E779" t="inlineStr">
        <is>
          <t>NORRTÄLJE</t>
        </is>
      </c>
      <c r="G779" t="n">
        <v>6.2</v>
      </c>
      <c r="H779" t="n">
        <v>0</v>
      </c>
      <c r="I779" t="n">
        <v>0</v>
      </c>
      <c r="J779" t="n">
        <v>0</v>
      </c>
      <c r="K779" t="n">
        <v>0</v>
      </c>
      <c r="L779" t="n">
        <v>0</v>
      </c>
      <c r="M779" t="n">
        <v>0</v>
      </c>
      <c r="N779" t="n">
        <v>0</v>
      </c>
      <c r="O779" t="n">
        <v>0</v>
      </c>
      <c r="P779" t="n">
        <v>0</v>
      </c>
      <c r="Q779" t="n">
        <v>0</v>
      </c>
      <c r="R779" s="2" t="inlineStr"/>
    </row>
    <row r="780" ht="15" customHeight="1">
      <c r="A780" t="inlineStr">
        <is>
          <t>A 10540-2019</t>
        </is>
      </c>
      <c r="B780" s="1" t="n">
        <v>43511</v>
      </c>
      <c r="C780" s="1" t="n">
        <v>45350</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10504-2019</t>
        </is>
      </c>
      <c r="B781" s="1" t="n">
        <v>43512</v>
      </c>
      <c r="C781" s="1" t="n">
        <v>45350</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10794-2019</t>
        </is>
      </c>
      <c r="B782" s="1" t="n">
        <v>43514</v>
      </c>
      <c r="C782" s="1" t="n">
        <v>45350</v>
      </c>
      <c r="D782" t="inlineStr">
        <is>
          <t>STOCKHOLMS LÄN</t>
        </is>
      </c>
      <c r="E782" t="inlineStr">
        <is>
          <t>NORRTÄLJE</t>
        </is>
      </c>
      <c r="G782" t="n">
        <v>11.3</v>
      </c>
      <c r="H782" t="n">
        <v>0</v>
      </c>
      <c r="I782" t="n">
        <v>0</v>
      </c>
      <c r="J782" t="n">
        <v>0</v>
      </c>
      <c r="K782" t="n">
        <v>0</v>
      </c>
      <c r="L782" t="n">
        <v>0</v>
      </c>
      <c r="M782" t="n">
        <v>0</v>
      </c>
      <c r="N782" t="n">
        <v>0</v>
      </c>
      <c r="O782" t="n">
        <v>0</v>
      </c>
      <c r="P782" t="n">
        <v>0</v>
      </c>
      <c r="Q782" t="n">
        <v>0</v>
      </c>
      <c r="R782" s="2" t="inlineStr"/>
    </row>
    <row r="783" ht="15" customHeight="1">
      <c r="A783" t="inlineStr">
        <is>
          <t>A 10542-2019</t>
        </is>
      </c>
      <c r="B783" s="1" t="n">
        <v>43514</v>
      </c>
      <c r="C783" s="1" t="n">
        <v>45350</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10616-2019</t>
        </is>
      </c>
      <c r="B784" s="1" t="n">
        <v>43514</v>
      </c>
      <c r="C784" s="1" t="n">
        <v>45350</v>
      </c>
      <c r="D784" t="inlineStr">
        <is>
          <t>STOCKHOLMS LÄN</t>
        </is>
      </c>
      <c r="E784" t="inlineStr">
        <is>
          <t>NORRTÄLJE</t>
        </is>
      </c>
      <c r="F784" t="inlineStr">
        <is>
          <t>Kommuner</t>
        </is>
      </c>
      <c r="G784" t="n">
        <v>6.2</v>
      </c>
      <c r="H784" t="n">
        <v>0</v>
      </c>
      <c r="I784" t="n">
        <v>0</v>
      </c>
      <c r="J784" t="n">
        <v>0</v>
      </c>
      <c r="K784" t="n">
        <v>0</v>
      </c>
      <c r="L784" t="n">
        <v>0</v>
      </c>
      <c r="M784" t="n">
        <v>0</v>
      </c>
      <c r="N784" t="n">
        <v>0</v>
      </c>
      <c r="O784" t="n">
        <v>0</v>
      </c>
      <c r="P784" t="n">
        <v>0</v>
      </c>
      <c r="Q784" t="n">
        <v>0</v>
      </c>
      <c r="R784" s="2" t="inlineStr"/>
    </row>
    <row r="785" ht="15" customHeight="1">
      <c r="A785" t="inlineStr">
        <is>
          <t>A 10597-2019</t>
        </is>
      </c>
      <c r="B785" s="1" t="n">
        <v>43514</v>
      </c>
      <c r="C785" s="1" t="n">
        <v>45350</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10790-2019</t>
        </is>
      </c>
      <c r="B786" s="1" t="n">
        <v>43514</v>
      </c>
      <c r="C786" s="1" t="n">
        <v>45350</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10904-2019</t>
        </is>
      </c>
      <c r="B787" s="1" t="n">
        <v>43515</v>
      </c>
      <c r="C787" s="1" t="n">
        <v>45350</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10960-2019</t>
        </is>
      </c>
      <c r="B788" s="1" t="n">
        <v>43515</v>
      </c>
      <c r="C788" s="1" t="n">
        <v>45350</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11010-2019</t>
        </is>
      </c>
      <c r="B789" s="1" t="n">
        <v>43515</v>
      </c>
      <c r="C789" s="1" t="n">
        <v>45350</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11076-2019</t>
        </is>
      </c>
      <c r="B790" s="1" t="n">
        <v>43515</v>
      </c>
      <c r="C790" s="1" t="n">
        <v>45350</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11031-2019</t>
        </is>
      </c>
      <c r="B791" s="1" t="n">
        <v>43515</v>
      </c>
      <c r="C791" s="1" t="n">
        <v>45350</v>
      </c>
      <c r="D791" t="inlineStr">
        <is>
          <t>STOCKHOLMS LÄN</t>
        </is>
      </c>
      <c r="E791" t="inlineStr">
        <is>
          <t>NORRTÄLJE</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10987-2019</t>
        </is>
      </c>
      <c r="B792" s="1" t="n">
        <v>43515</v>
      </c>
      <c r="C792" s="1" t="n">
        <v>45350</v>
      </c>
      <c r="D792" t="inlineStr">
        <is>
          <t>STOCKHOLMS LÄN</t>
        </is>
      </c>
      <c r="E792" t="inlineStr">
        <is>
          <t>NORRTÄLJE</t>
        </is>
      </c>
      <c r="G792" t="n">
        <v>33.9</v>
      </c>
      <c r="H792" t="n">
        <v>0</v>
      </c>
      <c r="I792" t="n">
        <v>0</v>
      </c>
      <c r="J792" t="n">
        <v>0</v>
      </c>
      <c r="K792" t="n">
        <v>0</v>
      </c>
      <c r="L792" t="n">
        <v>0</v>
      </c>
      <c r="M792" t="n">
        <v>0</v>
      </c>
      <c r="N792" t="n">
        <v>0</v>
      </c>
      <c r="O792" t="n">
        <v>0</v>
      </c>
      <c r="P792" t="n">
        <v>0</v>
      </c>
      <c r="Q792" t="n">
        <v>0</v>
      </c>
      <c r="R792" s="2" t="inlineStr"/>
    </row>
    <row r="793" ht="15" customHeight="1">
      <c r="A793" t="inlineStr">
        <is>
          <t>A 10934-2019</t>
        </is>
      </c>
      <c r="B793" s="1" t="n">
        <v>43515</v>
      </c>
      <c r="C793" s="1" t="n">
        <v>45350</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11286-2019</t>
        </is>
      </c>
      <c r="B794" s="1" t="n">
        <v>43516</v>
      </c>
      <c r="C794" s="1" t="n">
        <v>45350</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11260-2019</t>
        </is>
      </c>
      <c r="B795" s="1" t="n">
        <v>43516</v>
      </c>
      <c r="C795" s="1" t="n">
        <v>45350</v>
      </c>
      <c r="D795" t="inlineStr">
        <is>
          <t>STOCKHOLMS LÄN</t>
        </is>
      </c>
      <c r="E795" t="inlineStr">
        <is>
          <t>NORRTÄLJE</t>
        </is>
      </c>
      <c r="F795" t="inlineStr">
        <is>
          <t>Kommuner</t>
        </is>
      </c>
      <c r="G795" t="n">
        <v>3.1</v>
      </c>
      <c r="H795" t="n">
        <v>0</v>
      </c>
      <c r="I795" t="n">
        <v>0</v>
      </c>
      <c r="J795" t="n">
        <v>0</v>
      </c>
      <c r="K795" t="n">
        <v>0</v>
      </c>
      <c r="L795" t="n">
        <v>0</v>
      </c>
      <c r="M795" t="n">
        <v>0</v>
      </c>
      <c r="N795" t="n">
        <v>0</v>
      </c>
      <c r="O795" t="n">
        <v>0</v>
      </c>
      <c r="P795" t="n">
        <v>0</v>
      </c>
      <c r="Q795" t="n">
        <v>0</v>
      </c>
      <c r="R795" s="2" t="inlineStr"/>
    </row>
    <row r="796" ht="15" customHeight="1">
      <c r="A796" t="inlineStr">
        <is>
          <t>A 11243-2019</t>
        </is>
      </c>
      <c r="B796" s="1" t="n">
        <v>43516</v>
      </c>
      <c r="C796" s="1" t="n">
        <v>45350</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11242-2019</t>
        </is>
      </c>
      <c r="B797" s="1" t="n">
        <v>43516</v>
      </c>
      <c r="C797" s="1" t="n">
        <v>45350</v>
      </c>
      <c r="D797" t="inlineStr">
        <is>
          <t>STOCKHOLMS LÄN</t>
        </is>
      </c>
      <c r="E797" t="inlineStr">
        <is>
          <t>NORRTÄLJE</t>
        </is>
      </c>
      <c r="G797" t="n">
        <v>3.1</v>
      </c>
      <c r="H797" t="n">
        <v>0</v>
      </c>
      <c r="I797" t="n">
        <v>0</v>
      </c>
      <c r="J797" t="n">
        <v>0</v>
      </c>
      <c r="K797" t="n">
        <v>0</v>
      </c>
      <c r="L797" t="n">
        <v>0</v>
      </c>
      <c r="M797" t="n">
        <v>0</v>
      </c>
      <c r="N797" t="n">
        <v>0</v>
      </c>
      <c r="O797" t="n">
        <v>0</v>
      </c>
      <c r="P797" t="n">
        <v>0</v>
      </c>
      <c r="Q797" t="n">
        <v>0</v>
      </c>
      <c r="R797" s="2" t="inlineStr"/>
    </row>
    <row r="798" ht="15" customHeight="1">
      <c r="A798" t="inlineStr">
        <is>
          <t>A 11321-2019</t>
        </is>
      </c>
      <c r="B798" s="1" t="n">
        <v>43517</v>
      </c>
      <c r="C798" s="1" t="n">
        <v>45350</v>
      </c>
      <c r="D798" t="inlineStr">
        <is>
          <t>STOCKHOLMS LÄN</t>
        </is>
      </c>
      <c r="E798" t="inlineStr">
        <is>
          <t>NORRTÄLJE</t>
        </is>
      </c>
      <c r="G798" t="n">
        <v>8.6</v>
      </c>
      <c r="H798" t="n">
        <v>0</v>
      </c>
      <c r="I798" t="n">
        <v>0</v>
      </c>
      <c r="J798" t="n">
        <v>0</v>
      </c>
      <c r="K798" t="n">
        <v>0</v>
      </c>
      <c r="L798" t="n">
        <v>0</v>
      </c>
      <c r="M798" t="n">
        <v>0</v>
      </c>
      <c r="N798" t="n">
        <v>0</v>
      </c>
      <c r="O798" t="n">
        <v>0</v>
      </c>
      <c r="P798" t="n">
        <v>0</v>
      </c>
      <c r="Q798" t="n">
        <v>0</v>
      </c>
      <c r="R798" s="2" t="inlineStr"/>
    </row>
    <row r="799" ht="15" customHeight="1">
      <c r="A799" t="inlineStr">
        <is>
          <t>A 11356-2019</t>
        </is>
      </c>
      <c r="B799" s="1" t="n">
        <v>43517</v>
      </c>
      <c r="C799" s="1" t="n">
        <v>45350</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11361-2019</t>
        </is>
      </c>
      <c r="B800" s="1" t="n">
        <v>43517</v>
      </c>
      <c r="C800" s="1" t="n">
        <v>45350</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11320-2019</t>
        </is>
      </c>
      <c r="B801" s="1" t="n">
        <v>43517</v>
      </c>
      <c r="C801" s="1" t="n">
        <v>45350</v>
      </c>
      <c r="D801" t="inlineStr">
        <is>
          <t>STOCKHOLMS LÄN</t>
        </is>
      </c>
      <c r="E801" t="inlineStr">
        <is>
          <t>NORRTÄLJE</t>
        </is>
      </c>
      <c r="G801" t="n">
        <v>6.7</v>
      </c>
      <c r="H801" t="n">
        <v>0</v>
      </c>
      <c r="I801" t="n">
        <v>0</v>
      </c>
      <c r="J801" t="n">
        <v>0</v>
      </c>
      <c r="K801" t="n">
        <v>0</v>
      </c>
      <c r="L801" t="n">
        <v>0</v>
      </c>
      <c r="M801" t="n">
        <v>0</v>
      </c>
      <c r="N801" t="n">
        <v>0</v>
      </c>
      <c r="O801" t="n">
        <v>0</v>
      </c>
      <c r="P801" t="n">
        <v>0</v>
      </c>
      <c r="Q801" t="n">
        <v>0</v>
      </c>
      <c r="R801" s="2" t="inlineStr"/>
    </row>
    <row r="802" ht="15" customHeight="1">
      <c r="A802" t="inlineStr">
        <is>
          <t>A 11328-2019</t>
        </is>
      </c>
      <c r="B802" s="1" t="n">
        <v>43517</v>
      </c>
      <c r="C802" s="1" t="n">
        <v>45350</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11465-2019</t>
        </is>
      </c>
      <c r="B803" s="1" t="n">
        <v>43517</v>
      </c>
      <c r="C803" s="1" t="n">
        <v>45350</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11487-2019</t>
        </is>
      </c>
      <c r="B804" s="1" t="n">
        <v>43517</v>
      </c>
      <c r="C804" s="1" t="n">
        <v>45350</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11388-2019</t>
        </is>
      </c>
      <c r="B805" s="1" t="n">
        <v>43517</v>
      </c>
      <c r="C805" s="1" t="n">
        <v>45350</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11400-2019</t>
        </is>
      </c>
      <c r="B806" s="1" t="n">
        <v>43517</v>
      </c>
      <c r="C806" s="1" t="n">
        <v>45350</v>
      </c>
      <c r="D806" t="inlineStr">
        <is>
          <t>STOCKHOLMS LÄN</t>
        </is>
      </c>
      <c r="E806" t="inlineStr">
        <is>
          <t>SÖDERTÄLJE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11430-2019</t>
        </is>
      </c>
      <c r="B807" s="1" t="n">
        <v>43517</v>
      </c>
      <c r="C807" s="1" t="n">
        <v>45350</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11452-2019</t>
        </is>
      </c>
      <c r="B808" s="1" t="n">
        <v>43517</v>
      </c>
      <c r="C808" s="1" t="n">
        <v>45350</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11997-2019</t>
        </is>
      </c>
      <c r="B809" s="1" t="n">
        <v>43521</v>
      </c>
      <c r="C809" s="1" t="n">
        <v>45350</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11996-2019</t>
        </is>
      </c>
      <c r="B810" s="1" t="n">
        <v>43521</v>
      </c>
      <c r="C810" s="1" t="n">
        <v>45350</v>
      </c>
      <c r="D810" t="inlineStr">
        <is>
          <t>STOCKHOLMS LÄN</t>
        </is>
      </c>
      <c r="E810" t="inlineStr">
        <is>
          <t>NORRTÄLJE</t>
        </is>
      </c>
      <c r="G810" t="n">
        <v>5.7</v>
      </c>
      <c r="H810" t="n">
        <v>0</v>
      </c>
      <c r="I810" t="n">
        <v>0</v>
      </c>
      <c r="J810" t="n">
        <v>0</v>
      </c>
      <c r="K810" t="n">
        <v>0</v>
      </c>
      <c r="L810" t="n">
        <v>0</v>
      </c>
      <c r="M810" t="n">
        <v>0</v>
      </c>
      <c r="N810" t="n">
        <v>0</v>
      </c>
      <c r="O810" t="n">
        <v>0</v>
      </c>
      <c r="P810" t="n">
        <v>0</v>
      </c>
      <c r="Q810" t="n">
        <v>0</v>
      </c>
      <c r="R810" s="2" t="inlineStr"/>
    </row>
    <row r="811" ht="15" customHeight="1">
      <c r="A811" t="inlineStr">
        <is>
          <t>A 11992-2019</t>
        </is>
      </c>
      <c r="B811" s="1" t="n">
        <v>43521</v>
      </c>
      <c r="C811" s="1" t="n">
        <v>45350</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11987-2019</t>
        </is>
      </c>
      <c r="B812" s="1" t="n">
        <v>43521</v>
      </c>
      <c r="C812" s="1" t="n">
        <v>45350</v>
      </c>
      <c r="D812" t="inlineStr">
        <is>
          <t>STOCKHOLMS LÄN</t>
        </is>
      </c>
      <c r="E812" t="inlineStr">
        <is>
          <t>NORRTÄLJE</t>
        </is>
      </c>
      <c r="G812" t="n">
        <v>15.6</v>
      </c>
      <c r="H812" t="n">
        <v>0</v>
      </c>
      <c r="I812" t="n">
        <v>0</v>
      </c>
      <c r="J812" t="n">
        <v>0</v>
      </c>
      <c r="K812" t="n">
        <v>0</v>
      </c>
      <c r="L812" t="n">
        <v>0</v>
      </c>
      <c r="M812" t="n">
        <v>0</v>
      </c>
      <c r="N812" t="n">
        <v>0</v>
      </c>
      <c r="O812" t="n">
        <v>0</v>
      </c>
      <c r="P812" t="n">
        <v>0</v>
      </c>
      <c r="Q812" t="n">
        <v>0</v>
      </c>
      <c r="R812" s="2" t="inlineStr"/>
    </row>
    <row r="813" ht="15" customHeight="1">
      <c r="A813" t="inlineStr">
        <is>
          <t>A 11797-2019</t>
        </is>
      </c>
      <c r="B813" s="1" t="n">
        <v>43521</v>
      </c>
      <c r="C813" s="1" t="n">
        <v>45350</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11906-2019</t>
        </is>
      </c>
      <c r="B814" s="1" t="n">
        <v>43521</v>
      </c>
      <c r="C814" s="1" t="n">
        <v>45350</v>
      </c>
      <c r="D814" t="inlineStr">
        <is>
          <t>STOCKHOLMS LÄN</t>
        </is>
      </c>
      <c r="E814" t="inlineStr">
        <is>
          <t>UPPLANDS-BRO</t>
        </is>
      </c>
      <c r="G814" t="n">
        <v>6.4</v>
      </c>
      <c r="H814" t="n">
        <v>0</v>
      </c>
      <c r="I814" t="n">
        <v>0</v>
      </c>
      <c r="J814" t="n">
        <v>0</v>
      </c>
      <c r="K814" t="n">
        <v>0</v>
      </c>
      <c r="L814" t="n">
        <v>0</v>
      </c>
      <c r="M814" t="n">
        <v>0</v>
      </c>
      <c r="N814" t="n">
        <v>0</v>
      </c>
      <c r="O814" t="n">
        <v>0</v>
      </c>
      <c r="P814" t="n">
        <v>0</v>
      </c>
      <c r="Q814" t="n">
        <v>0</v>
      </c>
      <c r="R814" s="2" t="inlineStr"/>
    </row>
    <row r="815" ht="15" customHeight="1">
      <c r="A815" t="inlineStr">
        <is>
          <t>A 12061-2019</t>
        </is>
      </c>
      <c r="B815" s="1" t="n">
        <v>43522</v>
      </c>
      <c r="C815" s="1" t="n">
        <v>45350</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12157-2019</t>
        </is>
      </c>
      <c r="B816" s="1" t="n">
        <v>43522</v>
      </c>
      <c r="C816" s="1" t="n">
        <v>45350</v>
      </c>
      <c r="D816" t="inlineStr">
        <is>
          <t>STOCKHOLMS LÄN</t>
        </is>
      </c>
      <c r="E816" t="inlineStr">
        <is>
          <t>NYKVARN</t>
        </is>
      </c>
      <c r="G816" t="n">
        <v>1.1</v>
      </c>
      <c r="H816" t="n">
        <v>0</v>
      </c>
      <c r="I816" t="n">
        <v>0</v>
      </c>
      <c r="J816" t="n">
        <v>0</v>
      </c>
      <c r="K816" t="n">
        <v>0</v>
      </c>
      <c r="L816" t="n">
        <v>0</v>
      </c>
      <c r="M816" t="n">
        <v>0</v>
      </c>
      <c r="N816" t="n">
        <v>0</v>
      </c>
      <c r="O816" t="n">
        <v>0</v>
      </c>
      <c r="P816" t="n">
        <v>0</v>
      </c>
      <c r="Q816" t="n">
        <v>0</v>
      </c>
      <c r="R816" s="2" t="inlineStr"/>
    </row>
    <row r="817" ht="15" customHeight="1">
      <c r="A817" t="inlineStr">
        <is>
          <t>A 12450-2019</t>
        </is>
      </c>
      <c r="B817" s="1" t="n">
        <v>43523</v>
      </c>
      <c r="C817" s="1" t="n">
        <v>45350</v>
      </c>
      <c r="D817" t="inlineStr">
        <is>
          <t>STOCKHOLMS LÄN</t>
        </is>
      </c>
      <c r="E817" t="inlineStr">
        <is>
          <t>NYNÄSHAMN</t>
        </is>
      </c>
      <c r="G817" t="n">
        <v>2.3</v>
      </c>
      <c r="H817" t="n">
        <v>0</v>
      </c>
      <c r="I817" t="n">
        <v>0</v>
      </c>
      <c r="J817" t="n">
        <v>0</v>
      </c>
      <c r="K817" t="n">
        <v>0</v>
      </c>
      <c r="L817" t="n">
        <v>0</v>
      </c>
      <c r="M817" t="n">
        <v>0</v>
      </c>
      <c r="N817" t="n">
        <v>0</v>
      </c>
      <c r="O817" t="n">
        <v>0</v>
      </c>
      <c r="P817" t="n">
        <v>0</v>
      </c>
      <c r="Q817" t="n">
        <v>0</v>
      </c>
      <c r="R817" s="2" t="inlineStr"/>
    </row>
    <row r="818" ht="15" customHeight="1">
      <c r="A818" t="inlineStr">
        <is>
          <t>A 12351-2019</t>
        </is>
      </c>
      <c r="B818" s="1" t="n">
        <v>43523</v>
      </c>
      <c r="C818" s="1" t="n">
        <v>45350</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12418-2019</t>
        </is>
      </c>
      <c r="B819" s="1" t="n">
        <v>43523</v>
      </c>
      <c r="C819" s="1" t="n">
        <v>45350</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12265-2019</t>
        </is>
      </c>
      <c r="B820" s="1" t="n">
        <v>43523</v>
      </c>
      <c r="C820" s="1" t="n">
        <v>45350</v>
      </c>
      <c r="D820" t="inlineStr">
        <is>
          <t>STOCKHOLMS LÄN</t>
        </is>
      </c>
      <c r="E820" t="inlineStr">
        <is>
          <t>HANINGE</t>
        </is>
      </c>
      <c r="G820" t="n">
        <v>0.5</v>
      </c>
      <c r="H820" t="n">
        <v>0</v>
      </c>
      <c r="I820" t="n">
        <v>0</v>
      </c>
      <c r="J820" t="n">
        <v>0</v>
      </c>
      <c r="K820" t="n">
        <v>0</v>
      </c>
      <c r="L820" t="n">
        <v>0</v>
      </c>
      <c r="M820" t="n">
        <v>0</v>
      </c>
      <c r="N820" t="n">
        <v>0</v>
      </c>
      <c r="O820" t="n">
        <v>0</v>
      </c>
      <c r="P820" t="n">
        <v>0</v>
      </c>
      <c r="Q820" t="n">
        <v>0</v>
      </c>
      <c r="R820" s="2" t="inlineStr"/>
    </row>
    <row r="821" ht="15" customHeight="1">
      <c r="A821" t="inlineStr">
        <is>
          <t>A 12668-2019</t>
        </is>
      </c>
      <c r="B821" s="1" t="n">
        <v>43524</v>
      </c>
      <c r="C821" s="1" t="n">
        <v>45350</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12603-2019</t>
        </is>
      </c>
      <c r="B822" s="1" t="n">
        <v>43524</v>
      </c>
      <c r="C822" s="1" t="n">
        <v>45350</v>
      </c>
      <c r="D822" t="inlineStr">
        <is>
          <t>STOCKHOLMS LÄN</t>
        </is>
      </c>
      <c r="E822" t="inlineStr">
        <is>
          <t>SÖDERTÄLJE</t>
        </is>
      </c>
      <c r="G822" t="n">
        <v>10.4</v>
      </c>
      <c r="H822" t="n">
        <v>0</v>
      </c>
      <c r="I822" t="n">
        <v>0</v>
      </c>
      <c r="J822" t="n">
        <v>0</v>
      </c>
      <c r="K822" t="n">
        <v>0</v>
      </c>
      <c r="L822" t="n">
        <v>0</v>
      </c>
      <c r="M822" t="n">
        <v>0</v>
      </c>
      <c r="N822" t="n">
        <v>0</v>
      </c>
      <c r="O822" t="n">
        <v>0</v>
      </c>
      <c r="P822" t="n">
        <v>0</v>
      </c>
      <c r="Q822" t="n">
        <v>0</v>
      </c>
      <c r="R822" s="2" t="inlineStr"/>
    </row>
    <row r="823" ht="15" customHeight="1">
      <c r="A823" t="inlineStr">
        <is>
          <t>A 12590-2019</t>
        </is>
      </c>
      <c r="B823" s="1" t="n">
        <v>43524</v>
      </c>
      <c r="C823" s="1" t="n">
        <v>45350</v>
      </c>
      <c r="D823" t="inlineStr">
        <is>
          <t>STOCKHOLMS LÄN</t>
        </is>
      </c>
      <c r="E823" t="inlineStr">
        <is>
          <t>SIGTUNA</t>
        </is>
      </c>
      <c r="G823" t="n">
        <v>0.9</v>
      </c>
      <c r="H823" t="n">
        <v>0</v>
      </c>
      <c r="I823" t="n">
        <v>0</v>
      </c>
      <c r="J823" t="n">
        <v>0</v>
      </c>
      <c r="K823" t="n">
        <v>0</v>
      </c>
      <c r="L823" t="n">
        <v>0</v>
      </c>
      <c r="M823" t="n">
        <v>0</v>
      </c>
      <c r="N823" t="n">
        <v>0</v>
      </c>
      <c r="O823" t="n">
        <v>0</v>
      </c>
      <c r="P823" t="n">
        <v>0</v>
      </c>
      <c r="Q823" t="n">
        <v>0</v>
      </c>
      <c r="R823" s="2" t="inlineStr"/>
    </row>
    <row r="824" ht="15" customHeight="1">
      <c r="A824" t="inlineStr">
        <is>
          <t>A 12564-2019</t>
        </is>
      </c>
      <c r="B824" s="1" t="n">
        <v>43524</v>
      </c>
      <c r="C824" s="1" t="n">
        <v>45350</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12577-2019</t>
        </is>
      </c>
      <c r="B825" s="1" t="n">
        <v>43524</v>
      </c>
      <c r="C825" s="1" t="n">
        <v>45350</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12580-2019</t>
        </is>
      </c>
      <c r="B826" s="1" t="n">
        <v>43524</v>
      </c>
      <c r="C826" s="1" t="n">
        <v>45350</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12569-2019</t>
        </is>
      </c>
      <c r="B827" s="1" t="n">
        <v>43524</v>
      </c>
      <c r="C827" s="1" t="n">
        <v>45350</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12804-2019</t>
        </is>
      </c>
      <c r="B828" s="1" t="n">
        <v>43525</v>
      </c>
      <c r="C828" s="1" t="n">
        <v>45350</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12817-2019</t>
        </is>
      </c>
      <c r="B829" s="1" t="n">
        <v>43525</v>
      </c>
      <c r="C829" s="1" t="n">
        <v>45350</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12811-2019</t>
        </is>
      </c>
      <c r="B830" s="1" t="n">
        <v>43525</v>
      </c>
      <c r="C830" s="1" t="n">
        <v>45350</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12805-2019</t>
        </is>
      </c>
      <c r="B831" s="1" t="n">
        <v>43525</v>
      </c>
      <c r="C831" s="1" t="n">
        <v>45350</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12839-2019</t>
        </is>
      </c>
      <c r="B832" s="1" t="n">
        <v>43525</v>
      </c>
      <c r="C832" s="1" t="n">
        <v>45350</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12919-2019</t>
        </is>
      </c>
      <c r="B833" s="1" t="n">
        <v>43525</v>
      </c>
      <c r="C833" s="1" t="n">
        <v>45350</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12790-2019</t>
        </is>
      </c>
      <c r="B834" s="1" t="n">
        <v>43525</v>
      </c>
      <c r="C834" s="1" t="n">
        <v>45350</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12765-2019</t>
        </is>
      </c>
      <c r="B835" s="1" t="n">
        <v>43525</v>
      </c>
      <c r="C835" s="1" t="n">
        <v>45350</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17037-2019</t>
        </is>
      </c>
      <c r="B836" s="1" t="n">
        <v>43525</v>
      </c>
      <c r="C836" s="1" t="n">
        <v>45350</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12797-2019</t>
        </is>
      </c>
      <c r="B837" s="1" t="n">
        <v>43525</v>
      </c>
      <c r="C837" s="1" t="n">
        <v>45350</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17033-2019</t>
        </is>
      </c>
      <c r="B838" s="1" t="n">
        <v>43525</v>
      </c>
      <c r="C838" s="1" t="n">
        <v>45350</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12964-2019</t>
        </is>
      </c>
      <c r="B839" s="1" t="n">
        <v>43526</v>
      </c>
      <c r="C839" s="1" t="n">
        <v>45350</v>
      </c>
      <c r="D839" t="inlineStr">
        <is>
          <t>STOCKHOLMS LÄN</t>
        </is>
      </c>
      <c r="E839" t="inlineStr">
        <is>
          <t>NORRTÄLJE</t>
        </is>
      </c>
      <c r="G839" t="n">
        <v>3.2</v>
      </c>
      <c r="H839" t="n">
        <v>0</v>
      </c>
      <c r="I839" t="n">
        <v>0</v>
      </c>
      <c r="J839" t="n">
        <v>0</v>
      </c>
      <c r="K839" t="n">
        <v>0</v>
      </c>
      <c r="L839" t="n">
        <v>0</v>
      </c>
      <c r="M839" t="n">
        <v>0</v>
      </c>
      <c r="N839" t="n">
        <v>0</v>
      </c>
      <c r="O839" t="n">
        <v>0</v>
      </c>
      <c r="P839" t="n">
        <v>0</v>
      </c>
      <c r="Q839" t="n">
        <v>0</v>
      </c>
      <c r="R839" s="2" t="inlineStr"/>
    </row>
    <row r="840" ht="15" customHeight="1">
      <c r="A840" t="inlineStr">
        <is>
          <t>A 13143-2019</t>
        </is>
      </c>
      <c r="B840" s="1" t="n">
        <v>43527</v>
      </c>
      <c r="C840" s="1" t="n">
        <v>45350</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12979-2019</t>
        </is>
      </c>
      <c r="B841" s="1" t="n">
        <v>43527</v>
      </c>
      <c r="C841" s="1" t="n">
        <v>45350</v>
      </c>
      <c r="D841" t="inlineStr">
        <is>
          <t>STOCKHOLMS LÄN</t>
        </is>
      </c>
      <c r="E841" t="inlineStr">
        <is>
          <t>NORRTÄLJE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13096-2019</t>
        </is>
      </c>
      <c r="B842" s="1" t="n">
        <v>43528</v>
      </c>
      <c r="C842" s="1" t="n">
        <v>45350</v>
      </c>
      <c r="D842" t="inlineStr">
        <is>
          <t>STOCKHOLMS LÄN</t>
        </is>
      </c>
      <c r="E842" t="inlineStr">
        <is>
          <t>NORRTÄLJE</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13210-2019</t>
        </is>
      </c>
      <c r="B843" s="1" t="n">
        <v>43528</v>
      </c>
      <c r="C843" s="1" t="n">
        <v>45350</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13353-2019</t>
        </is>
      </c>
      <c r="B844" s="1" t="n">
        <v>43529</v>
      </c>
      <c r="C844" s="1" t="n">
        <v>45350</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13356-2019</t>
        </is>
      </c>
      <c r="B845" s="1" t="n">
        <v>43529</v>
      </c>
      <c r="C845" s="1" t="n">
        <v>45350</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13354-2019</t>
        </is>
      </c>
      <c r="B846" s="1" t="n">
        <v>43529</v>
      </c>
      <c r="C846" s="1" t="n">
        <v>45350</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13315-2019</t>
        </is>
      </c>
      <c r="B847" s="1" t="n">
        <v>43529</v>
      </c>
      <c r="C847" s="1" t="n">
        <v>45350</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13289-2019</t>
        </is>
      </c>
      <c r="B848" s="1" t="n">
        <v>43529</v>
      </c>
      <c r="C848" s="1" t="n">
        <v>45350</v>
      </c>
      <c r="D848" t="inlineStr">
        <is>
          <t>STOCKHOLMS LÄN</t>
        </is>
      </c>
      <c r="E848" t="inlineStr">
        <is>
          <t>NORRTÄLJE</t>
        </is>
      </c>
      <c r="F848" t="inlineStr">
        <is>
          <t>Holmen skog AB</t>
        </is>
      </c>
      <c r="G848" t="n">
        <v>4.6</v>
      </c>
      <c r="H848" t="n">
        <v>0</v>
      </c>
      <c r="I848" t="n">
        <v>0</v>
      </c>
      <c r="J848" t="n">
        <v>0</v>
      </c>
      <c r="K848" t="n">
        <v>0</v>
      </c>
      <c r="L848" t="n">
        <v>0</v>
      </c>
      <c r="M848" t="n">
        <v>0</v>
      </c>
      <c r="N848" t="n">
        <v>0</v>
      </c>
      <c r="O848" t="n">
        <v>0</v>
      </c>
      <c r="P848" t="n">
        <v>0</v>
      </c>
      <c r="Q848" t="n">
        <v>0</v>
      </c>
      <c r="R848" s="2" t="inlineStr"/>
    </row>
    <row r="849" ht="15" customHeight="1">
      <c r="A849" t="inlineStr">
        <is>
          <t>A 13566-2019</t>
        </is>
      </c>
      <c r="B849" s="1" t="n">
        <v>43530</v>
      </c>
      <c r="C849" s="1" t="n">
        <v>45350</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13676-2019</t>
        </is>
      </c>
      <c r="B850" s="1" t="n">
        <v>43530</v>
      </c>
      <c r="C850" s="1" t="n">
        <v>45350</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13851-2019</t>
        </is>
      </c>
      <c r="B851" s="1" t="n">
        <v>43531</v>
      </c>
      <c r="C851" s="1" t="n">
        <v>45350</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13940-2019</t>
        </is>
      </c>
      <c r="B852" s="1" t="n">
        <v>43531</v>
      </c>
      <c r="C852" s="1" t="n">
        <v>45350</v>
      </c>
      <c r="D852" t="inlineStr">
        <is>
          <t>STOCKHOLMS LÄN</t>
        </is>
      </c>
      <c r="E852" t="inlineStr">
        <is>
          <t>NORRTÄLJE</t>
        </is>
      </c>
      <c r="G852" t="n">
        <v>4.2</v>
      </c>
      <c r="H852" t="n">
        <v>0</v>
      </c>
      <c r="I852" t="n">
        <v>0</v>
      </c>
      <c r="J852" t="n">
        <v>0</v>
      </c>
      <c r="K852" t="n">
        <v>0</v>
      </c>
      <c r="L852" t="n">
        <v>0</v>
      </c>
      <c r="M852" t="n">
        <v>0</v>
      </c>
      <c r="N852" t="n">
        <v>0</v>
      </c>
      <c r="O852" t="n">
        <v>0</v>
      </c>
      <c r="P852" t="n">
        <v>0</v>
      </c>
      <c r="Q852" t="n">
        <v>0</v>
      </c>
      <c r="R852" s="2" t="inlineStr"/>
    </row>
    <row r="853" ht="15" customHeight="1">
      <c r="A853" t="inlineStr">
        <is>
          <t>A 13828-2019</t>
        </is>
      </c>
      <c r="B853" s="1" t="n">
        <v>43531</v>
      </c>
      <c r="C853" s="1" t="n">
        <v>45350</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14027-2019</t>
        </is>
      </c>
      <c r="B854" s="1" t="n">
        <v>43532</v>
      </c>
      <c r="C854" s="1" t="n">
        <v>45350</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14049-2019</t>
        </is>
      </c>
      <c r="B855" s="1" t="n">
        <v>43532</v>
      </c>
      <c r="C855" s="1" t="n">
        <v>45350</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14147-2019</t>
        </is>
      </c>
      <c r="B856" s="1" t="n">
        <v>43532</v>
      </c>
      <c r="C856" s="1" t="n">
        <v>45350</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14145-2019</t>
        </is>
      </c>
      <c r="B857" s="1" t="n">
        <v>43532</v>
      </c>
      <c r="C857" s="1" t="n">
        <v>45350</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14146-2019</t>
        </is>
      </c>
      <c r="B858" s="1" t="n">
        <v>43532</v>
      </c>
      <c r="C858" s="1" t="n">
        <v>45350</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14020-2019</t>
        </is>
      </c>
      <c r="B859" s="1" t="n">
        <v>43532</v>
      </c>
      <c r="C859" s="1" t="n">
        <v>45350</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14161-2019</t>
        </is>
      </c>
      <c r="B860" s="1" t="n">
        <v>43533</v>
      </c>
      <c r="C860" s="1" t="n">
        <v>45350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14186-2019</t>
        </is>
      </c>
      <c r="B861" s="1" t="n">
        <v>43534</v>
      </c>
      <c r="C861" s="1" t="n">
        <v>45350</v>
      </c>
      <c r="D861" t="inlineStr">
        <is>
          <t>STOCKHOLMS LÄN</t>
        </is>
      </c>
      <c r="E861" t="inlineStr">
        <is>
          <t>NYKVARN</t>
        </is>
      </c>
      <c r="G861" t="n">
        <v>0.7</v>
      </c>
      <c r="H861" t="n">
        <v>0</v>
      </c>
      <c r="I861" t="n">
        <v>0</v>
      </c>
      <c r="J861" t="n">
        <v>0</v>
      </c>
      <c r="K861" t="n">
        <v>0</v>
      </c>
      <c r="L861" t="n">
        <v>0</v>
      </c>
      <c r="M861" t="n">
        <v>0</v>
      </c>
      <c r="N861" t="n">
        <v>0</v>
      </c>
      <c r="O861" t="n">
        <v>0</v>
      </c>
      <c r="P861" t="n">
        <v>0</v>
      </c>
      <c r="Q861" t="n">
        <v>0</v>
      </c>
      <c r="R861" s="2" t="inlineStr"/>
    </row>
    <row r="862" ht="15" customHeight="1">
      <c r="A862" t="inlineStr">
        <is>
          <t>A 14294-2019</t>
        </is>
      </c>
      <c r="B862" s="1" t="n">
        <v>43535</v>
      </c>
      <c r="C862" s="1" t="n">
        <v>45350</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14258-2019</t>
        </is>
      </c>
      <c r="B863" s="1" t="n">
        <v>43535</v>
      </c>
      <c r="C863" s="1" t="n">
        <v>45350</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14297-2019</t>
        </is>
      </c>
      <c r="B864" s="1" t="n">
        <v>43535</v>
      </c>
      <c r="C864" s="1" t="n">
        <v>45350</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14330-2019</t>
        </is>
      </c>
      <c r="B865" s="1" t="n">
        <v>43535</v>
      </c>
      <c r="C865" s="1" t="n">
        <v>45350</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14293-2019</t>
        </is>
      </c>
      <c r="B866" s="1" t="n">
        <v>43535</v>
      </c>
      <c r="C866" s="1" t="n">
        <v>45350</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14239-2019</t>
        </is>
      </c>
      <c r="B867" s="1" t="n">
        <v>43536</v>
      </c>
      <c r="C867" s="1" t="n">
        <v>45350</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14229-2019</t>
        </is>
      </c>
      <c r="B868" s="1" t="n">
        <v>43536</v>
      </c>
      <c r="C868" s="1" t="n">
        <v>45350</v>
      </c>
      <c r="D868" t="inlineStr">
        <is>
          <t>STOCKHOLMS LÄN</t>
        </is>
      </c>
      <c r="E868" t="inlineStr">
        <is>
          <t>NORRTÄLJE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14465-2019</t>
        </is>
      </c>
      <c r="B869" s="1" t="n">
        <v>43536</v>
      </c>
      <c r="C869" s="1" t="n">
        <v>45350</v>
      </c>
      <c r="D869" t="inlineStr">
        <is>
          <t>STOCKHOLMS LÄN</t>
        </is>
      </c>
      <c r="E869" t="inlineStr">
        <is>
          <t>VALLENTUNA</t>
        </is>
      </c>
      <c r="G869" t="n">
        <v>1</v>
      </c>
      <c r="H869" t="n">
        <v>0</v>
      </c>
      <c r="I869" t="n">
        <v>0</v>
      </c>
      <c r="J869" t="n">
        <v>0</v>
      </c>
      <c r="K869" t="n">
        <v>0</v>
      </c>
      <c r="L869" t="n">
        <v>0</v>
      </c>
      <c r="M869" t="n">
        <v>0</v>
      </c>
      <c r="N869" t="n">
        <v>0</v>
      </c>
      <c r="O869" t="n">
        <v>0</v>
      </c>
      <c r="P869" t="n">
        <v>0</v>
      </c>
      <c r="Q869" t="n">
        <v>0</v>
      </c>
      <c r="R869" s="2" t="inlineStr"/>
    </row>
    <row r="870" ht="15" customHeight="1">
      <c r="A870" t="inlineStr">
        <is>
          <t>A 14946-2019</t>
        </is>
      </c>
      <c r="B870" s="1" t="n">
        <v>43537</v>
      </c>
      <c r="C870" s="1" t="n">
        <v>45350</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14958-2019</t>
        </is>
      </c>
      <c r="B871" s="1" t="n">
        <v>43538</v>
      </c>
      <c r="C871" s="1" t="n">
        <v>45350</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14840-2019</t>
        </is>
      </c>
      <c r="B872" s="1" t="n">
        <v>43538</v>
      </c>
      <c r="C872" s="1" t="n">
        <v>45350</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15085-2019</t>
        </is>
      </c>
      <c r="B873" s="1" t="n">
        <v>43538</v>
      </c>
      <c r="C873" s="1" t="n">
        <v>45350</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14995-2019</t>
        </is>
      </c>
      <c r="B874" s="1" t="n">
        <v>43538</v>
      </c>
      <c r="C874" s="1" t="n">
        <v>45350</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15161-2019</t>
        </is>
      </c>
      <c r="B875" s="1" t="n">
        <v>43538</v>
      </c>
      <c r="C875" s="1" t="n">
        <v>45350</v>
      </c>
      <c r="D875" t="inlineStr">
        <is>
          <t>STOCKHOLMS LÄN</t>
        </is>
      </c>
      <c r="E875" t="inlineStr">
        <is>
          <t>NYNÄSHAMN</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15017-2019</t>
        </is>
      </c>
      <c r="B876" s="1" t="n">
        <v>43538</v>
      </c>
      <c r="C876" s="1" t="n">
        <v>45350</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14849-2019</t>
        </is>
      </c>
      <c r="B877" s="1" t="n">
        <v>43539</v>
      </c>
      <c r="C877" s="1" t="n">
        <v>45350</v>
      </c>
      <c r="D877" t="inlineStr">
        <is>
          <t>STOCKHOLMS LÄN</t>
        </is>
      </c>
      <c r="E877" t="inlineStr">
        <is>
          <t>NORRTÄLJE</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15237-2019</t>
        </is>
      </c>
      <c r="B878" s="1" t="n">
        <v>43539</v>
      </c>
      <c r="C878" s="1" t="n">
        <v>45350</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14823-2019</t>
        </is>
      </c>
      <c r="B879" s="1" t="n">
        <v>43539</v>
      </c>
      <c r="C879" s="1" t="n">
        <v>45350</v>
      </c>
      <c r="D879" t="inlineStr">
        <is>
          <t>STOCKHOLMS LÄN</t>
        </is>
      </c>
      <c r="E879" t="inlineStr">
        <is>
          <t>SIGTUNA</t>
        </is>
      </c>
      <c r="G879" t="n">
        <v>1</v>
      </c>
      <c r="H879" t="n">
        <v>0</v>
      </c>
      <c r="I879" t="n">
        <v>0</v>
      </c>
      <c r="J879" t="n">
        <v>0</v>
      </c>
      <c r="K879" t="n">
        <v>0</v>
      </c>
      <c r="L879" t="n">
        <v>0</v>
      </c>
      <c r="M879" t="n">
        <v>0</v>
      </c>
      <c r="N879" t="n">
        <v>0</v>
      </c>
      <c r="O879" t="n">
        <v>0</v>
      </c>
      <c r="P879" t="n">
        <v>0</v>
      </c>
      <c r="Q879" t="n">
        <v>0</v>
      </c>
      <c r="R879" s="2" t="inlineStr"/>
    </row>
    <row r="880" ht="15" customHeight="1">
      <c r="A880" t="inlineStr">
        <is>
          <t>A 15453-2019</t>
        </is>
      </c>
      <c r="B880" s="1" t="n">
        <v>43539</v>
      </c>
      <c r="C880" s="1" t="n">
        <v>45350</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15098-2019</t>
        </is>
      </c>
      <c r="B881" s="1" t="n">
        <v>43539</v>
      </c>
      <c r="C881" s="1" t="n">
        <v>45350</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14804-2019</t>
        </is>
      </c>
      <c r="B882" s="1" t="n">
        <v>43539</v>
      </c>
      <c r="C882" s="1" t="n">
        <v>45350</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15541-2019</t>
        </is>
      </c>
      <c r="B883" s="1" t="n">
        <v>43542</v>
      </c>
      <c r="C883" s="1" t="n">
        <v>45350</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15500-2019</t>
        </is>
      </c>
      <c r="B884" s="1" t="n">
        <v>43542</v>
      </c>
      <c r="C884" s="1" t="n">
        <v>45350</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15727-2019</t>
        </is>
      </c>
      <c r="B885" s="1" t="n">
        <v>43543</v>
      </c>
      <c r="C885" s="1" t="n">
        <v>45350</v>
      </c>
      <c r="D885" t="inlineStr">
        <is>
          <t>STOCKHOLMS LÄN</t>
        </is>
      </c>
      <c r="E885" t="inlineStr">
        <is>
          <t>NORRTÄLJE</t>
        </is>
      </c>
      <c r="G885" t="n">
        <v>7.6</v>
      </c>
      <c r="H885" t="n">
        <v>0</v>
      </c>
      <c r="I885" t="n">
        <v>0</v>
      </c>
      <c r="J885" t="n">
        <v>0</v>
      </c>
      <c r="K885" t="n">
        <v>0</v>
      </c>
      <c r="L885" t="n">
        <v>0</v>
      </c>
      <c r="M885" t="n">
        <v>0</v>
      </c>
      <c r="N885" t="n">
        <v>0</v>
      </c>
      <c r="O885" t="n">
        <v>0</v>
      </c>
      <c r="P885" t="n">
        <v>0</v>
      </c>
      <c r="Q885" t="n">
        <v>0</v>
      </c>
      <c r="R885" s="2" t="inlineStr"/>
    </row>
    <row r="886" ht="15" customHeight="1">
      <c r="A886" t="inlineStr">
        <is>
          <t>A 15710-2019</t>
        </is>
      </c>
      <c r="B886" s="1" t="n">
        <v>43543</v>
      </c>
      <c r="C886" s="1" t="n">
        <v>45350</v>
      </c>
      <c r="D886" t="inlineStr">
        <is>
          <t>STOCKHOLMS LÄN</t>
        </is>
      </c>
      <c r="E886" t="inlineStr">
        <is>
          <t>NORRTÄLJE</t>
        </is>
      </c>
      <c r="G886" t="n">
        <v>15.8</v>
      </c>
      <c r="H886" t="n">
        <v>0</v>
      </c>
      <c r="I886" t="n">
        <v>0</v>
      </c>
      <c r="J886" t="n">
        <v>0</v>
      </c>
      <c r="K886" t="n">
        <v>0</v>
      </c>
      <c r="L886" t="n">
        <v>0</v>
      </c>
      <c r="M886" t="n">
        <v>0</v>
      </c>
      <c r="N886" t="n">
        <v>0</v>
      </c>
      <c r="O886" t="n">
        <v>0</v>
      </c>
      <c r="P886" t="n">
        <v>0</v>
      </c>
      <c r="Q886" t="n">
        <v>0</v>
      </c>
      <c r="R886" s="2" t="inlineStr"/>
    </row>
    <row r="887" ht="15" customHeight="1">
      <c r="A887" t="inlineStr">
        <is>
          <t>A 15728-2019</t>
        </is>
      </c>
      <c r="B887" s="1" t="n">
        <v>43543</v>
      </c>
      <c r="C887" s="1" t="n">
        <v>45350</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15673-2019</t>
        </is>
      </c>
      <c r="B888" s="1" t="n">
        <v>43543</v>
      </c>
      <c r="C888" s="1" t="n">
        <v>45350</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15736-2019</t>
        </is>
      </c>
      <c r="B889" s="1" t="n">
        <v>43543</v>
      </c>
      <c r="C889" s="1" t="n">
        <v>45350</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15702-2019</t>
        </is>
      </c>
      <c r="B890" s="1" t="n">
        <v>43543</v>
      </c>
      <c r="C890" s="1" t="n">
        <v>45350</v>
      </c>
      <c r="D890" t="inlineStr">
        <is>
          <t>STOCKHOLMS LÄN</t>
        </is>
      </c>
      <c r="E890" t="inlineStr">
        <is>
          <t>NORRTÄLJE</t>
        </is>
      </c>
      <c r="G890" t="n">
        <v>21.3</v>
      </c>
      <c r="H890" t="n">
        <v>0</v>
      </c>
      <c r="I890" t="n">
        <v>0</v>
      </c>
      <c r="J890" t="n">
        <v>0</v>
      </c>
      <c r="K890" t="n">
        <v>0</v>
      </c>
      <c r="L890" t="n">
        <v>0</v>
      </c>
      <c r="M890" t="n">
        <v>0</v>
      </c>
      <c r="N890" t="n">
        <v>0</v>
      </c>
      <c r="O890" t="n">
        <v>0</v>
      </c>
      <c r="P890" t="n">
        <v>0</v>
      </c>
      <c r="Q890" t="n">
        <v>0</v>
      </c>
      <c r="R890" s="2" t="inlineStr"/>
    </row>
    <row r="891" ht="15" customHeight="1">
      <c r="A891" t="inlineStr">
        <is>
          <t>A 15979-2019</t>
        </is>
      </c>
      <c r="B891" s="1" t="n">
        <v>43544</v>
      </c>
      <c r="C891" s="1" t="n">
        <v>45350</v>
      </c>
      <c r="D891" t="inlineStr">
        <is>
          <t>STOCKHOLMS LÄN</t>
        </is>
      </c>
      <c r="E891" t="inlineStr">
        <is>
          <t>VÄRMDÖ</t>
        </is>
      </c>
      <c r="G891" t="n">
        <v>1.3</v>
      </c>
      <c r="H891" t="n">
        <v>0</v>
      </c>
      <c r="I891" t="n">
        <v>0</v>
      </c>
      <c r="J891" t="n">
        <v>0</v>
      </c>
      <c r="K891" t="n">
        <v>0</v>
      </c>
      <c r="L891" t="n">
        <v>0</v>
      </c>
      <c r="M891" t="n">
        <v>0</v>
      </c>
      <c r="N891" t="n">
        <v>0</v>
      </c>
      <c r="O891" t="n">
        <v>0</v>
      </c>
      <c r="P891" t="n">
        <v>0</v>
      </c>
      <c r="Q891" t="n">
        <v>0</v>
      </c>
      <c r="R891" s="2" t="inlineStr"/>
    </row>
    <row r="892" ht="15" customHeight="1">
      <c r="A892" t="inlineStr">
        <is>
          <t>A 16186-2019</t>
        </is>
      </c>
      <c r="B892" s="1" t="n">
        <v>43545</v>
      </c>
      <c r="C892" s="1" t="n">
        <v>45350</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16211-2019</t>
        </is>
      </c>
      <c r="B893" s="1" t="n">
        <v>43545</v>
      </c>
      <c r="C893" s="1" t="n">
        <v>45350</v>
      </c>
      <c r="D893" t="inlineStr">
        <is>
          <t>STOCKHOLMS LÄN</t>
        </is>
      </c>
      <c r="E893" t="inlineStr">
        <is>
          <t>NORRTÄLJE</t>
        </is>
      </c>
      <c r="G893" t="n">
        <v>14.2</v>
      </c>
      <c r="H893" t="n">
        <v>0</v>
      </c>
      <c r="I893" t="n">
        <v>0</v>
      </c>
      <c r="J893" t="n">
        <v>0</v>
      </c>
      <c r="K893" t="n">
        <v>0</v>
      </c>
      <c r="L893" t="n">
        <v>0</v>
      </c>
      <c r="M893" t="n">
        <v>0</v>
      </c>
      <c r="N893" t="n">
        <v>0</v>
      </c>
      <c r="O893" t="n">
        <v>0</v>
      </c>
      <c r="P893" t="n">
        <v>0</v>
      </c>
      <c r="Q893" t="n">
        <v>0</v>
      </c>
      <c r="R893" s="2" t="inlineStr"/>
    </row>
    <row r="894" ht="15" customHeight="1">
      <c r="A894" t="inlineStr">
        <is>
          <t>A 16318-2019</t>
        </is>
      </c>
      <c r="B894" s="1" t="n">
        <v>43545</v>
      </c>
      <c r="C894" s="1" t="n">
        <v>45350</v>
      </c>
      <c r="D894" t="inlineStr">
        <is>
          <t>STOCKHOLMS LÄN</t>
        </is>
      </c>
      <c r="E894" t="inlineStr">
        <is>
          <t>NORRTÄLJE</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16258-2019</t>
        </is>
      </c>
      <c r="B895" s="1" t="n">
        <v>43545</v>
      </c>
      <c r="C895" s="1" t="n">
        <v>45350</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16533-2019</t>
        </is>
      </c>
      <c r="B896" s="1" t="n">
        <v>43546</v>
      </c>
      <c r="C896" s="1" t="n">
        <v>45350</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16575-2019</t>
        </is>
      </c>
      <c r="B897" s="1" t="n">
        <v>43547</v>
      </c>
      <c r="C897" s="1" t="n">
        <v>45350</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16584-2019</t>
        </is>
      </c>
      <c r="B898" s="1" t="n">
        <v>43548</v>
      </c>
      <c r="C898" s="1" t="n">
        <v>45350</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16581-2019</t>
        </is>
      </c>
      <c r="B899" s="1" t="n">
        <v>43548</v>
      </c>
      <c r="C899" s="1" t="n">
        <v>45350</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16579-2019</t>
        </is>
      </c>
      <c r="B900" s="1" t="n">
        <v>43548</v>
      </c>
      <c r="C900" s="1" t="n">
        <v>45350</v>
      </c>
      <c r="D900" t="inlineStr">
        <is>
          <t>STOCKHOLMS LÄN</t>
        </is>
      </c>
      <c r="E900" t="inlineStr">
        <is>
          <t>NORRTÄLJE</t>
        </is>
      </c>
      <c r="G900" t="n">
        <v>5.9</v>
      </c>
      <c r="H900" t="n">
        <v>0</v>
      </c>
      <c r="I900" t="n">
        <v>0</v>
      </c>
      <c r="J900" t="n">
        <v>0</v>
      </c>
      <c r="K900" t="n">
        <v>0</v>
      </c>
      <c r="L900" t="n">
        <v>0</v>
      </c>
      <c r="M900" t="n">
        <v>0</v>
      </c>
      <c r="N900" t="n">
        <v>0</v>
      </c>
      <c r="O900" t="n">
        <v>0</v>
      </c>
      <c r="P900" t="n">
        <v>0</v>
      </c>
      <c r="Q900" t="n">
        <v>0</v>
      </c>
      <c r="R900" s="2" t="inlineStr"/>
    </row>
    <row r="901" ht="15" customHeight="1">
      <c r="A901" t="inlineStr">
        <is>
          <t>A 16815-2019</t>
        </is>
      </c>
      <c r="B901" s="1" t="n">
        <v>43549</v>
      </c>
      <c r="C901" s="1" t="n">
        <v>45350</v>
      </c>
      <c r="D901" t="inlineStr">
        <is>
          <t>STOCKHOLMS LÄN</t>
        </is>
      </c>
      <c r="E901" t="inlineStr">
        <is>
          <t>UPPLANDS-BRO</t>
        </is>
      </c>
      <c r="G901" t="n">
        <v>2.1</v>
      </c>
      <c r="H901" t="n">
        <v>0</v>
      </c>
      <c r="I901" t="n">
        <v>0</v>
      </c>
      <c r="J901" t="n">
        <v>0</v>
      </c>
      <c r="K901" t="n">
        <v>0</v>
      </c>
      <c r="L901" t="n">
        <v>0</v>
      </c>
      <c r="M901" t="n">
        <v>0</v>
      </c>
      <c r="N901" t="n">
        <v>0</v>
      </c>
      <c r="O901" t="n">
        <v>0</v>
      </c>
      <c r="P901" t="n">
        <v>0</v>
      </c>
      <c r="Q901" t="n">
        <v>0</v>
      </c>
      <c r="R901" s="2" t="inlineStr"/>
    </row>
    <row r="902" ht="15" customHeight="1">
      <c r="A902" t="inlineStr">
        <is>
          <t>A 16881-2019</t>
        </is>
      </c>
      <c r="B902" s="1" t="n">
        <v>43550</v>
      </c>
      <c r="C902" s="1" t="n">
        <v>45350</v>
      </c>
      <c r="D902" t="inlineStr">
        <is>
          <t>STOCKHOLMS LÄN</t>
        </is>
      </c>
      <c r="E902" t="inlineStr">
        <is>
          <t>NORRTÄLJE</t>
        </is>
      </c>
      <c r="F902" t="inlineStr">
        <is>
          <t>Övriga Aktiebolag</t>
        </is>
      </c>
      <c r="G902" t="n">
        <v>6.3</v>
      </c>
      <c r="H902" t="n">
        <v>0</v>
      </c>
      <c r="I902" t="n">
        <v>0</v>
      </c>
      <c r="J902" t="n">
        <v>0</v>
      </c>
      <c r="K902" t="n">
        <v>0</v>
      </c>
      <c r="L902" t="n">
        <v>0</v>
      </c>
      <c r="M902" t="n">
        <v>0</v>
      </c>
      <c r="N902" t="n">
        <v>0</v>
      </c>
      <c r="O902" t="n">
        <v>0</v>
      </c>
      <c r="P902" t="n">
        <v>0</v>
      </c>
      <c r="Q902" t="n">
        <v>0</v>
      </c>
      <c r="R902" s="2" t="inlineStr"/>
    </row>
    <row r="903" ht="15" customHeight="1">
      <c r="A903" t="inlineStr">
        <is>
          <t>A 17233-2019</t>
        </is>
      </c>
      <c r="B903" s="1" t="n">
        <v>43550</v>
      </c>
      <c r="C903" s="1" t="n">
        <v>45350</v>
      </c>
      <c r="D903" t="inlineStr">
        <is>
          <t>STOCKHOLMS LÄN</t>
        </is>
      </c>
      <c r="E903" t="inlineStr">
        <is>
          <t>NORRTÄLJE</t>
        </is>
      </c>
      <c r="F903" t="inlineStr">
        <is>
          <t>Kyrkan</t>
        </is>
      </c>
      <c r="G903" t="n">
        <v>1.4</v>
      </c>
      <c r="H903" t="n">
        <v>0</v>
      </c>
      <c r="I903" t="n">
        <v>0</v>
      </c>
      <c r="J903" t="n">
        <v>0</v>
      </c>
      <c r="K903" t="n">
        <v>0</v>
      </c>
      <c r="L903" t="n">
        <v>0</v>
      </c>
      <c r="M903" t="n">
        <v>0</v>
      </c>
      <c r="N903" t="n">
        <v>0</v>
      </c>
      <c r="O903" t="n">
        <v>0</v>
      </c>
      <c r="P903" t="n">
        <v>0</v>
      </c>
      <c r="Q903" t="n">
        <v>0</v>
      </c>
      <c r="R903" s="2" t="inlineStr"/>
    </row>
    <row r="904" ht="15" customHeight="1">
      <c r="A904" t="inlineStr">
        <is>
          <t>A 16984-2019</t>
        </is>
      </c>
      <c r="B904" s="1" t="n">
        <v>43550</v>
      </c>
      <c r="C904" s="1" t="n">
        <v>45350</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16918-2019</t>
        </is>
      </c>
      <c r="B905" s="1" t="n">
        <v>43550</v>
      </c>
      <c r="C905" s="1" t="n">
        <v>45350</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17060-2019</t>
        </is>
      </c>
      <c r="B906" s="1" t="n">
        <v>43551</v>
      </c>
      <c r="C906" s="1" t="n">
        <v>45350</v>
      </c>
      <c r="D906" t="inlineStr">
        <is>
          <t>STOCKHOLMS LÄN</t>
        </is>
      </c>
      <c r="E906" t="inlineStr">
        <is>
          <t>NORRTÄLJE</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17102-2019</t>
        </is>
      </c>
      <c r="B907" s="1" t="n">
        <v>43551</v>
      </c>
      <c r="C907" s="1" t="n">
        <v>45350</v>
      </c>
      <c r="D907" t="inlineStr">
        <is>
          <t>STOCKHOLMS LÄN</t>
        </is>
      </c>
      <c r="E907" t="inlineStr">
        <is>
          <t>VALLENTUNA</t>
        </is>
      </c>
      <c r="G907" t="n">
        <v>3</v>
      </c>
      <c r="H907" t="n">
        <v>0</v>
      </c>
      <c r="I907" t="n">
        <v>0</v>
      </c>
      <c r="J907" t="n">
        <v>0</v>
      </c>
      <c r="K907" t="n">
        <v>0</v>
      </c>
      <c r="L907" t="n">
        <v>0</v>
      </c>
      <c r="M907" t="n">
        <v>0</v>
      </c>
      <c r="N907" t="n">
        <v>0</v>
      </c>
      <c r="O907" t="n">
        <v>0</v>
      </c>
      <c r="P907" t="n">
        <v>0</v>
      </c>
      <c r="Q907" t="n">
        <v>0</v>
      </c>
      <c r="R907" s="2" t="inlineStr"/>
    </row>
    <row r="908" ht="15" customHeight="1">
      <c r="A908" t="inlineStr">
        <is>
          <t>A 17149-2019</t>
        </is>
      </c>
      <c r="B908" s="1" t="n">
        <v>43551</v>
      </c>
      <c r="C908" s="1" t="n">
        <v>45350</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17061-2019</t>
        </is>
      </c>
      <c r="B909" s="1" t="n">
        <v>43551</v>
      </c>
      <c r="C909" s="1" t="n">
        <v>45350</v>
      </c>
      <c r="D909" t="inlineStr">
        <is>
          <t>STOCKHOLMS LÄN</t>
        </is>
      </c>
      <c r="E909" t="inlineStr">
        <is>
          <t>NORRTÄLJE</t>
        </is>
      </c>
      <c r="F909" t="inlineStr">
        <is>
          <t>Kommuner</t>
        </is>
      </c>
      <c r="G909" t="n">
        <v>3.7</v>
      </c>
      <c r="H909" t="n">
        <v>0</v>
      </c>
      <c r="I909" t="n">
        <v>0</v>
      </c>
      <c r="J909" t="n">
        <v>0</v>
      </c>
      <c r="K909" t="n">
        <v>0</v>
      </c>
      <c r="L909" t="n">
        <v>0</v>
      </c>
      <c r="M909" t="n">
        <v>0</v>
      </c>
      <c r="N909" t="n">
        <v>0</v>
      </c>
      <c r="O909" t="n">
        <v>0</v>
      </c>
      <c r="P909" t="n">
        <v>0</v>
      </c>
      <c r="Q909" t="n">
        <v>0</v>
      </c>
      <c r="R909" s="2" t="inlineStr"/>
    </row>
    <row r="910" ht="15" customHeight="1">
      <c r="A910" t="inlineStr">
        <is>
          <t>A 17350-2019</t>
        </is>
      </c>
      <c r="B910" s="1" t="n">
        <v>43552</v>
      </c>
      <c r="C910" s="1" t="n">
        <v>45350</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17240-2019</t>
        </is>
      </c>
      <c r="B911" s="1" t="n">
        <v>43552</v>
      </c>
      <c r="C911" s="1" t="n">
        <v>45350</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17272-2019</t>
        </is>
      </c>
      <c r="B912" s="1" t="n">
        <v>43552</v>
      </c>
      <c r="C912" s="1" t="n">
        <v>45350</v>
      </c>
      <c r="D912" t="inlineStr">
        <is>
          <t>STOCKHOLMS LÄN</t>
        </is>
      </c>
      <c r="E912" t="inlineStr">
        <is>
          <t>NORRTÄLJE</t>
        </is>
      </c>
      <c r="G912" t="n">
        <v>5.8</v>
      </c>
      <c r="H912" t="n">
        <v>0</v>
      </c>
      <c r="I912" t="n">
        <v>0</v>
      </c>
      <c r="J912" t="n">
        <v>0</v>
      </c>
      <c r="K912" t="n">
        <v>0</v>
      </c>
      <c r="L912" t="n">
        <v>0</v>
      </c>
      <c r="M912" t="n">
        <v>0</v>
      </c>
      <c r="N912" t="n">
        <v>0</v>
      </c>
      <c r="O912" t="n">
        <v>0</v>
      </c>
      <c r="P912" t="n">
        <v>0</v>
      </c>
      <c r="Q912" t="n">
        <v>0</v>
      </c>
      <c r="R912" s="2" t="inlineStr"/>
    </row>
    <row r="913" ht="15" customHeight="1">
      <c r="A913" t="inlineStr">
        <is>
          <t>A 17378-2019</t>
        </is>
      </c>
      <c r="B913" s="1" t="n">
        <v>43552</v>
      </c>
      <c r="C913" s="1" t="n">
        <v>45350</v>
      </c>
      <c r="D913" t="inlineStr">
        <is>
          <t>STOCKHOLMS LÄN</t>
        </is>
      </c>
      <c r="E913" t="inlineStr">
        <is>
          <t>NORRTÄLJE</t>
        </is>
      </c>
      <c r="G913" t="n">
        <v>8.1</v>
      </c>
      <c r="H913" t="n">
        <v>0</v>
      </c>
      <c r="I913" t="n">
        <v>0</v>
      </c>
      <c r="J913" t="n">
        <v>0</v>
      </c>
      <c r="K913" t="n">
        <v>0</v>
      </c>
      <c r="L913" t="n">
        <v>0</v>
      </c>
      <c r="M913" t="n">
        <v>0</v>
      </c>
      <c r="N913" t="n">
        <v>0</v>
      </c>
      <c r="O913" t="n">
        <v>0</v>
      </c>
      <c r="P913" t="n">
        <v>0</v>
      </c>
      <c r="Q913" t="n">
        <v>0</v>
      </c>
      <c r="R913" s="2" t="inlineStr"/>
    </row>
    <row r="914" ht="15" customHeight="1">
      <c r="A914" t="inlineStr">
        <is>
          <t>A 17297-2019</t>
        </is>
      </c>
      <c r="B914" s="1" t="n">
        <v>43552</v>
      </c>
      <c r="C914" s="1" t="n">
        <v>45350</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17389-2019</t>
        </is>
      </c>
      <c r="B915" s="1" t="n">
        <v>43552</v>
      </c>
      <c r="C915" s="1" t="n">
        <v>45350</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17806-2019</t>
        </is>
      </c>
      <c r="B916" s="1" t="n">
        <v>43552</v>
      </c>
      <c r="C916" s="1" t="n">
        <v>45350</v>
      </c>
      <c r="D916" t="inlineStr">
        <is>
          <t>STOCKHOLMS LÄN</t>
        </is>
      </c>
      <c r="E916" t="inlineStr">
        <is>
          <t>VAXHOLM</t>
        </is>
      </c>
      <c r="F916" t="inlineStr">
        <is>
          <t>Övriga statliga verk och myndigheter</t>
        </is>
      </c>
      <c r="G916" t="n">
        <v>4.3</v>
      </c>
      <c r="H916" t="n">
        <v>0</v>
      </c>
      <c r="I916" t="n">
        <v>0</v>
      </c>
      <c r="J916" t="n">
        <v>0</v>
      </c>
      <c r="K916" t="n">
        <v>0</v>
      </c>
      <c r="L916" t="n">
        <v>0</v>
      </c>
      <c r="M916" t="n">
        <v>0</v>
      </c>
      <c r="N916" t="n">
        <v>0</v>
      </c>
      <c r="O916" t="n">
        <v>0</v>
      </c>
      <c r="P916" t="n">
        <v>0</v>
      </c>
      <c r="Q916" t="n">
        <v>0</v>
      </c>
      <c r="R916" s="2" t="inlineStr"/>
    </row>
    <row r="917" ht="15" customHeight="1">
      <c r="A917" t="inlineStr">
        <is>
          <t>A 17292-2019</t>
        </is>
      </c>
      <c r="B917" s="1" t="n">
        <v>43552</v>
      </c>
      <c r="C917" s="1" t="n">
        <v>45350</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17390-2019</t>
        </is>
      </c>
      <c r="B918" s="1" t="n">
        <v>43552</v>
      </c>
      <c r="C918" s="1" t="n">
        <v>45350</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17582-2019</t>
        </is>
      </c>
      <c r="B919" s="1" t="n">
        <v>43553</v>
      </c>
      <c r="C919" s="1" t="n">
        <v>45350</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17552-2019</t>
        </is>
      </c>
      <c r="B920" s="1" t="n">
        <v>43553</v>
      </c>
      <c r="C920" s="1" t="n">
        <v>45350</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17487-2019</t>
        </is>
      </c>
      <c r="B921" s="1" t="n">
        <v>43553</v>
      </c>
      <c r="C921" s="1" t="n">
        <v>45350</v>
      </c>
      <c r="D921" t="inlineStr">
        <is>
          <t>STOCKHOLMS LÄN</t>
        </is>
      </c>
      <c r="E921" t="inlineStr">
        <is>
          <t>EKERÖ</t>
        </is>
      </c>
      <c r="G921" t="n">
        <v>0.7</v>
      </c>
      <c r="H921" t="n">
        <v>0</v>
      </c>
      <c r="I921" t="n">
        <v>0</v>
      </c>
      <c r="J921" t="n">
        <v>0</v>
      </c>
      <c r="K921" t="n">
        <v>0</v>
      </c>
      <c r="L921" t="n">
        <v>0</v>
      </c>
      <c r="M921" t="n">
        <v>0</v>
      </c>
      <c r="N921" t="n">
        <v>0</v>
      </c>
      <c r="O921" t="n">
        <v>0</v>
      </c>
      <c r="P921" t="n">
        <v>0</v>
      </c>
      <c r="Q921" t="n">
        <v>0</v>
      </c>
      <c r="R921" s="2" t="inlineStr"/>
    </row>
    <row r="922" ht="15" customHeight="1">
      <c r="A922" t="inlineStr">
        <is>
          <t>A 17480-2019</t>
        </is>
      </c>
      <c r="B922" s="1" t="n">
        <v>43553</v>
      </c>
      <c r="C922" s="1" t="n">
        <v>45350</v>
      </c>
      <c r="D922" t="inlineStr">
        <is>
          <t>STOCKHOLMS LÄN</t>
        </is>
      </c>
      <c r="E922" t="inlineStr">
        <is>
          <t>EKERÖ</t>
        </is>
      </c>
      <c r="G922" t="n">
        <v>3.9</v>
      </c>
      <c r="H922" t="n">
        <v>0</v>
      </c>
      <c r="I922" t="n">
        <v>0</v>
      </c>
      <c r="J922" t="n">
        <v>0</v>
      </c>
      <c r="K922" t="n">
        <v>0</v>
      </c>
      <c r="L922" t="n">
        <v>0</v>
      </c>
      <c r="M922" t="n">
        <v>0</v>
      </c>
      <c r="N922" t="n">
        <v>0</v>
      </c>
      <c r="O922" t="n">
        <v>0</v>
      </c>
      <c r="P922" t="n">
        <v>0</v>
      </c>
      <c r="Q922" t="n">
        <v>0</v>
      </c>
      <c r="R922" s="2" t="inlineStr"/>
    </row>
    <row r="923" ht="15" customHeight="1">
      <c r="A923" t="inlineStr">
        <is>
          <t>A 17752-2019</t>
        </is>
      </c>
      <c r="B923" s="1" t="n">
        <v>43556</v>
      </c>
      <c r="C923" s="1" t="n">
        <v>45350</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17795-2019</t>
        </is>
      </c>
      <c r="B924" s="1" t="n">
        <v>43556</v>
      </c>
      <c r="C924" s="1" t="n">
        <v>45350</v>
      </c>
      <c r="D924" t="inlineStr">
        <is>
          <t>STOCKHOLMS LÄN</t>
        </is>
      </c>
      <c r="E924" t="inlineStr">
        <is>
          <t>NORRTÄLJE</t>
        </is>
      </c>
      <c r="G924" t="n">
        <v>0.8</v>
      </c>
      <c r="H924" t="n">
        <v>0</v>
      </c>
      <c r="I924" t="n">
        <v>0</v>
      </c>
      <c r="J924" t="n">
        <v>0</v>
      </c>
      <c r="K924" t="n">
        <v>0</v>
      </c>
      <c r="L924" t="n">
        <v>0</v>
      </c>
      <c r="M924" t="n">
        <v>0</v>
      </c>
      <c r="N924" t="n">
        <v>0</v>
      </c>
      <c r="O924" t="n">
        <v>0</v>
      </c>
      <c r="P924" t="n">
        <v>0</v>
      </c>
      <c r="Q924" t="n">
        <v>0</v>
      </c>
      <c r="R924" s="2" t="inlineStr"/>
    </row>
    <row r="925" ht="15" customHeight="1">
      <c r="A925" t="inlineStr">
        <is>
          <t>A 17757-2019</t>
        </is>
      </c>
      <c r="B925" s="1" t="n">
        <v>43556</v>
      </c>
      <c r="C925" s="1" t="n">
        <v>45350</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17963-2019</t>
        </is>
      </c>
      <c r="B926" s="1" t="n">
        <v>43557</v>
      </c>
      <c r="C926" s="1" t="n">
        <v>45350</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18378-2019</t>
        </is>
      </c>
      <c r="B927" s="1" t="n">
        <v>43559</v>
      </c>
      <c r="C927" s="1" t="n">
        <v>45350</v>
      </c>
      <c r="D927" t="inlineStr">
        <is>
          <t>STOCKHOLMS LÄN</t>
        </is>
      </c>
      <c r="E927" t="inlineStr">
        <is>
          <t>NORRTÄLJE</t>
        </is>
      </c>
      <c r="G927" t="n">
        <v>5.8</v>
      </c>
      <c r="H927" t="n">
        <v>0</v>
      </c>
      <c r="I927" t="n">
        <v>0</v>
      </c>
      <c r="J927" t="n">
        <v>0</v>
      </c>
      <c r="K927" t="n">
        <v>0</v>
      </c>
      <c r="L927" t="n">
        <v>0</v>
      </c>
      <c r="M927" t="n">
        <v>0</v>
      </c>
      <c r="N927" t="n">
        <v>0</v>
      </c>
      <c r="O927" t="n">
        <v>0</v>
      </c>
      <c r="P927" t="n">
        <v>0</v>
      </c>
      <c r="Q927" t="n">
        <v>0</v>
      </c>
      <c r="R927" s="2" t="inlineStr"/>
    </row>
    <row r="928" ht="15" customHeight="1">
      <c r="A928" t="inlineStr">
        <is>
          <t>A 18664-2019</t>
        </is>
      </c>
      <c r="B928" s="1" t="n">
        <v>43560</v>
      </c>
      <c r="C928" s="1" t="n">
        <v>45350</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18767-2019</t>
        </is>
      </c>
      <c r="B929" s="1" t="n">
        <v>43560</v>
      </c>
      <c r="C929" s="1" t="n">
        <v>45350</v>
      </c>
      <c r="D929" t="inlineStr">
        <is>
          <t>STOCKHOLMS LÄN</t>
        </is>
      </c>
      <c r="E929" t="inlineStr">
        <is>
          <t>NORRTÄLJE</t>
        </is>
      </c>
      <c r="G929" t="n">
        <v>4</v>
      </c>
      <c r="H929" t="n">
        <v>0</v>
      </c>
      <c r="I929" t="n">
        <v>0</v>
      </c>
      <c r="J929" t="n">
        <v>0</v>
      </c>
      <c r="K929" t="n">
        <v>0</v>
      </c>
      <c r="L929" t="n">
        <v>0</v>
      </c>
      <c r="M929" t="n">
        <v>0</v>
      </c>
      <c r="N929" t="n">
        <v>0</v>
      </c>
      <c r="O929" t="n">
        <v>0</v>
      </c>
      <c r="P929" t="n">
        <v>0</v>
      </c>
      <c r="Q929" t="n">
        <v>0</v>
      </c>
      <c r="R929" s="2" t="inlineStr"/>
    </row>
    <row r="930" ht="15" customHeight="1">
      <c r="A930" t="inlineStr">
        <is>
          <t>A 18820-2019</t>
        </is>
      </c>
      <c r="B930" s="1" t="n">
        <v>43563</v>
      </c>
      <c r="C930" s="1" t="n">
        <v>45350</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18890-2019</t>
        </is>
      </c>
      <c r="B931" s="1" t="n">
        <v>43563</v>
      </c>
      <c r="C931" s="1" t="n">
        <v>45350</v>
      </c>
      <c r="D931" t="inlineStr">
        <is>
          <t>STOCKHOLMS LÄN</t>
        </is>
      </c>
      <c r="E931" t="inlineStr">
        <is>
          <t>NORRTÄLJE</t>
        </is>
      </c>
      <c r="G931" t="n">
        <v>4.7</v>
      </c>
      <c r="H931" t="n">
        <v>0</v>
      </c>
      <c r="I931" t="n">
        <v>0</v>
      </c>
      <c r="J931" t="n">
        <v>0</v>
      </c>
      <c r="K931" t="n">
        <v>0</v>
      </c>
      <c r="L931" t="n">
        <v>0</v>
      </c>
      <c r="M931" t="n">
        <v>0</v>
      </c>
      <c r="N931" t="n">
        <v>0</v>
      </c>
      <c r="O931" t="n">
        <v>0</v>
      </c>
      <c r="P931" t="n">
        <v>0</v>
      </c>
      <c r="Q931" t="n">
        <v>0</v>
      </c>
      <c r="R931" s="2" t="inlineStr"/>
    </row>
    <row r="932" ht="15" customHeight="1">
      <c r="A932" t="inlineStr">
        <is>
          <t>A 18909-2019</t>
        </is>
      </c>
      <c r="B932" s="1" t="n">
        <v>43563</v>
      </c>
      <c r="C932" s="1" t="n">
        <v>45350</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19026-2019</t>
        </is>
      </c>
      <c r="B933" s="1" t="n">
        <v>43563</v>
      </c>
      <c r="C933" s="1" t="n">
        <v>45350</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19014-2019</t>
        </is>
      </c>
      <c r="B934" s="1" t="n">
        <v>43563</v>
      </c>
      <c r="C934" s="1" t="n">
        <v>45350</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19247-2019</t>
        </is>
      </c>
      <c r="B935" s="1" t="n">
        <v>43564</v>
      </c>
      <c r="C935" s="1" t="n">
        <v>45350</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19170-2019</t>
        </is>
      </c>
      <c r="B936" s="1" t="n">
        <v>43564</v>
      </c>
      <c r="C936" s="1" t="n">
        <v>45350</v>
      </c>
      <c r="D936" t="inlineStr">
        <is>
          <t>STOCKHOLMS LÄN</t>
        </is>
      </c>
      <c r="E936" t="inlineStr">
        <is>
          <t>ÖSTERÅKER</t>
        </is>
      </c>
      <c r="G936" t="n">
        <v>2.2</v>
      </c>
      <c r="H936" t="n">
        <v>0</v>
      </c>
      <c r="I936" t="n">
        <v>0</v>
      </c>
      <c r="J936" t="n">
        <v>0</v>
      </c>
      <c r="K936" t="n">
        <v>0</v>
      </c>
      <c r="L936" t="n">
        <v>0</v>
      </c>
      <c r="M936" t="n">
        <v>0</v>
      </c>
      <c r="N936" t="n">
        <v>0</v>
      </c>
      <c r="O936" t="n">
        <v>0</v>
      </c>
      <c r="P936" t="n">
        <v>0</v>
      </c>
      <c r="Q936" t="n">
        <v>0</v>
      </c>
      <c r="R936" s="2" t="inlineStr"/>
    </row>
    <row r="937" ht="15" customHeight="1">
      <c r="A937" t="inlineStr">
        <is>
          <t>A 19255-2019</t>
        </is>
      </c>
      <c r="B937" s="1" t="n">
        <v>43564</v>
      </c>
      <c r="C937" s="1" t="n">
        <v>45350</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19198-2019</t>
        </is>
      </c>
      <c r="B938" s="1" t="n">
        <v>43564</v>
      </c>
      <c r="C938" s="1" t="n">
        <v>45350</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19302-2019</t>
        </is>
      </c>
      <c r="B939" s="1" t="n">
        <v>43565</v>
      </c>
      <c r="C939" s="1" t="n">
        <v>45350</v>
      </c>
      <c r="D939" t="inlineStr">
        <is>
          <t>STOCKHOLMS LÄN</t>
        </is>
      </c>
      <c r="E939" t="inlineStr">
        <is>
          <t>NORRTÄLJE</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19301-2019</t>
        </is>
      </c>
      <c r="B940" s="1" t="n">
        <v>43565</v>
      </c>
      <c r="C940" s="1" t="n">
        <v>45350</v>
      </c>
      <c r="D940" t="inlineStr">
        <is>
          <t>STOCKHOLMS LÄN</t>
        </is>
      </c>
      <c r="E940" t="inlineStr">
        <is>
          <t>NORRTÄLJE</t>
        </is>
      </c>
      <c r="F940" t="inlineStr">
        <is>
          <t>Kommuner</t>
        </is>
      </c>
      <c r="G940" t="n">
        <v>3.9</v>
      </c>
      <c r="H940" t="n">
        <v>0</v>
      </c>
      <c r="I940" t="n">
        <v>0</v>
      </c>
      <c r="J940" t="n">
        <v>0</v>
      </c>
      <c r="K940" t="n">
        <v>0</v>
      </c>
      <c r="L940" t="n">
        <v>0</v>
      </c>
      <c r="M940" t="n">
        <v>0</v>
      </c>
      <c r="N940" t="n">
        <v>0</v>
      </c>
      <c r="O940" t="n">
        <v>0</v>
      </c>
      <c r="P940" t="n">
        <v>0</v>
      </c>
      <c r="Q940" t="n">
        <v>0</v>
      </c>
      <c r="R940" s="2" t="inlineStr"/>
    </row>
    <row r="941" ht="15" customHeight="1">
      <c r="A941" t="inlineStr">
        <is>
          <t>A 19297-2019</t>
        </is>
      </c>
      <c r="B941" s="1" t="n">
        <v>43565</v>
      </c>
      <c r="C941" s="1" t="n">
        <v>45350</v>
      </c>
      <c r="D941" t="inlineStr">
        <is>
          <t>STOCKHOLMS LÄN</t>
        </is>
      </c>
      <c r="E941" t="inlineStr">
        <is>
          <t>NORRTÄLJE</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19537-2019</t>
        </is>
      </c>
      <c r="B942" s="1" t="n">
        <v>43565</v>
      </c>
      <c r="C942" s="1" t="n">
        <v>45350</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19539-2019</t>
        </is>
      </c>
      <c r="B943" s="1" t="n">
        <v>43565</v>
      </c>
      <c r="C943" s="1" t="n">
        <v>45350</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19377-2019</t>
        </is>
      </c>
      <c r="B944" s="1" t="n">
        <v>43565</v>
      </c>
      <c r="C944" s="1" t="n">
        <v>45350</v>
      </c>
      <c r="D944" t="inlineStr">
        <is>
          <t>STOCKHOLMS LÄN</t>
        </is>
      </c>
      <c r="E944" t="inlineStr">
        <is>
          <t>NYKVARN</t>
        </is>
      </c>
      <c r="G944" t="n">
        <v>2.9</v>
      </c>
      <c r="H944" t="n">
        <v>0</v>
      </c>
      <c r="I944" t="n">
        <v>0</v>
      </c>
      <c r="J944" t="n">
        <v>0</v>
      </c>
      <c r="K944" t="n">
        <v>0</v>
      </c>
      <c r="L944" t="n">
        <v>0</v>
      </c>
      <c r="M944" t="n">
        <v>0</v>
      </c>
      <c r="N944" t="n">
        <v>0</v>
      </c>
      <c r="O944" t="n">
        <v>0</v>
      </c>
      <c r="P944" t="n">
        <v>0</v>
      </c>
      <c r="Q944" t="n">
        <v>0</v>
      </c>
      <c r="R944" s="2" t="inlineStr"/>
    </row>
    <row r="945" ht="15" customHeight="1">
      <c r="A945" t="inlineStr">
        <is>
          <t>A 19540-2019</t>
        </is>
      </c>
      <c r="B945" s="1" t="n">
        <v>43565</v>
      </c>
      <c r="C945" s="1" t="n">
        <v>45350</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19638-2019</t>
        </is>
      </c>
      <c r="B946" s="1" t="n">
        <v>43566</v>
      </c>
      <c r="C946" s="1" t="n">
        <v>45350</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19593-2019</t>
        </is>
      </c>
      <c r="B947" s="1" t="n">
        <v>43566</v>
      </c>
      <c r="C947" s="1" t="n">
        <v>45350</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19563-2019</t>
        </is>
      </c>
      <c r="B948" s="1" t="n">
        <v>43566</v>
      </c>
      <c r="C948" s="1" t="n">
        <v>45350</v>
      </c>
      <c r="D948" t="inlineStr">
        <is>
          <t>STOCKHOLMS LÄN</t>
        </is>
      </c>
      <c r="E948" t="inlineStr">
        <is>
          <t>SIGTUNA</t>
        </is>
      </c>
      <c r="G948" t="n">
        <v>7.8</v>
      </c>
      <c r="H948" t="n">
        <v>0</v>
      </c>
      <c r="I948" t="n">
        <v>0</v>
      </c>
      <c r="J948" t="n">
        <v>0</v>
      </c>
      <c r="K948" t="n">
        <v>0</v>
      </c>
      <c r="L948" t="n">
        <v>0</v>
      </c>
      <c r="M948" t="n">
        <v>0</v>
      </c>
      <c r="N948" t="n">
        <v>0</v>
      </c>
      <c r="O948" t="n">
        <v>0</v>
      </c>
      <c r="P948" t="n">
        <v>0</v>
      </c>
      <c r="Q948" t="n">
        <v>0</v>
      </c>
      <c r="R948" s="2" t="inlineStr"/>
    </row>
    <row r="949" ht="15" customHeight="1">
      <c r="A949" t="inlineStr">
        <is>
          <t>A 19872-2019</t>
        </is>
      </c>
      <c r="B949" s="1" t="n">
        <v>43567</v>
      </c>
      <c r="C949" s="1" t="n">
        <v>45350</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19811-2019</t>
        </is>
      </c>
      <c r="B950" s="1" t="n">
        <v>43567</v>
      </c>
      <c r="C950" s="1" t="n">
        <v>45350</v>
      </c>
      <c r="D950" t="inlineStr">
        <is>
          <t>STOCKHOLMS LÄN</t>
        </is>
      </c>
      <c r="E950" t="inlineStr">
        <is>
          <t>NORRTÄLJE</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19812-2019</t>
        </is>
      </c>
      <c r="B951" s="1" t="n">
        <v>43567</v>
      </c>
      <c r="C951" s="1" t="n">
        <v>45350</v>
      </c>
      <c r="D951" t="inlineStr">
        <is>
          <t>STOCKHOLMS LÄN</t>
        </is>
      </c>
      <c r="E951" t="inlineStr">
        <is>
          <t>NORRTÄLJE</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19931-2019</t>
        </is>
      </c>
      <c r="B952" s="1" t="n">
        <v>43568</v>
      </c>
      <c r="C952" s="1" t="n">
        <v>45350</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20033-2019</t>
        </is>
      </c>
      <c r="B953" s="1" t="n">
        <v>43570</v>
      </c>
      <c r="C953" s="1" t="n">
        <v>45350</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20020-2019</t>
        </is>
      </c>
      <c r="B954" s="1" t="n">
        <v>43570</v>
      </c>
      <c r="C954" s="1" t="n">
        <v>45350</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20051-2019</t>
        </is>
      </c>
      <c r="B955" s="1" t="n">
        <v>43570</v>
      </c>
      <c r="C955" s="1" t="n">
        <v>45350</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20137-2019</t>
        </is>
      </c>
      <c r="B956" s="1" t="n">
        <v>43570</v>
      </c>
      <c r="C956" s="1" t="n">
        <v>45350</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20007-2019</t>
        </is>
      </c>
      <c r="B957" s="1" t="n">
        <v>43570</v>
      </c>
      <c r="C957" s="1" t="n">
        <v>45350</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20052-2019</t>
        </is>
      </c>
      <c r="B958" s="1" t="n">
        <v>43570</v>
      </c>
      <c r="C958" s="1" t="n">
        <v>45350</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20159-2019</t>
        </is>
      </c>
      <c r="B959" s="1" t="n">
        <v>43570</v>
      </c>
      <c r="C959" s="1" t="n">
        <v>45350</v>
      </c>
      <c r="D959" t="inlineStr">
        <is>
          <t>STOCKHOLMS LÄN</t>
        </is>
      </c>
      <c r="E959" t="inlineStr">
        <is>
          <t>NORRTÄLJE</t>
        </is>
      </c>
      <c r="F959" t="inlineStr">
        <is>
          <t>Kommuner</t>
        </is>
      </c>
      <c r="G959" t="n">
        <v>2</v>
      </c>
      <c r="H959" t="n">
        <v>0</v>
      </c>
      <c r="I959" t="n">
        <v>0</v>
      </c>
      <c r="J959" t="n">
        <v>0</v>
      </c>
      <c r="K959" t="n">
        <v>0</v>
      </c>
      <c r="L959" t="n">
        <v>0</v>
      </c>
      <c r="M959" t="n">
        <v>0</v>
      </c>
      <c r="N959" t="n">
        <v>0</v>
      </c>
      <c r="O959" t="n">
        <v>0</v>
      </c>
      <c r="P959" t="n">
        <v>0</v>
      </c>
      <c r="Q959" t="n">
        <v>0</v>
      </c>
      <c r="R959" s="2" t="inlineStr"/>
    </row>
    <row r="960" ht="15" customHeight="1">
      <c r="A960" t="inlineStr">
        <is>
          <t>A 20181-2019</t>
        </is>
      </c>
      <c r="B960" s="1" t="n">
        <v>43570</v>
      </c>
      <c r="C960" s="1" t="n">
        <v>45350</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20184-2019</t>
        </is>
      </c>
      <c r="B961" s="1" t="n">
        <v>43570</v>
      </c>
      <c r="C961" s="1" t="n">
        <v>45350</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20193-2019</t>
        </is>
      </c>
      <c r="B962" s="1" t="n">
        <v>43570</v>
      </c>
      <c r="C962" s="1" t="n">
        <v>45350</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20090-2019</t>
        </is>
      </c>
      <c r="B963" s="1" t="n">
        <v>43570</v>
      </c>
      <c r="C963" s="1" t="n">
        <v>45350</v>
      </c>
      <c r="D963" t="inlineStr">
        <is>
          <t>STOCKHOLMS LÄN</t>
        </is>
      </c>
      <c r="E963" t="inlineStr">
        <is>
          <t>NORRTÄLJE</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20165-2019</t>
        </is>
      </c>
      <c r="B964" s="1" t="n">
        <v>43570</v>
      </c>
      <c r="C964" s="1" t="n">
        <v>45350</v>
      </c>
      <c r="D964" t="inlineStr">
        <is>
          <t>STOCKHOLMS LÄN</t>
        </is>
      </c>
      <c r="E964" t="inlineStr">
        <is>
          <t>NORRTÄLJE</t>
        </is>
      </c>
      <c r="F964" t="inlineStr">
        <is>
          <t>Kommuner</t>
        </is>
      </c>
      <c r="G964" t="n">
        <v>0.5</v>
      </c>
      <c r="H964" t="n">
        <v>0</v>
      </c>
      <c r="I964" t="n">
        <v>0</v>
      </c>
      <c r="J964" t="n">
        <v>0</v>
      </c>
      <c r="K964" t="n">
        <v>0</v>
      </c>
      <c r="L964" t="n">
        <v>0</v>
      </c>
      <c r="M964" t="n">
        <v>0</v>
      </c>
      <c r="N964" t="n">
        <v>0</v>
      </c>
      <c r="O964" t="n">
        <v>0</v>
      </c>
      <c r="P964" t="n">
        <v>0</v>
      </c>
      <c r="Q964" t="n">
        <v>0</v>
      </c>
      <c r="R964" s="2" t="inlineStr"/>
    </row>
    <row r="965" ht="15" customHeight="1">
      <c r="A965" t="inlineStr">
        <is>
          <t>A 20023-2019</t>
        </is>
      </c>
      <c r="B965" s="1" t="n">
        <v>43570</v>
      </c>
      <c r="C965" s="1" t="n">
        <v>45350</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20531-2019</t>
        </is>
      </c>
      <c r="B966" s="1" t="n">
        <v>43572</v>
      </c>
      <c r="C966" s="1" t="n">
        <v>45350</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20743-2019</t>
        </is>
      </c>
      <c r="B967" s="1" t="n">
        <v>43573</v>
      </c>
      <c r="C967" s="1" t="n">
        <v>45350</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20809-2019</t>
        </is>
      </c>
      <c r="B968" s="1" t="n">
        <v>43573</v>
      </c>
      <c r="C968" s="1" t="n">
        <v>45350</v>
      </c>
      <c r="D968" t="inlineStr">
        <is>
          <t>STOCKHOLMS LÄN</t>
        </is>
      </c>
      <c r="E968" t="inlineStr">
        <is>
          <t>NORRTÄLJE</t>
        </is>
      </c>
      <c r="F968" t="inlineStr">
        <is>
          <t>Kommuner</t>
        </is>
      </c>
      <c r="G968" t="n">
        <v>2.2</v>
      </c>
      <c r="H968" t="n">
        <v>0</v>
      </c>
      <c r="I968" t="n">
        <v>0</v>
      </c>
      <c r="J968" t="n">
        <v>0</v>
      </c>
      <c r="K968" t="n">
        <v>0</v>
      </c>
      <c r="L968" t="n">
        <v>0</v>
      </c>
      <c r="M968" t="n">
        <v>0</v>
      </c>
      <c r="N968" t="n">
        <v>0</v>
      </c>
      <c r="O968" t="n">
        <v>0</v>
      </c>
      <c r="P968" t="n">
        <v>0</v>
      </c>
      <c r="Q968" t="n">
        <v>0</v>
      </c>
      <c r="R968" s="2" t="inlineStr"/>
    </row>
    <row r="969" ht="15" customHeight="1">
      <c r="A969" t="inlineStr">
        <is>
          <t>A 20925-2019</t>
        </is>
      </c>
      <c r="B969" s="1" t="n">
        <v>43578</v>
      </c>
      <c r="C969" s="1" t="n">
        <v>45350</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21062-2019</t>
        </is>
      </c>
      <c r="B970" s="1" t="n">
        <v>43578</v>
      </c>
      <c r="C970" s="1" t="n">
        <v>45350</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21441-2019</t>
        </is>
      </c>
      <c r="B971" s="1" t="n">
        <v>43580</v>
      </c>
      <c r="C971" s="1" t="n">
        <v>45350</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21521-2019</t>
        </is>
      </c>
      <c r="B972" s="1" t="n">
        <v>43580</v>
      </c>
      <c r="C972" s="1" t="n">
        <v>45350</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21508-2019</t>
        </is>
      </c>
      <c r="B973" s="1" t="n">
        <v>43580</v>
      </c>
      <c r="C973" s="1" t="n">
        <v>45350</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21457-2019</t>
        </is>
      </c>
      <c r="B974" s="1" t="n">
        <v>43580</v>
      </c>
      <c r="C974" s="1" t="n">
        <v>45350</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21501-2019</t>
        </is>
      </c>
      <c r="B975" s="1" t="n">
        <v>43580</v>
      </c>
      <c r="C975" s="1" t="n">
        <v>45350</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21616-2019</t>
        </is>
      </c>
      <c r="B976" s="1" t="n">
        <v>43581</v>
      </c>
      <c r="C976" s="1" t="n">
        <v>45350</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21662-2019</t>
        </is>
      </c>
      <c r="B977" s="1" t="n">
        <v>43581</v>
      </c>
      <c r="C977" s="1" t="n">
        <v>45350</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21720-2019</t>
        </is>
      </c>
      <c r="B978" s="1" t="n">
        <v>43581</v>
      </c>
      <c r="C978" s="1" t="n">
        <v>45350</v>
      </c>
      <c r="D978" t="inlineStr">
        <is>
          <t>STOCKHOLMS LÄN</t>
        </is>
      </c>
      <c r="E978" t="inlineStr">
        <is>
          <t>NORRTÄLJE</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21692-2019</t>
        </is>
      </c>
      <c r="B979" s="1" t="n">
        <v>43581</v>
      </c>
      <c r="C979" s="1" t="n">
        <v>45350</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21811-2019</t>
        </is>
      </c>
      <c r="B980" s="1" t="n">
        <v>43582</v>
      </c>
      <c r="C980" s="1" t="n">
        <v>45350</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22207-2019</t>
        </is>
      </c>
      <c r="B981" s="1" t="n">
        <v>43585</v>
      </c>
      <c r="C981" s="1" t="n">
        <v>45350</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22211-2019</t>
        </is>
      </c>
      <c r="B982" s="1" t="n">
        <v>43585</v>
      </c>
      <c r="C982" s="1" t="n">
        <v>45350</v>
      </c>
      <c r="D982" t="inlineStr">
        <is>
          <t>STOCKHOLMS LÄN</t>
        </is>
      </c>
      <c r="E982" t="inlineStr">
        <is>
          <t>NORRTÄLJE</t>
        </is>
      </c>
      <c r="G982" t="n">
        <v>6.8</v>
      </c>
      <c r="H982" t="n">
        <v>0</v>
      </c>
      <c r="I982" t="n">
        <v>0</v>
      </c>
      <c r="J982" t="n">
        <v>0</v>
      </c>
      <c r="K982" t="n">
        <v>0</v>
      </c>
      <c r="L982" t="n">
        <v>0</v>
      </c>
      <c r="M982" t="n">
        <v>0</v>
      </c>
      <c r="N982" t="n">
        <v>0</v>
      </c>
      <c r="O982" t="n">
        <v>0</v>
      </c>
      <c r="P982" t="n">
        <v>0</v>
      </c>
      <c r="Q982" t="n">
        <v>0</v>
      </c>
      <c r="R982" s="2" t="inlineStr"/>
    </row>
    <row r="983" ht="15" customHeight="1">
      <c r="A983" t="inlineStr">
        <is>
          <t>A 22254-2019</t>
        </is>
      </c>
      <c r="B983" s="1" t="n">
        <v>43585</v>
      </c>
      <c r="C983" s="1" t="n">
        <v>45350</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22218-2019</t>
        </is>
      </c>
      <c r="B984" s="1" t="n">
        <v>43585</v>
      </c>
      <c r="C984" s="1" t="n">
        <v>45350</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22331-2019</t>
        </is>
      </c>
      <c r="B985" s="1" t="n">
        <v>43586</v>
      </c>
      <c r="C985" s="1" t="n">
        <v>45350</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22359-2019</t>
        </is>
      </c>
      <c r="B986" s="1" t="n">
        <v>43587</v>
      </c>
      <c r="C986" s="1" t="n">
        <v>45350</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22422-2019</t>
        </is>
      </c>
      <c r="B987" s="1" t="n">
        <v>43587</v>
      </c>
      <c r="C987" s="1" t="n">
        <v>45350</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22490-2019</t>
        </is>
      </c>
      <c r="B988" s="1" t="n">
        <v>43587</v>
      </c>
      <c r="C988" s="1" t="n">
        <v>45350</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22496-2019</t>
        </is>
      </c>
      <c r="B989" s="1" t="n">
        <v>43587</v>
      </c>
      <c r="C989" s="1" t="n">
        <v>45350</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23783-2019</t>
        </is>
      </c>
      <c r="B990" s="1" t="n">
        <v>43592</v>
      </c>
      <c r="C990" s="1" t="n">
        <v>45350</v>
      </c>
      <c r="D990" t="inlineStr">
        <is>
          <t>STOCKHOLMS LÄN</t>
        </is>
      </c>
      <c r="E990" t="inlineStr">
        <is>
          <t>NYNÄSHAMN</t>
        </is>
      </c>
      <c r="F990" t="inlineStr">
        <is>
          <t>Övriga statliga verk och myndigheter</t>
        </is>
      </c>
      <c r="G990" t="n">
        <v>7.3</v>
      </c>
      <c r="H990" t="n">
        <v>0</v>
      </c>
      <c r="I990" t="n">
        <v>0</v>
      </c>
      <c r="J990" t="n">
        <v>0</v>
      </c>
      <c r="K990" t="n">
        <v>0</v>
      </c>
      <c r="L990" t="n">
        <v>0</v>
      </c>
      <c r="M990" t="n">
        <v>0</v>
      </c>
      <c r="N990" t="n">
        <v>0</v>
      </c>
      <c r="O990" t="n">
        <v>0</v>
      </c>
      <c r="P990" t="n">
        <v>0</v>
      </c>
      <c r="Q990" t="n">
        <v>0</v>
      </c>
      <c r="R990" s="2" t="inlineStr"/>
    </row>
    <row r="991" ht="15" customHeight="1">
      <c r="A991" t="inlineStr">
        <is>
          <t>A 23444-2019</t>
        </is>
      </c>
      <c r="B991" s="1" t="n">
        <v>43592</v>
      </c>
      <c r="C991" s="1" t="n">
        <v>45350</v>
      </c>
      <c r="D991" t="inlineStr">
        <is>
          <t>STOCKHOLMS LÄN</t>
        </is>
      </c>
      <c r="E991" t="inlineStr">
        <is>
          <t>NYNÄSHAMN</t>
        </is>
      </c>
      <c r="F991" t="inlineStr">
        <is>
          <t>Övriga statliga verk och myndigheter</t>
        </is>
      </c>
      <c r="G991" t="n">
        <v>6.9</v>
      </c>
      <c r="H991" t="n">
        <v>0</v>
      </c>
      <c r="I991" t="n">
        <v>0</v>
      </c>
      <c r="J991" t="n">
        <v>0</v>
      </c>
      <c r="K991" t="n">
        <v>0</v>
      </c>
      <c r="L991" t="n">
        <v>0</v>
      </c>
      <c r="M991" t="n">
        <v>0</v>
      </c>
      <c r="N991" t="n">
        <v>0</v>
      </c>
      <c r="O991" t="n">
        <v>0</v>
      </c>
      <c r="P991" t="n">
        <v>0</v>
      </c>
      <c r="Q991" t="n">
        <v>0</v>
      </c>
      <c r="R991" s="2" t="inlineStr"/>
    </row>
    <row r="992" ht="15" customHeight="1">
      <c r="A992" t="inlineStr">
        <is>
          <t>A 23342-2019</t>
        </is>
      </c>
      <c r="B992" s="1" t="n">
        <v>43593</v>
      </c>
      <c r="C992" s="1" t="n">
        <v>45350</v>
      </c>
      <c r="D992" t="inlineStr">
        <is>
          <t>STOCKHOLMS LÄN</t>
        </is>
      </c>
      <c r="E992" t="inlineStr">
        <is>
          <t>VÄRMDÖ</t>
        </is>
      </c>
      <c r="G992" t="n">
        <v>4</v>
      </c>
      <c r="H992" t="n">
        <v>0</v>
      </c>
      <c r="I992" t="n">
        <v>0</v>
      </c>
      <c r="J992" t="n">
        <v>0</v>
      </c>
      <c r="K992" t="n">
        <v>0</v>
      </c>
      <c r="L992" t="n">
        <v>0</v>
      </c>
      <c r="M992" t="n">
        <v>0</v>
      </c>
      <c r="N992" t="n">
        <v>0</v>
      </c>
      <c r="O992" t="n">
        <v>0</v>
      </c>
      <c r="P992" t="n">
        <v>0</v>
      </c>
      <c r="Q992" t="n">
        <v>0</v>
      </c>
      <c r="R992" s="2" t="inlineStr"/>
    </row>
    <row r="993" ht="15" customHeight="1">
      <c r="A993" t="inlineStr">
        <is>
          <t>A 23711-2019</t>
        </is>
      </c>
      <c r="B993" s="1" t="n">
        <v>43594</v>
      </c>
      <c r="C993" s="1" t="n">
        <v>45350</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23710-2019</t>
        </is>
      </c>
      <c r="B994" s="1" t="n">
        <v>43594</v>
      </c>
      <c r="C994" s="1" t="n">
        <v>45350</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23862-2019</t>
        </is>
      </c>
      <c r="B995" s="1" t="n">
        <v>43595</v>
      </c>
      <c r="C995" s="1" t="n">
        <v>45350</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23878-2019</t>
        </is>
      </c>
      <c r="B996" s="1" t="n">
        <v>43595</v>
      </c>
      <c r="C996" s="1" t="n">
        <v>45350</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23961-2019</t>
        </is>
      </c>
      <c r="B997" s="1" t="n">
        <v>43597</v>
      </c>
      <c r="C997" s="1" t="n">
        <v>45350</v>
      </c>
      <c r="D997" t="inlineStr">
        <is>
          <t>STOCKHOLMS LÄN</t>
        </is>
      </c>
      <c r="E997" t="inlineStr">
        <is>
          <t>NORRTÄLJE</t>
        </is>
      </c>
      <c r="G997" t="n">
        <v>17.6</v>
      </c>
      <c r="H997" t="n">
        <v>0</v>
      </c>
      <c r="I997" t="n">
        <v>0</v>
      </c>
      <c r="J997" t="n">
        <v>0</v>
      </c>
      <c r="K997" t="n">
        <v>0</v>
      </c>
      <c r="L997" t="n">
        <v>0</v>
      </c>
      <c r="M997" t="n">
        <v>0</v>
      </c>
      <c r="N997" t="n">
        <v>0</v>
      </c>
      <c r="O997" t="n">
        <v>0</v>
      </c>
      <c r="P997" t="n">
        <v>0</v>
      </c>
      <c r="Q997" t="n">
        <v>0</v>
      </c>
      <c r="R997" s="2" t="inlineStr"/>
    </row>
    <row r="998" ht="15" customHeight="1">
      <c r="A998" t="inlineStr">
        <is>
          <t>A 23965-2019</t>
        </is>
      </c>
      <c r="B998" s="1" t="n">
        <v>43597</v>
      </c>
      <c r="C998" s="1" t="n">
        <v>45350</v>
      </c>
      <c r="D998" t="inlineStr">
        <is>
          <t>STOCKHOLMS LÄN</t>
        </is>
      </c>
      <c r="E998" t="inlineStr">
        <is>
          <t>NORRTÄLJE</t>
        </is>
      </c>
      <c r="G998" t="n">
        <v>6.1</v>
      </c>
      <c r="H998" t="n">
        <v>0</v>
      </c>
      <c r="I998" t="n">
        <v>0</v>
      </c>
      <c r="J998" t="n">
        <v>0</v>
      </c>
      <c r="K998" t="n">
        <v>0</v>
      </c>
      <c r="L998" t="n">
        <v>0</v>
      </c>
      <c r="M998" t="n">
        <v>0</v>
      </c>
      <c r="N998" t="n">
        <v>0</v>
      </c>
      <c r="O998" t="n">
        <v>0</v>
      </c>
      <c r="P998" t="n">
        <v>0</v>
      </c>
      <c r="Q998" t="n">
        <v>0</v>
      </c>
      <c r="R998" s="2" t="inlineStr"/>
    </row>
    <row r="999" ht="15" customHeight="1">
      <c r="A999" t="inlineStr">
        <is>
          <t>A 23963-2019</t>
        </is>
      </c>
      <c r="B999" s="1" t="n">
        <v>43597</v>
      </c>
      <c r="C999" s="1" t="n">
        <v>45350</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24124-2019</t>
        </is>
      </c>
      <c r="B1000" s="1" t="n">
        <v>43598</v>
      </c>
      <c r="C1000" s="1" t="n">
        <v>45350</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24058-2019</t>
        </is>
      </c>
      <c r="B1001" s="1" t="n">
        <v>43598</v>
      </c>
      <c r="C1001" s="1" t="n">
        <v>45350</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24360-2019</t>
        </is>
      </c>
      <c r="B1002" s="1" t="n">
        <v>43599</v>
      </c>
      <c r="C1002" s="1" t="n">
        <v>45350</v>
      </c>
      <c r="D1002" t="inlineStr">
        <is>
          <t>STOCKHOLMS LÄN</t>
        </is>
      </c>
      <c r="E1002" t="inlineStr">
        <is>
          <t>NYNÄSHAMN</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24562-2019</t>
        </is>
      </c>
      <c r="B1003" s="1" t="n">
        <v>43600</v>
      </c>
      <c r="C1003" s="1" t="n">
        <v>45350</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24657-2019</t>
        </is>
      </c>
      <c r="B1004" s="1" t="n">
        <v>43601</v>
      </c>
      <c r="C1004" s="1" t="n">
        <v>45350</v>
      </c>
      <c r="D1004" t="inlineStr">
        <is>
          <t>STOCKHOLMS LÄN</t>
        </is>
      </c>
      <c r="E1004" t="inlineStr">
        <is>
          <t>SÖDERTÄLJE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24721-2019</t>
        </is>
      </c>
      <c r="B1005" s="1" t="n">
        <v>43601</v>
      </c>
      <c r="C1005" s="1" t="n">
        <v>45350</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25284-2019</t>
        </is>
      </c>
      <c r="B1006" s="1" t="n">
        <v>43605</v>
      </c>
      <c r="C1006" s="1" t="n">
        <v>45350</v>
      </c>
      <c r="D1006" t="inlineStr">
        <is>
          <t>STOCKHOLMS LÄN</t>
        </is>
      </c>
      <c r="E1006" t="inlineStr">
        <is>
          <t>NORRTÄLJE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25535-2019</t>
        </is>
      </c>
      <c r="B1007" s="1" t="n">
        <v>43606</v>
      </c>
      <c r="C1007" s="1" t="n">
        <v>45350</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25316-2019</t>
        </is>
      </c>
      <c r="B1008" s="1" t="n">
        <v>43606</v>
      </c>
      <c r="C1008" s="1" t="n">
        <v>45350</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26374-2019</t>
        </is>
      </c>
      <c r="B1009" s="1" t="n">
        <v>43606</v>
      </c>
      <c r="C1009" s="1" t="n">
        <v>45350</v>
      </c>
      <c r="D1009" t="inlineStr">
        <is>
          <t>STOCKHOLMS LÄN</t>
        </is>
      </c>
      <c r="E1009" t="inlineStr">
        <is>
          <t>NORRTÄLJE</t>
        </is>
      </c>
      <c r="G1009" t="n">
        <v>11.6</v>
      </c>
      <c r="H1009" t="n">
        <v>0</v>
      </c>
      <c r="I1009" t="n">
        <v>0</v>
      </c>
      <c r="J1009" t="n">
        <v>0</v>
      </c>
      <c r="K1009" t="n">
        <v>0</v>
      </c>
      <c r="L1009" t="n">
        <v>0</v>
      </c>
      <c r="M1009" t="n">
        <v>0</v>
      </c>
      <c r="N1009" t="n">
        <v>0</v>
      </c>
      <c r="O1009" t="n">
        <v>0</v>
      </c>
      <c r="P1009" t="n">
        <v>0</v>
      </c>
      <c r="Q1009" t="n">
        <v>0</v>
      </c>
      <c r="R1009" s="2" t="inlineStr"/>
    </row>
    <row r="1010" ht="15" customHeight="1">
      <c r="A1010" t="inlineStr">
        <is>
          <t>A 25315-2019</t>
        </is>
      </c>
      <c r="B1010" s="1" t="n">
        <v>43606</v>
      </c>
      <c r="C1010" s="1" t="n">
        <v>45350</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25625-2019</t>
        </is>
      </c>
      <c r="B1011" s="1" t="n">
        <v>43607</v>
      </c>
      <c r="C1011" s="1" t="n">
        <v>45350</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26235-2019</t>
        </is>
      </c>
      <c r="B1012" s="1" t="n">
        <v>43609</v>
      </c>
      <c r="C1012" s="1" t="n">
        <v>45350</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26272-2019</t>
        </is>
      </c>
      <c r="B1013" s="1" t="n">
        <v>43611</v>
      </c>
      <c r="C1013" s="1" t="n">
        <v>45350</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26620-2019</t>
        </is>
      </c>
      <c r="B1014" s="1" t="n">
        <v>43612</v>
      </c>
      <c r="C1014" s="1" t="n">
        <v>45350</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26566-2019</t>
        </is>
      </c>
      <c r="B1015" s="1" t="n">
        <v>43612</v>
      </c>
      <c r="C1015" s="1" t="n">
        <v>45350</v>
      </c>
      <c r="D1015" t="inlineStr">
        <is>
          <t>STOCKHOLMS LÄN</t>
        </is>
      </c>
      <c r="E1015" t="inlineStr">
        <is>
          <t>SÖDERTÄLJE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26391-2019</t>
        </is>
      </c>
      <c r="B1016" s="1" t="n">
        <v>43612</v>
      </c>
      <c r="C1016" s="1" t="n">
        <v>45350</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26933-2019</t>
        </is>
      </c>
      <c r="B1017" s="1" t="n">
        <v>43613</v>
      </c>
      <c r="C1017" s="1" t="n">
        <v>45350</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26830-2019</t>
        </is>
      </c>
      <c r="B1018" s="1" t="n">
        <v>43613</v>
      </c>
      <c r="C1018" s="1" t="n">
        <v>45350</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27095-2019</t>
        </is>
      </c>
      <c r="B1019" s="1" t="n">
        <v>43614</v>
      </c>
      <c r="C1019" s="1" t="n">
        <v>45350</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28157-2019</t>
        </is>
      </c>
      <c r="B1020" s="1" t="n">
        <v>43614</v>
      </c>
      <c r="C1020" s="1" t="n">
        <v>45350</v>
      </c>
      <c r="D1020" t="inlineStr">
        <is>
          <t>STOCKHOLMS LÄN</t>
        </is>
      </c>
      <c r="E1020" t="inlineStr">
        <is>
          <t>NORRTÄLJE</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28481-2019</t>
        </is>
      </c>
      <c r="B1021" s="1" t="n">
        <v>43614</v>
      </c>
      <c r="C1021" s="1" t="n">
        <v>45350</v>
      </c>
      <c r="D1021" t="inlineStr">
        <is>
          <t>STOCKHOLMS LÄN</t>
        </is>
      </c>
      <c r="E1021" t="inlineStr">
        <is>
          <t>UPPLANDS-BRO</t>
        </is>
      </c>
      <c r="F1021" t="inlineStr">
        <is>
          <t>Allmännings- och besparingsskogar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27264-2019</t>
        </is>
      </c>
      <c r="B1022" s="1" t="n">
        <v>43615</v>
      </c>
      <c r="C1022" s="1" t="n">
        <v>45350</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27505-2019</t>
        </is>
      </c>
      <c r="B1023" s="1" t="n">
        <v>43619</v>
      </c>
      <c r="C1023" s="1" t="n">
        <v>45350</v>
      </c>
      <c r="D1023" t="inlineStr">
        <is>
          <t>STOCKHOLMS LÄN</t>
        </is>
      </c>
      <c r="E1023" t="inlineStr">
        <is>
          <t>SÖDERTÄLJE</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27502-2019</t>
        </is>
      </c>
      <c r="B1024" s="1" t="n">
        <v>43619</v>
      </c>
      <c r="C1024" s="1" t="n">
        <v>45350</v>
      </c>
      <c r="D1024" t="inlineStr">
        <is>
          <t>STOCKHOLMS LÄN</t>
        </is>
      </c>
      <c r="E1024" t="inlineStr">
        <is>
          <t>SÖDERTÄLJE</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27611-2019</t>
        </is>
      </c>
      <c r="B1025" s="1" t="n">
        <v>43619</v>
      </c>
      <c r="C1025" s="1" t="n">
        <v>45350</v>
      </c>
      <c r="D1025" t="inlineStr">
        <is>
          <t>STOCKHOLMS LÄN</t>
        </is>
      </c>
      <c r="E1025" t="inlineStr">
        <is>
          <t>NYKVARN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27623-2019</t>
        </is>
      </c>
      <c r="B1026" s="1" t="n">
        <v>43619</v>
      </c>
      <c r="C1026" s="1" t="n">
        <v>45350</v>
      </c>
      <c r="D1026" t="inlineStr">
        <is>
          <t>STOCKHOLMS LÄN</t>
        </is>
      </c>
      <c r="E1026" t="inlineStr">
        <is>
          <t>NYKVARN</t>
        </is>
      </c>
      <c r="F1026" t="inlineStr">
        <is>
          <t>Sveaskog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27971-2019</t>
        </is>
      </c>
      <c r="B1027" s="1" t="n">
        <v>43620</v>
      </c>
      <c r="C1027" s="1" t="n">
        <v>45350</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27967-2019</t>
        </is>
      </c>
      <c r="B1028" s="1" t="n">
        <v>43620</v>
      </c>
      <c r="C1028" s="1" t="n">
        <v>45350</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24679-2019</t>
        </is>
      </c>
      <c r="B1029" s="1" t="n">
        <v>43621</v>
      </c>
      <c r="C1029" s="1" t="n">
        <v>45350</v>
      </c>
      <c r="D1029" t="inlineStr">
        <is>
          <t>STOCKHOLMS LÄN</t>
        </is>
      </c>
      <c r="E1029" t="inlineStr">
        <is>
          <t>VALLENTUNA</t>
        </is>
      </c>
      <c r="F1029" t="inlineStr">
        <is>
          <t>Kommuner</t>
        </is>
      </c>
      <c r="G1029" t="n">
        <v>31.6</v>
      </c>
      <c r="H1029" t="n">
        <v>0</v>
      </c>
      <c r="I1029" t="n">
        <v>0</v>
      </c>
      <c r="J1029" t="n">
        <v>0</v>
      </c>
      <c r="K1029" t="n">
        <v>0</v>
      </c>
      <c r="L1029" t="n">
        <v>0</v>
      </c>
      <c r="M1029" t="n">
        <v>0</v>
      </c>
      <c r="N1029" t="n">
        <v>0</v>
      </c>
      <c r="O1029" t="n">
        <v>0</v>
      </c>
      <c r="P1029" t="n">
        <v>0</v>
      </c>
      <c r="Q1029" t="n">
        <v>0</v>
      </c>
      <c r="R1029" s="2" t="inlineStr"/>
    </row>
    <row r="1030" ht="15" customHeight="1">
      <c r="A1030" t="inlineStr">
        <is>
          <t>A 28121-2019</t>
        </is>
      </c>
      <c r="B1030" s="1" t="n">
        <v>43621</v>
      </c>
      <c r="C1030" s="1" t="n">
        <v>45350</v>
      </c>
      <c r="D1030" t="inlineStr">
        <is>
          <t>STOCKHOLMS LÄN</t>
        </is>
      </c>
      <c r="E1030" t="inlineStr">
        <is>
          <t>NORRTÄLJE</t>
        </is>
      </c>
      <c r="F1030" t="inlineStr">
        <is>
          <t>Kyrkan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28289-2019</t>
        </is>
      </c>
      <c r="B1031" s="1" t="n">
        <v>43623</v>
      </c>
      <c r="C1031" s="1" t="n">
        <v>45350</v>
      </c>
      <c r="D1031" t="inlineStr">
        <is>
          <t>STOCKHOLMS LÄN</t>
        </is>
      </c>
      <c r="E1031" t="inlineStr">
        <is>
          <t>NORRTÄLJE</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28330-2019</t>
        </is>
      </c>
      <c r="B1032" s="1" t="n">
        <v>43623</v>
      </c>
      <c r="C1032" s="1" t="n">
        <v>45350</v>
      </c>
      <c r="D1032" t="inlineStr">
        <is>
          <t>STOCKHOLMS LÄN</t>
        </is>
      </c>
      <c r="E1032" t="inlineStr">
        <is>
          <t>SIGTUNA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28519-2019</t>
        </is>
      </c>
      <c r="B1033" s="1" t="n">
        <v>43626</v>
      </c>
      <c r="C1033" s="1" t="n">
        <v>45350</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28495-2019</t>
        </is>
      </c>
      <c r="B1034" s="1" t="n">
        <v>43626</v>
      </c>
      <c r="C1034" s="1" t="n">
        <v>45350</v>
      </c>
      <c r="D1034" t="inlineStr">
        <is>
          <t>STOCKHOLMS LÄN</t>
        </is>
      </c>
      <c r="E1034" t="inlineStr">
        <is>
          <t>NORRTÄLJE</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28394-2019</t>
        </is>
      </c>
      <c r="B1035" s="1" t="n">
        <v>43626</v>
      </c>
      <c r="C1035" s="1" t="n">
        <v>45350</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28560-2019</t>
        </is>
      </c>
      <c r="B1036" s="1" t="n">
        <v>43626</v>
      </c>
      <c r="C1036" s="1" t="n">
        <v>45350</v>
      </c>
      <c r="D1036" t="inlineStr">
        <is>
          <t>STOCKHOLMS LÄN</t>
        </is>
      </c>
      <c r="E1036" t="inlineStr">
        <is>
          <t>SIGTUNA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28384-2019</t>
        </is>
      </c>
      <c r="B1037" s="1" t="n">
        <v>43626</v>
      </c>
      <c r="C1037" s="1" t="n">
        <v>45350</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29260-2019</t>
        </is>
      </c>
      <c r="B1038" s="1" t="n">
        <v>43629</v>
      </c>
      <c r="C1038" s="1" t="n">
        <v>45350</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29953-2019</t>
        </is>
      </c>
      <c r="B1039" s="1" t="n">
        <v>43629</v>
      </c>
      <c r="C1039" s="1" t="n">
        <v>45350</v>
      </c>
      <c r="D1039" t="inlineStr">
        <is>
          <t>STOCKHOLMS LÄN</t>
        </is>
      </c>
      <c r="E1039" t="inlineStr">
        <is>
          <t>VALLENTUNA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29312-2019</t>
        </is>
      </c>
      <c r="B1040" s="1" t="n">
        <v>43629</v>
      </c>
      <c r="C1040" s="1" t="n">
        <v>45350</v>
      </c>
      <c r="D1040" t="inlineStr">
        <is>
          <t>STOCKHOLMS LÄN</t>
        </is>
      </c>
      <c r="E1040" t="inlineStr">
        <is>
          <t>NORRTÄLJE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29759-2019</t>
        </is>
      </c>
      <c r="B1041" s="1" t="n">
        <v>43631</v>
      </c>
      <c r="C1041" s="1" t="n">
        <v>45350</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29973-2019</t>
        </is>
      </c>
      <c r="B1042" s="1" t="n">
        <v>43633</v>
      </c>
      <c r="C1042" s="1" t="n">
        <v>45350</v>
      </c>
      <c r="D1042" t="inlineStr">
        <is>
          <t>STOCKHOLMS LÄN</t>
        </is>
      </c>
      <c r="E1042" t="inlineStr">
        <is>
          <t>ÖSTERÅKER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30000-2019</t>
        </is>
      </c>
      <c r="B1043" s="1" t="n">
        <v>43633</v>
      </c>
      <c r="C1043" s="1" t="n">
        <v>45350</v>
      </c>
      <c r="D1043" t="inlineStr">
        <is>
          <t>STOCKHOLMS LÄN</t>
        </is>
      </c>
      <c r="E1043" t="inlineStr">
        <is>
          <t>NORRTÄLJE</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30529-2019</t>
        </is>
      </c>
      <c r="B1044" s="1" t="n">
        <v>43635</v>
      </c>
      <c r="C1044" s="1" t="n">
        <v>45350</v>
      </c>
      <c r="D1044" t="inlineStr">
        <is>
          <t>STOCKHOLMS LÄN</t>
        </is>
      </c>
      <c r="E1044" t="inlineStr">
        <is>
          <t>VÄRMDÖ</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31171-2019</t>
        </is>
      </c>
      <c r="B1045" s="1" t="n">
        <v>43635</v>
      </c>
      <c r="C1045" s="1" t="n">
        <v>45350</v>
      </c>
      <c r="D1045" t="inlineStr">
        <is>
          <t>STOCKHOLMS LÄN</t>
        </is>
      </c>
      <c r="E1045" t="inlineStr">
        <is>
          <t>EKERÖ</t>
        </is>
      </c>
      <c r="F1045" t="inlineStr">
        <is>
          <t>Övriga statliga verk och myndigheter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30833-2019</t>
        </is>
      </c>
      <c r="B1046" s="1" t="n">
        <v>43636</v>
      </c>
      <c r="C1046" s="1" t="n">
        <v>45350</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31215-2019</t>
        </is>
      </c>
      <c r="B1047" s="1" t="n">
        <v>43640</v>
      </c>
      <c r="C1047" s="1" t="n">
        <v>45350</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31211-2019</t>
        </is>
      </c>
      <c r="B1048" s="1" t="n">
        <v>43640</v>
      </c>
      <c r="C1048" s="1" t="n">
        <v>45350</v>
      </c>
      <c r="D1048" t="inlineStr">
        <is>
          <t>STOCKHOLMS LÄN</t>
        </is>
      </c>
      <c r="E1048" t="inlineStr">
        <is>
          <t>VÄRMDÖ</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31017-2019</t>
        </is>
      </c>
      <c r="B1049" s="1" t="n">
        <v>43640</v>
      </c>
      <c r="C1049" s="1" t="n">
        <v>45350</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31382-2019</t>
        </is>
      </c>
      <c r="B1050" s="1" t="n">
        <v>43641</v>
      </c>
      <c r="C1050" s="1" t="n">
        <v>45350</v>
      </c>
      <c r="D1050" t="inlineStr">
        <is>
          <t>STOCKHOLMS LÄN</t>
        </is>
      </c>
      <c r="E1050" t="inlineStr">
        <is>
          <t>NYNÄSHAMN</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31662-2019</t>
        </is>
      </c>
      <c r="B1051" s="1" t="n">
        <v>43642</v>
      </c>
      <c r="C1051" s="1" t="n">
        <v>45350</v>
      </c>
      <c r="D1051" t="inlineStr">
        <is>
          <t>STOCKHOLMS LÄN</t>
        </is>
      </c>
      <c r="E1051" t="inlineStr">
        <is>
          <t>SÖDERTÄLJE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31966-2019</t>
        </is>
      </c>
      <c r="B1052" s="1" t="n">
        <v>43643</v>
      </c>
      <c r="C1052" s="1" t="n">
        <v>45350</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31971-2019</t>
        </is>
      </c>
      <c r="B1053" s="1" t="n">
        <v>43643</v>
      </c>
      <c r="C1053" s="1" t="n">
        <v>45350</v>
      </c>
      <c r="D1053" t="inlineStr">
        <is>
          <t>STOCKHOLMS LÄN</t>
        </is>
      </c>
      <c r="E1053" t="inlineStr">
        <is>
          <t>NYNÄSHAMN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31976-2019</t>
        </is>
      </c>
      <c r="B1054" s="1" t="n">
        <v>43643</v>
      </c>
      <c r="C1054" s="1" t="n">
        <v>45350</v>
      </c>
      <c r="D1054" t="inlineStr">
        <is>
          <t>STOCKHOLMS LÄN</t>
        </is>
      </c>
      <c r="E1054" t="inlineStr">
        <is>
          <t>NYNÄSHAMN</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33732-2019</t>
        </is>
      </c>
      <c r="B1055" s="1" t="n">
        <v>43644</v>
      </c>
      <c r="C1055" s="1" t="n">
        <v>45350</v>
      </c>
      <c r="D1055" t="inlineStr">
        <is>
          <t>STOCKHOLMS LÄN</t>
        </is>
      </c>
      <c r="E1055" t="inlineStr">
        <is>
          <t>UPPLANDS-BRO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32725-2019</t>
        </is>
      </c>
      <c r="B1056" s="1" t="n">
        <v>43647</v>
      </c>
      <c r="C1056" s="1" t="n">
        <v>45350</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32726-2019</t>
        </is>
      </c>
      <c r="B1057" s="1" t="n">
        <v>43647</v>
      </c>
      <c r="C1057" s="1" t="n">
        <v>45350</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32813-2019</t>
        </is>
      </c>
      <c r="B1058" s="1" t="n">
        <v>43648</v>
      </c>
      <c r="C1058" s="1" t="n">
        <v>45350</v>
      </c>
      <c r="D1058" t="inlineStr">
        <is>
          <t>STOCKHOLMS LÄN</t>
        </is>
      </c>
      <c r="E1058" t="inlineStr">
        <is>
          <t>SIGTUNA</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33196-2019</t>
        </is>
      </c>
      <c r="B1059" s="1" t="n">
        <v>43649</v>
      </c>
      <c r="C1059" s="1" t="n">
        <v>45350</v>
      </c>
      <c r="D1059" t="inlineStr">
        <is>
          <t>STOCKHOLMS LÄN</t>
        </is>
      </c>
      <c r="E1059" t="inlineStr">
        <is>
          <t>NYKVARN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33207-2019</t>
        </is>
      </c>
      <c r="B1060" s="1" t="n">
        <v>43649</v>
      </c>
      <c r="C1060" s="1" t="n">
        <v>45350</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35301-2019</t>
        </is>
      </c>
      <c r="B1061" s="1" t="n">
        <v>43651</v>
      </c>
      <c r="C1061" s="1" t="n">
        <v>45350</v>
      </c>
      <c r="D1061" t="inlineStr">
        <is>
          <t>STOCKHOLMS LÄN</t>
        </is>
      </c>
      <c r="E1061" t="inlineStr">
        <is>
          <t>VALLENTUNA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35303-2019</t>
        </is>
      </c>
      <c r="B1062" s="1" t="n">
        <v>43651</v>
      </c>
      <c r="C1062" s="1" t="n">
        <v>45350</v>
      </c>
      <c r="D1062" t="inlineStr">
        <is>
          <t>STOCKHOLMS LÄN</t>
        </is>
      </c>
      <c r="E1062" t="inlineStr">
        <is>
          <t>VALLENTUNA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33955-2019</t>
        </is>
      </c>
      <c r="B1063" s="1" t="n">
        <v>43654</v>
      </c>
      <c r="C1063" s="1" t="n">
        <v>45350</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33966-2019</t>
        </is>
      </c>
      <c r="B1064" s="1" t="n">
        <v>43654</v>
      </c>
      <c r="C1064" s="1" t="n">
        <v>45350</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35247-2019</t>
        </is>
      </c>
      <c r="B1065" s="1" t="n">
        <v>43656</v>
      </c>
      <c r="C1065" s="1" t="n">
        <v>45350</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35244-2019</t>
        </is>
      </c>
      <c r="B1066" s="1" t="n">
        <v>43656</v>
      </c>
      <c r="C1066" s="1" t="n">
        <v>45350</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35249-2019</t>
        </is>
      </c>
      <c r="B1067" s="1" t="n">
        <v>43656</v>
      </c>
      <c r="C1067" s="1" t="n">
        <v>45350</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35251-2019</t>
        </is>
      </c>
      <c r="B1068" s="1" t="n">
        <v>43656</v>
      </c>
      <c r="C1068" s="1" t="n">
        <v>45350</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34656-2019</t>
        </is>
      </c>
      <c r="B1069" s="1" t="n">
        <v>43657</v>
      </c>
      <c r="C1069" s="1" t="n">
        <v>45350</v>
      </c>
      <c r="D1069" t="inlineStr">
        <is>
          <t>STOCKHOLMS LÄN</t>
        </is>
      </c>
      <c r="E1069" t="inlineStr">
        <is>
          <t>HANINGE</t>
        </is>
      </c>
      <c r="F1069" t="inlineStr">
        <is>
          <t>Kommuner</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34756-2019</t>
        </is>
      </c>
      <c r="B1070" s="1" t="n">
        <v>43658</v>
      </c>
      <c r="C1070" s="1" t="n">
        <v>45350</v>
      </c>
      <c r="D1070" t="inlineStr">
        <is>
          <t>STOCKHOLMS LÄN</t>
        </is>
      </c>
      <c r="E1070" t="inlineStr">
        <is>
          <t>NYKVARN</t>
        </is>
      </c>
      <c r="G1070" t="n">
        <v>11.5</v>
      </c>
      <c r="H1070" t="n">
        <v>0</v>
      </c>
      <c r="I1070" t="n">
        <v>0</v>
      </c>
      <c r="J1070" t="n">
        <v>0</v>
      </c>
      <c r="K1070" t="n">
        <v>0</v>
      </c>
      <c r="L1070" t="n">
        <v>0</v>
      </c>
      <c r="M1070" t="n">
        <v>0</v>
      </c>
      <c r="N1070" t="n">
        <v>0</v>
      </c>
      <c r="O1070" t="n">
        <v>0</v>
      </c>
      <c r="P1070" t="n">
        <v>0</v>
      </c>
      <c r="Q1070" t="n">
        <v>0</v>
      </c>
      <c r="R1070" s="2" t="inlineStr"/>
    </row>
    <row r="1071" ht="15" customHeight="1">
      <c r="A1071" t="inlineStr">
        <is>
          <t>A 35187-2019</t>
        </is>
      </c>
      <c r="B1071" s="1" t="n">
        <v>43661</v>
      </c>
      <c r="C1071" s="1" t="n">
        <v>45350</v>
      </c>
      <c r="D1071" t="inlineStr">
        <is>
          <t>STOCKHOLMS LÄN</t>
        </is>
      </c>
      <c r="E1071" t="inlineStr">
        <is>
          <t>UPPLANDS-BRO</t>
        </is>
      </c>
      <c r="F1071" t="inlineStr">
        <is>
          <t>Allmännings- och besparingsskogar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35492-2019</t>
        </is>
      </c>
      <c r="B1072" s="1" t="n">
        <v>43663</v>
      </c>
      <c r="C1072" s="1" t="n">
        <v>45350</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35770-2019</t>
        </is>
      </c>
      <c r="B1073" s="1" t="n">
        <v>43665</v>
      </c>
      <c r="C1073" s="1" t="n">
        <v>45350</v>
      </c>
      <c r="D1073" t="inlineStr">
        <is>
          <t>STOCKHOLMS LÄN</t>
        </is>
      </c>
      <c r="E1073" t="inlineStr">
        <is>
          <t>NORRTÄLJE</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35766-2019</t>
        </is>
      </c>
      <c r="B1074" s="1" t="n">
        <v>43665</v>
      </c>
      <c r="C1074" s="1" t="n">
        <v>45350</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36135-2019</t>
        </is>
      </c>
      <c r="B1075" s="1" t="n">
        <v>43668</v>
      </c>
      <c r="C1075" s="1" t="n">
        <v>45350</v>
      </c>
      <c r="D1075" t="inlineStr">
        <is>
          <t>STOCKHOLMS LÄN</t>
        </is>
      </c>
      <c r="E1075" t="inlineStr">
        <is>
          <t>NYNÄSHAMN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36418-2019</t>
        </is>
      </c>
      <c r="B1076" s="1" t="n">
        <v>43670</v>
      </c>
      <c r="C1076" s="1" t="n">
        <v>45350</v>
      </c>
      <c r="D1076" t="inlineStr">
        <is>
          <t>STOCKHOLMS LÄN</t>
        </is>
      </c>
      <c r="E1076" t="inlineStr">
        <is>
          <t>NORRTÄLJE</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36722-2019</t>
        </is>
      </c>
      <c r="B1077" s="1" t="n">
        <v>43671</v>
      </c>
      <c r="C1077" s="1" t="n">
        <v>45350</v>
      </c>
      <c r="D1077" t="inlineStr">
        <is>
          <t>STOCKHOLMS LÄN</t>
        </is>
      </c>
      <c r="E1077" t="inlineStr">
        <is>
          <t>UPPLANDS-BRO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36725-2019</t>
        </is>
      </c>
      <c r="B1078" s="1" t="n">
        <v>43671</v>
      </c>
      <c r="C1078" s="1" t="n">
        <v>45350</v>
      </c>
      <c r="D1078" t="inlineStr">
        <is>
          <t>STOCKHOLMS LÄN</t>
        </is>
      </c>
      <c r="E1078" t="inlineStr">
        <is>
          <t>UPPLANDS-BRO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36728-2019</t>
        </is>
      </c>
      <c r="B1079" s="1" t="n">
        <v>43671</v>
      </c>
      <c r="C1079" s="1" t="n">
        <v>45350</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36882-2019</t>
        </is>
      </c>
      <c r="B1080" s="1" t="n">
        <v>43675</v>
      </c>
      <c r="C1080" s="1" t="n">
        <v>45350</v>
      </c>
      <c r="D1080" t="inlineStr">
        <is>
          <t>STOCKHOLMS LÄN</t>
        </is>
      </c>
      <c r="E1080" t="inlineStr">
        <is>
          <t>SÖDERTÄLJE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37227-2019</t>
        </is>
      </c>
      <c r="B1081" s="1" t="n">
        <v>43677</v>
      </c>
      <c r="C1081" s="1" t="n">
        <v>45350</v>
      </c>
      <c r="D1081" t="inlineStr">
        <is>
          <t>STOCKHOLMS LÄN</t>
        </is>
      </c>
      <c r="E1081" t="inlineStr">
        <is>
          <t>SÖDERTÄLJE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37561-2019</t>
        </is>
      </c>
      <c r="B1082" s="1" t="n">
        <v>43678</v>
      </c>
      <c r="C1082" s="1" t="n">
        <v>45350</v>
      </c>
      <c r="D1082" t="inlineStr">
        <is>
          <t>STOCKHOLMS LÄN</t>
        </is>
      </c>
      <c r="E1082" t="inlineStr">
        <is>
          <t>VALLENTUNA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37401-2019</t>
        </is>
      </c>
      <c r="B1083" s="1" t="n">
        <v>43678</v>
      </c>
      <c r="C1083" s="1" t="n">
        <v>45350</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37365-2019</t>
        </is>
      </c>
      <c r="B1084" s="1" t="n">
        <v>43678</v>
      </c>
      <c r="C1084" s="1" t="n">
        <v>45350</v>
      </c>
      <c r="D1084" t="inlineStr">
        <is>
          <t>STOCKHOLMS LÄN</t>
        </is>
      </c>
      <c r="E1084" t="inlineStr">
        <is>
          <t>UPPLANDS VÄSBY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37662-2019</t>
        </is>
      </c>
      <c r="B1085" s="1" t="n">
        <v>43682</v>
      </c>
      <c r="C1085" s="1" t="n">
        <v>45350</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38144-2019</t>
        </is>
      </c>
      <c r="B1086" s="1" t="n">
        <v>43684</v>
      </c>
      <c r="C1086" s="1" t="n">
        <v>45350</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38139-2019</t>
        </is>
      </c>
      <c r="B1087" s="1" t="n">
        <v>43684</v>
      </c>
      <c r="C1087" s="1" t="n">
        <v>45350</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38145-2019</t>
        </is>
      </c>
      <c r="B1088" s="1" t="n">
        <v>43684</v>
      </c>
      <c r="C1088" s="1" t="n">
        <v>45350</v>
      </c>
      <c r="D1088" t="inlineStr">
        <is>
          <t>STOCKHOLMS LÄN</t>
        </is>
      </c>
      <c r="E1088" t="inlineStr">
        <is>
          <t>NORRTÄLJE</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38216-2019</t>
        </is>
      </c>
      <c r="B1089" s="1" t="n">
        <v>43684</v>
      </c>
      <c r="C1089" s="1" t="n">
        <v>45350</v>
      </c>
      <c r="D1089" t="inlineStr">
        <is>
          <t>STOCKHOLMS LÄN</t>
        </is>
      </c>
      <c r="E1089" t="inlineStr">
        <is>
          <t>NYKVARN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38140-2019</t>
        </is>
      </c>
      <c r="B1090" s="1" t="n">
        <v>43684</v>
      </c>
      <c r="C1090" s="1" t="n">
        <v>45350</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38143-2019</t>
        </is>
      </c>
      <c r="B1091" s="1" t="n">
        <v>43684</v>
      </c>
      <c r="C1091" s="1" t="n">
        <v>45350</v>
      </c>
      <c r="D1091" t="inlineStr">
        <is>
          <t>STOCKHOLMS LÄN</t>
        </is>
      </c>
      <c r="E1091" t="inlineStr">
        <is>
          <t>NORRTÄLJE</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38506-2019</t>
        </is>
      </c>
      <c r="B1092" s="1" t="n">
        <v>43685</v>
      </c>
      <c r="C1092" s="1" t="n">
        <v>45350</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38605-2019</t>
        </is>
      </c>
      <c r="B1093" s="1" t="n">
        <v>43686</v>
      </c>
      <c r="C1093" s="1" t="n">
        <v>45350</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38737-2019</t>
        </is>
      </c>
      <c r="B1094" s="1" t="n">
        <v>43686</v>
      </c>
      <c r="C1094" s="1" t="n">
        <v>45350</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39090-2019</t>
        </is>
      </c>
      <c r="B1095" s="1" t="n">
        <v>43689</v>
      </c>
      <c r="C1095" s="1" t="n">
        <v>45350</v>
      </c>
      <c r="D1095" t="inlineStr">
        <is>
          <t>STOCKHOLMS LÄN</t>
        </is>
      </c>
      <c r="E1095" t="inlineStr">
        <is>
          <t>SÖDERTÄLJE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39083-2019</t>
        </is>
      </c>
      <c r="B1096" s="1" t="n">
        <v>43689</v>
      </c>
      <c r="C1096" s="1" t="n">
        <v>45350</v>
      </c>
      <c r="D1096" t="inlineStr">
        <is>
          <t>STOCKHOLMS LÄN</t>
        </is>
      </c>
      <c r="E1096" t="inlineStr">
        <is>
          <t>SÖDERTÄLJE</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39472-2019</t>
        </is>
      </c>
      <c r="B1097" s="1" t="n">
        <v>43691</v>
      </c>
      <c r="C1097" s="1" t="n">
        <v>45350</v>
      </c>
      <c r="D1097" t="inlineStr">
        <is>
          <t>STOCKHOLMS LÄN</t>
        </is>
      </c>
      <c r="E1097" t="inlineStr">
        <is>
          <t>UPPLANDS-BRO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39663-2019</t>
        </is>
      </c>
      <c r="B1098" s="1" t="n">
        <v>43691</v>
      </c>
      <c r="C1098" s="1" t="n">
        <v>45350</v>
      </c>
      <c r="D1098" t="inlineStr">
        <is>
          <t>STOCKHOLMS LÄN</t>
        </is>
      </c>
      <c r="E1098" t="inlineStr">
        <is>
          <t>NYNÄSHAMN</t>
        </is>
      </c>
      <c r="F1098" t="inlineStr">
        <is>
          <t>Övriga statliga verk och myndigheter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40571-2019</t>
        </is>
      </c>
      <c r="B1099" s="1" t="n">
        <v>43696</v>
      </c>
      <c r="C1099" s="1" t="n">
        <v>45350</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40642-2019</t>
        </is>
      </c>
      <c r="B1100" s="1" t="n">
        <v>43696</v>
      </c>
      <c r="C1100" s="1" t="n">
        <v>45350</v>
      </c>
      <c r="D1100" t="inlineStr">
        <is>
          <t>STOCKHOLMS LÄN</t>
        </is>
      </c>
      <c r="E1100" t="inlineStr">
        <is>
          <t>BOTKYRKA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40641-2019</t>
        </is>
      </c>
      <c r="B1101" s="1" t="n">
        <v>43696</v>
      </c>
      <c r="C1101" s="1" t="n">
        <v>45350</v>
      </c>
      <c r="D1101" t="inlineStr">
        <is>
          <t>STOCKHOLMS LÄN</t>
        </is>
      </c>
      <c r="E1101" t="inlineStr">
        <is>
          <t>BOTKYRKA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41065-2019</t>
        </is>
      </c>
      <c r="B1102" s="1" t="n">
        <v>43697</v>
      </c>
      <c r="C1102" s="1" t="n">
        <v>45350</v>
      </c>
      <c r="D1102" t="inlineStr">
        <is>
          <t>STOCKHOLMS LÄN</t>
        </is>
      </c>
      <c r="E1102" t="inlineStr">
        <is>
          <t>SÖDERTÄLJE</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42330-2019</t>
        </is>
      </c>
      <c r="B1103" s="1" t="n">
        <v>43703</v>
      </c>
      <c r="C1103" s="1" t="n">
        <v>45350</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43379-2019</t>
        </is>
      </c>
      <c r="B1104" s="1" t="n">
        <v>43703</v>
      </c>
      <c r="C1104" s="1" t="n">
        <v>45350</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42448-2019</t>
        </is>
      </c>
      <c r="B1105" s="1" t="n">
        <v>43704</v>
      </c>
      <c r="C1105" s="1" t="n">
        <v>45350</v>
      </c>
      <c r="D1105" t="inlineStr">
        <is>
          <t>STOCKHOLMS LÄN</t>
        </is>
      </c>
      <c r="E1105" t="inlineStr">
        <is>
          <t>BOTKYRKA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42669-2019</t>
        </is>
      </c>
      <c r="B1106" s="1" t="n">
        <v>43704</v>
      </c>
      <c r="C1106" s="1" t="n">
        <v>45350</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43296-2019</t>
        </is>
      </c>
      <c r="B1107" s="1" t="n">
        <v>43706</v>
      </c>
      <c r="C1107" s="1" t="n">
        <v>45350</v>
      </c>
      <c r="D1107" t="inlineStr">
        <is>
          <t>STOCKHOLMS LÄN</t>
        </is>
      </c>
      <c r="E1107" t="inlineStr">
        <is>
          <t>NORRTÄLJE</t>
        </is>
      </c>
      <c r="F1107" t="inlineStr">
        <is>
          <t>Kommuner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43574-2019</t>
        </is>
      </c>
      <c r="B1108" s="1" t="n">
        <v>43706</v>
      </c>
      <c r="C1108" s="1" t="n">
        <v>45350</v>
      </c>
      <c r="D1108" t="inlineStr">
        <is>
          <t>STOCKHOLMS LÄN</t>
        </is>
      </c>
      <c r="E1108" t="inlineStr">
        <is>
          <t>VALLENTUNA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43573-2019</t>
        </is>
      </c>
      <c r="B1109" s="1" t="n">
        <v>43706</v>
      </c>
      <c r="C1109" s="1" t="n">
        <v>45350</v>
      </c>
      <c r="D1109" t="inlineStr">
        <is>
          <t>STOCKHOLMS LÄN</t>
        </is>
      </c>
      <c r="E1109" t="inlineStr">
        <is>
          <t>VALLENTUNA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43930-2019</t>
        </is>
      </c>
      <c r="B1110" s="1" t="n">
        <v>43707</v>
      </c>
      <c r="C1110" s="1" t="n">
        <v>45350</v>
      </c>
      <c r="D1110" t="inlineStr">
        <is>
          <t>STOCKHOLMS LÄN</t>
        </is>
      </c>
      <c r="E1110" t="inlineStr">
        <is>
          <t>HANINGE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43809-2019</t>
        </is>
      </c>
      <c r="B1111" s="1" t="n">
        <v>43707</v>
      </c>
      <c r="C1111" s="1" t="n">
        <v>45350</v>
      </c>
      <c r="D1111" t="inlineStr">
        <is>
          <t>STOCKHOLMS LÄN</t>
        </is>
      </c>
      <c r="E1111" t="inlineStr">
        <is>
          <t>VALLENTUNA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44453-2019</t>
        </is>
      </c>
      <c r="B1112" s="1" t="n">
        <v>43711</v>
      </c>
      <c r="C1112" s="1" t="n">
        <v>45350</v>
      </c>
      <c r="D1112" t="inlineStr">
        <is>
          <t>STOCKHOLMS LÄN</t>
        </is>
      </c>
      <c r="E1112" t="inlineStr">
        <is>
          <t>NYNÄSHAMN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44643-2019</t>
        </is>
      </c>
      <c r="B1113" s="1" t="n">
        <v>43712</v>
      </c>
      <c r="C1113" s="1" t="n">
        <v>45350</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44921-2019</t>
        </is>
      </c>
      <c r="B1114" s="1" t="n">
        <v>43712</v>
      </c>
      <c r="C1114" s="1" t="n">
        <v>45350</v>
      </c>
      <c r="D1114" t="inlineStr">
        <is>
          <t>STOCKHOLMS LÄN</t>
        </is>
      </c>
      <c r="E1114" t="inlineStr">
        <is>
          <t>SÖDERTÄLJE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45306-2019</t>
        </is>
      </c>
      <c r="B1115" s="1" t="n">
        <v>43713</v>
      </c>
      <c r="C1115" s="1" t="n">
        <v>45350</v>
      </c>
      <c r="D1115" t="inlineStr">
        <is>
          <t>STOCKHOLMS LÄN</t>
        </is>
      </c>
      <c r="E1115" t="inlineStr">
        <is>
          <t>SÖDERTÄLJE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45463-2019</t>
        </is>
      </c>
      <c r="B1116" s="1" t="n">
        <v>43714</v>
      </c>
      <c r="C1116" s="1" t="n">
        <v>45350</v>
      </c>
      <c r="D1116" t="inlineStr">
        <is>
          <t>STOCKHOLMS LÄN</t>
        </is>
      </c>
      <c r="E1116" t="inlineStr">
        <is>
          <t>NORRTÄLJE</t>
        </is>
      </c>
      <c r="F1116" t="inlineStr">
        <is>
          <t>Övriga statliga verk och myndigheter</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45477-2019</t>
        </is>
      </c>
      <c r="B1117" s="1" t="n">
        <v>43714</v>
      </c>
      <c r="C1117" s="1" t="n">
        <v>45350</v>
      </c>
      <c r="D1117" t="inlineStr">
        <is>
          <t>STOCKHOLMS LÄN</t>
        </is>
      </c>
      <c r="E1117" t="inlineStr">
        <is>
          <t>NORRTÄLJE</t>
        </is>
      </c>
      <c r="F1117" t="inlineStr">
        <is>
          <t>Övriga statliga verk och myndigheter</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46327-2019</t>
        </is>
      </c>
      <c r="B1118" s="1" t="n">
        <v>43718</v>
      </c>
      <c r="C1118" s="1" t="n">
        <v>45350</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47242-2019</t>
        </is>
      </c>
      <c r="B1119" s="1" t="n">
        <v>43721</v>
      </c>
      <c r="C1119" s="1" t="n">
        <v>45350</v>
      </c>
      <c r="D1119" t="inlineStr">
        <is>
          <t>STOCKHOLMS LÄN</t>
        </is>
      </c>
      <c r="E1119" t="inlineStr">
        <is>
          <t>ÖSTERÅKER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47583-2019</t>
        </is>
      </c>
      <c r="B1120" s="1" t="n">
        <v>43724</v>
      </c>
      <c r="C1120" s="1" t="n">
        <v>45350</v>
      </c>
      <c r="D1120" t="inlineStr">
        <is>
          <t>STOCKHOLMS LÄN</t>
        </is>
      </c>
      <c r="E1120" t="inlineStr">
        <is>
          <t>NYKVARN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47876-2019</t>
        </is>
      </c>
      <c r="B1121" s="1" t="n">
        <v>43725</v>
      </c>
      <c r="C1121" s="1" t="n">
        <v>45350</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47877-2019</t>
        </is>
      </c>
      <c r="B1122" s="1" t="n">
        <v>43725</v>
      </c>
      <c r="C1122" s="1" t="n">
        <v>45350</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47903-2019</t>
        </is>
      </c>
      <c r="B1123" s="1" t="n">
        <v>43725</v>
      </c>
      <c r="C1123" s="1" t="n">
        <v>45350</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47901-2019</t>
        </is>
      </c>
      <c r="B1124" s="1" t="n">
        <v>43725</v>
      </c>
      <c r="C1124" s="1" t="n">
        <v>45350</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47939-2019</t>
        </is>
      </c>
      <c r="B1125" s="1" t="n">
        <v>43725</v>
      </c>
      <c r="C1125" s="1" t="n">
        <v>45350</v>
      </c>
      <c r="D1125" t="inlineStr">
        <is>
          <t>STOCKHOLMS LÄN</t>
        </is>
      </c>
      <c r="E1125" t="inlineStr">
        <is>
          <t>NORRTÄLJE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47941-2019</t>
        </is>
      </c>
      <c r="B1126" s="1" t="n">
        <v>43725</v>
      </c>
      <c r="C1126" s="1" t="n">
        <v>45350</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47879-2019</t>
        </is>
      </c>
      <c r="B1127" s="1" t="n">
        <v>43725</v>
      </c>
      <c r="C1127" s="1" t="n">
        <v>45350</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48609-2019</t>
        </is>
      </c>
      <c r="B1128" s="1" t="n">
        <v>43727</v>
      </c>
      <c r="C1128" s="1" t="n">
        <v>45350</v>
      </c>
      <c r="D1128" t="inlineStr">
        <is>
          <t>STOCKHOLMS LÄN</t>
        </is>
      </c>
      <c r="E1128" t="inlineStr">
        <is>
          <t>HANINGE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48932-2019</t>
        </is>
      </c>
      <c r="B1129" s="1" t="n">
        <v>43728</v>
      </c>
      <c r="C1129" s="1" t="n">
        <v>45350</v>
      </c>
      <c r="D1129" t="inlineStr">
        <is>
          <t>STOCKHOLMS LÄN</t>
        </is>
      </c>
      <c r="E1129" t="inlineStr">
        <is>
          <t>ÖSTERÅKER</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48906-2019</t>
        </is>
      </c>
      <c r="B1130" s="1" t="n">
        <v>43728</v>
      </c>
      <c r="C1130" s="1" t="n">
        <v>45350</v>
      </c>
      <c r="D1130" t="inlineStr">
        <is>
          <t>STOCKHOLMS LÄN</t>
        </is>
      </c>
      <c r="E1130" t="inlineStr">
        <is>
          <t>ÖSTERÅKER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48730-2019</t>
        </is>
      </c>
      <c r="B1131" s="1" t="n">
        <v>43728</v>
      </c>
      <c r="C1131" s="1" t="n">
        <v>45350</v>
      </c>
      <c r="D1131" t="inlineStr">
        <is>
          <t>STOCKHOLMS LÄN</t>
        </is>
      </c>
      <c r="E1131" t="inlineStr">
        <is>
          <t>NORRTÄLJE</t>
        </is>
      </c>
      <c r="F1131" t="inlineStr">
        <is>
          <t>Övriga statliga verk och myndigheter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49121-2019</t>
        </is>
      </c>
      <c r="B1132" s="1" t="n">
        <v>43731</v>
      </c>
      <c r="C1132" s="1" t="n">
        <v>45350</v>
      </c>
      <c r="D1132" t="inlineStr">
        <is>
          <t>STOCKHOLMS LÄN</t>
        </is>
      </c>
      <c r="E1132" t="inlineStr">
        <is>
          <t>NYKVARN</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49130-2019</t>
        </is>
      </c>
      <c r="B1133" s="1" t="n">
        <v>43731</v>
      </c>
      <c r="C1133" s="1" t="n">
        <v>45350</v>
      </c>
      <c r="D1133" t="inlineStr">
        <is>
          <t>STOCKHOLMS LÄN</t>
        </is>
      </c>
      <c r="E1133" t="inlineStr">
        <is>
          <t>SÖDERTÄLJE</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49118-2019</t>
        </is>
      </c>
      <c r="B1134" s="1" t="n">
        <v>43731</v>
      </c>
      <c r="C1134" s="1" t="n">
        <v>45350</v>
      </c>
      <c r="D1134" t="inlineStr">
        <is>
          <t>STOCKHOLMS LÄN</t>
        </is>
      </c>
      <c r="E1134" t="inlineStr">
        <is>
          <t>NYKVARN</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49131-2019</t>
        </is>
      </c>
      <c r="B1135" s="1" t="n">
        <v>43731</v>
      </c>
      <c r="C1135" s="1" t="n">
        <v>45350</v>
      </c>
      <c r="D1135" t="inlineStr">
        <is>
          <t>STOCKHOLMS LÄN</t>
        </is>
      </c>
      <c r="E1135" t="inlineStr">
        <is>
          <t>SÖDERTÄLJE</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49096-2019</t>
        </is>
      </c>
      <c r="B1136" s="1" t="n">
        <v>43731</v>
      </c>
      <c r="C1136" s="1" t="n">
        <v>45350</v>
      </c>
      <c r="D1136" t="inlineStr">
        <is>
          <t>STOCKHOLMS LÄN</t>
        </is>
      </c>
      <c r="E1136" t="inlineStr">
        <is>
          <t>NYKVARN</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49252-2019</t>
        </is>
      </c>
      <c r="B1137" s="1" t="n">
        <v>43731</v>
      </c>
      <c r="C1137" s="1" t="n">
        <v>45350</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49268-2019</t>
        </is>
      </c>
      <c r="B1138" s="1" t="n">
        <v>43731</v>
      </c>
      <c r="C1138" s="1" t="n">
        <v>45350</v>
      </c>
      <c r="D1138" t="inlineStr">
        <is>
          <t>STOCKHOLMS LÄN</t>
        </is>
      </c>
      <c r="E1138" t="inlineStr">
        <is>
          <t>SIGTUNA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49349-2019</t>
        </is>
      </c>
      <c r="B1139" s="1" t="n">
        <v>43731</v>
      </c>
      <c r="C1139" s="1" t="n">
        <v>45350</v>
      </c>
      <c r="D1139" t="inlineStr">
        <is>
          <t>STOCKHOLMS LÄN</t>
        </is>
      </c>
      <c r="E1139" t="inlineStr">
        <is>
          <t>HANINGE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49840-2019</t>
        </is>
      </c>
      <c r="B1140" s="1" t="n">
        <v>43733</v>
      </c>
      <c r="C1140" s="1" t="n">
        <v>45350</v>
      </c>
      <c r="D1140" t="inlineStr">
        <is>
          <t>STOCKHOLMS LÄN</t>
        </is>
      </c>
      <c r="E1140" t="inlineStr">
        <is>
          <t>NYNÄSHAMN</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50396-2019</t>
        </is>
      </c>
      <c r="B1141" s="1" t="n">
        <v>43735</v>
      </c>
      <c r="C1141" s="1" t="n">
        <v>45350</v>
      </c>
      <c r="D1141" t="inlineStr">
        <is>
          <t>STOCKHOLMS LÄN</t>
        </is>
      </c>
      <c r="E1141" t="inlineStr">
        <is>
          <t>SÖDERTÄLJE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50435-2019</t>
        </is>
      </c>
      <c r="B1142" s="1" t="n">
        <v>43735</v>
      </c>
      <c r="C1142" s="1" t="n">
        <v>45350</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50443-2019</t>
        </is>
      </c>
      <c r="B1143" s="1" t="n">
        <v>43735</v>
      </c>
      <c r="C1143" s="1" t="n">
        <v>45350</v>
      </c>
      <c r="D1143" t="inlineStr">
        <is>
          <t>STOCKHOLMS LÄN</t>
        </is>
      </c>
      <c r="E1143" t="inlineStr">
        <is>
          <t>SÖDERTÄLJE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50389-2019</t>
        </is>
      </c>
      <c r="B1144" s="1" t="n">
        <v>43735</v>
      </c>
      <c r="C1144" s="1" t="n">
        <v>45350</v>
      </c>
      <c r="D1144" t="inlineStr">
        <is>
          <t>STOCKHOLMS LÄN</t>
        </is>
      </c>
      <c r="E1144" t="inlineStr">
        <is>
          <t>SÖDERTÄLJE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50425-2019</t>
        </is>
      </c>
      <c r="B1145" s="1" t="n">
        <v>43735</v>
      </c>
      <c r="C1145" s="1" t="n">
        <v>45350</v>
      </c>
      <c r="D1145" t="inlineStr">
        <is>
          <t>STOCKHOLMS LÄN</t>
        </is>
      </c>
      <c r="E1145" t="inlineStr">
        <is>
          <t>SÖDERTÄLJE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50446-2019</t>
        </is>
      </c>
      <c r="B1146" s="1" t="n">
        <v>43735</v>
      </c>
      <c r="C1146" s="1" t="n">
        <v>45350</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50441-2019</t>
        </is>
      </c>
      <c r="B1147" s="1" t="n">
        <v>43735</v>
      </c>
      <c r="C1147" s="1" t="n">
        <v>45350</v>
      </c>
      <c r="D1147" t="inlineStr">
        <is>
          <t>STOCKHOLMS LÄN</t>
        </is>
      </c>
      <c r="E1147" t="inlineStr">
        <is>
          <t>SÖDERTÄLJE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50419-2019</t>
        </is>
      </c>
      <c r="B1148" s="1" t="n">
        <v>43735</v>
      </c>
      <c r="C1148" s="1" t="n">
        <v>45350</v>
      </c>
      <c r="D1148" t="inlineStr">
        <is>
          <t>STOCKHOLMS LÄN</t>
        </is>
      </c>
      <c r="E1148" t="inlineStr">
        <is>
          <t>SÖDERTÄLJE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50737-2019</t>
        </is>
      </c>
      <c r="B1149" s="1" t="n">
        <v>43738</v>
      </c>
      <c r="C1149" s="1" t="n">
        <v>45350</v>
      </c>
      <c r="D1149" t="inlineStr">
        <is>
          <t>STOCKHOLMS LÄN</t>
        </is>
      </c>
      <c r="E1149" t="inlineStr">
        <is>
          <t>SIGTUNA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50755-2019</t>
        </is>
      </c>
      <c r="B1150" s="1" t="n">
        <v>43738</v>
      </c>
      <c r="C1150" s="1" t="n">
        <v>45350</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51184-2019</t>
        </is>
      </c>
      <c r="B1151" s="1" t="n">
        <v>43739</v>
      </c>
      <c r="C1151" s="1" t="n">
        <v>45350</v>
      </c>
      <c r="D1151" t="inlineStr">
        <is>
          <t>STOCKHOLMS LÄN</t>
        </is>
      </c>
      <c r="E1151" t="inlineStr">
        <is>
          <t>VALLENTUNA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51387-2019</t>
        </is>
      </c>
      <c r="B1152" s="1" t="n">
        <v>43740</v>
      </c>
      <c r="C1152" s="1" t="n">
        <v>45350</v>
      </c>
      <c r="D1152" t="inlineStr">
        <is>
          <t>STOCKHOLMS LÄN</t>
        </is>
      </c>
      <c r="E1152" t="inlineStr">
        <is>
          <t>BOTKYRKA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51571-2019</t>
        </is>
      </c>
      <c r="B1153" s="1" t="n">
        <v>43740</v>
      </c>
      <c r="C1153" s="1" t="n">
        <v>45350</v>
      </c>
      <c r="D1153" t="inlineStr">
        <is>
          <t>STOCKHOLMS LÄN</t>
        </is>
      </c>
      <c r="E1153" t="inlineStr">
        <is>
          <t>NYKVARN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51938-2019</t>
        </is>
      </c>
      <c r="B1154" s="1" t="n">
        <v>43741</v>
      </c>
      <c r="C1154" s="1" t="n">
        <v>45350</v>
      </c>
      <c r="D1154" t="inlineStr">
        <is>
          <t>STOCKHOLMS LÄN</t>
        </is>
      </c>
      <c r="E1154" t="inlineStr">
        <is>
          <t>VÄRMDÖ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51940-2019</t>
        </is>
      </c>
      <c r="B1155" s="1" t="n">
        <v>43741</v>
      </c>
      <c r="C1155" s="1" t="n">
        <v>45350</v>
      </c>
      <c r="D1155" t="inlineStr">
        <is>
          <t>STOCKHOLMS LÄN</t>
        </is>
      </c>
      <c r="E1155" t="inlineStr">
        <is>
          <t>NORRTÄLJE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51942-2019</t>
        </is>
      </c>
      <c r="B1156" s="1" t="n">
        <v>43741</v>
      </c>
      <c r="C1156" s="1" t="n">
        <v>45350</v>
      </c>
      <c r="D1156" t="inlineStr">
        <is>
          <t>STOCKHOLMS LÄN</t>
        </is>
      </c>
      <c r="E1156" t="inlineStr">
        <is>
          <t>NORRTÄLJE</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52139-2019</t>
        </is>
      </c>
      <c r="B1157" s="1" t="n">
        <v>43742</v>
      </c>
      <c r="C1157" s="1" t="n">
        <v>45350</v>
      </c>
      <c r="D1157" t="inlineStr">
        <is>
          <t>STOCKHOLMS LÄN</t>
        </is>
      </c>
      <c r="E1157" t="inlineStr">
        <is>
          <t>ÖSTERÅKER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54466-2019</t>
        </is>
      </c>
      <c r="B1158" s="1" t="n">
        <v>43747</v>
      </c>
      <c r="C1158" s="1" t="n">
        <v>45350</v>
      </c>
      <c r="D1158" t="inlineStr">
        <is>
          <t>STOCKHOLMS LÄN</t>
        </is>
      </c>
      <c r="E1158" t="inlineStr">
        <is>
          <t>VAXHOLM</t>
        </is>
      </c>
      <c r="F1158" t="inlineStr">
        <is>
          <t>Övriga statliga verk och myndigheter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53815-2019</t>
        </is>
      </c>
      <c r="B1159" s="1" t="n">
        <v>43752</v>
      </c>
      <c r="C1159" s="1" t="n">
        <v>45350</v>
      </c>
      <c r="D1159" t="inlineStr">
        <is>
          <t>STOCKHOLMS LÄN</t>
        </is>
      </c>
      <c r="E1159" t="inlineStr">
        <is>
          <t>HANINGE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54187-2019</t>
        </is>
      </c>
      <c r="B1160" s="1" t="n">
        <v>43753</v>
      </c>
      <c r="C1160" s="1" t="n">
        <v>45350</v>
      </c>
      <c r="D1160" t="inlineStr">
        <is>
          <t>STOCKHOLMS LÄN</t>
        </is>
      </c>
      <c r="E1160" t="inlineStr">
        <is>
          <t>EKERÖ</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54875-2019</t>
        </is>
      </c>
      <c r="B1161" s="1" t="n">
        <v>43755</v>
      </c>
      <c r="C1161" s="1" t="n">
        <v>45350</v>
      </c>
      <c r="D1161" t="inlineStr">
        <is>
          <t>STOCKHOLMS LÄN</t>
        </is>
      </c>
      <c r="E1161" t="inlineStr">
        <is>
          <t>SIGTUNA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55974-2019</t>
        </is>
      </c>
      <c r="B1162" s="1" t="n">
        <v>43759</v>
      </c>
      <c r="C1162" s="1" t="n">
        <v>45350</v>
      </c>
      <c r="D1162" t="inlineStr">
        <is>
          <t>STOCKHOLMS LÄN</t>
        </is>
      </c>
      <c r="E1162" t="inlineStr">
        <is>
          <t>SÖDERTÄLJE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55866-2019</t>
        </is>
      </c>
      <c r="B1163" s="1" t="n">
        <v>43759</v>
      </c>
      <c r="C1163" s="1" t="n">
        <v>45350</v>
      </c>
      <c r="D1163" t="inlineStr">
        <is>
          <t>STOCKHOLMS LÄN</t>
        </is>
      </c>
      <c r="E1163" t="inlineStr">
        <is>
          <t>SÖDERTÄLJE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55954-2019</t>
        </is>
      </c>
      <c r="B1164" s="1" t="n">
        <v>43759</v>
      </c>
      <c r="C1164" s="1" t="n">
        <v>45350</v>
      </c>
      <c r="D1164" t="inlineStr">
        <is>
          <t>STOCKHOLMS LÄN</t>
        </is>
      </c>
      <c r="E1164" t="inlineStr">
        <is>
          <t>SÖDERTÄLJE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55965-2019</t>
        </is>
      </c>
      <c r="B1165" s="1" t="n">
        <v>43759</v>
      </c>
      <c r="C1165" s="1" t="n">
        <v>45350</v>
      </c>
      <c r="D1165" t="inlineStr">
        <is>
          <t>STOCKHOLMS LÄN</t>
        </is>
      </c>
      <c r="E1165" t="inlineStr">
        <is>
          <t>SÖDERTÄLJE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55870-2019</t>
        </is>
      </c>
      <c r="B1166" s="1" t="n">
        <v>43759</v>
      </c>
      <c r="C1166" s="1" t="n">
        <v>45350</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55848-2019</t>
        </is>
      </c>
      <c r="B1167" s="1" t="n">
        <v>43759</v>
      </c>
      <c r="C1167" s="1" t="n">
        <v>45350</v>
      </c>
      <c r="D1167" t="inlineStr">
        <is>
          <t>STOCKHOLMS LÄN</t>
        </is>
      </c>
      <c r="E1167" t="inlineStr">
        <is>
          <t>SÖDERTÄLJE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55980-2019</t>
        </is>
      </c>
      <c r="B1168" s="1" t="n">
        <v>43759</v>
      </c>
      <c r="C1168" s="1" t="n">
        <v>45350</v>
      </c>
      <c r="D1168" t="inlineStr">
        <is>
          <t>STOCKHOLMS LÄN</t>
        </is>
      </c>
      <c r="E1168" t="inlineStr">
        <is>
          <t>SÖDERTÄLJE</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55481-2019</t>
        </is>
      </c>
      <c r="B1169" s="1" t="n">
        <v>43759</v>
      </c>
      <c r="C1169" s="1" t="n">
        <v>45350</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55891-2019</t>
        </is>
      </c>
      <c r="B1170" s="1" t="n">
        <v>43761</v>
      </c>
      <c r="C1170" s="1" t="n">
        <v>45350</v>
      </c>
      <c r="D1170" t="inlineStr">
        <is>
          <t>STOCKHOLMS LÄN</t>
        </is>
      </c>
      <c r="E1170" t="inlineStr">
        <is>
          <t>NORRTÄLJE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56349-2019</t>
        </is>
      </c>
      <c r="B1171" s="1" t="n">
        <v>43762</v>
      </c>
      <c r="C1171" s="1" t="n">
        <v>45350</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57759-2019</t>
        </is>
      </c>
      <c r="B1172" s="1" t="n">
        <v>43763</v>
      </c>
      <c r="C1172" s="1" t="n">
        <v>45350</v>
      </c>
      <c r="D1172" t="inlineStr">
        <is>
          <t>STOCKHOLMS LÄN</t>
        </is>
      </c>
      <c r="E1172" t="inlineStr">
        <is>
          <t>NORRTÄLJE</t>
        </is>
      </c>
      <c r="F1172" t="inlineStr">
        <is>
          <t>Övriga Aktiebolag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57063-2019</t>
        </is>
      </c>
      <c r="B1173" s="1" t="n">
        <v>43766</v>
      </c>
      <c r="C1173" s="1" t="n">
        <v>45350</v>
      </c>
      <c r="D1173" t="inlineStr">
        <is>
          <t>STOCKHOLMS LÄN</t>
        </is>
      </c>
      <c r="E1173" t="inlineStr">
        <is>
          <t>NORRTÄLJE</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56950-2019</t>
        </is>
      </c>
      <c r="B1174" s="1" t="n">
        <v>43766</v>
      </c>
      <c r="C1174" s="1" t="n">
        <v>45350</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57461-2019</t>
        </is>
      </c>
      <c r="B1175" s="1" t="n">
        <v>43767</v>
      </c>
      <c r="C1175" s="1" t="n">
        <v>45350</v>
      </c>
      <c r="D1175" t="inlineStr">
        <is>
          <t>STOCKHOLMS LÄN</t>
        </is>
      </c>
      <c r="E1175" t="inlineStr">
        <is>
          <t>SIGTUNA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57605-2019</t>
        </is>
      </c>
      <c r="B1176" s="1" t="n">
        <v>43768</v>
      </c>
      <c r="C1176" s="1" t="n">
        <v>45350</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58064-2019</t>
        </is>
      </c>
      <c r="B1177" s="1" t="n">
        <v>43769</v>
      </c>
      <c r="C1177" s="1" t="n">
        <v>45350</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58631-2019</t>
        </is>
      </c>
      <c r="B1178" s="1" t="n">
        <v>43773</v>
      </c>
      <c r="C1178" s="1" t="n">
        <v>45350</v>
      </c>
      <c r="D1178" t="inlineStr">
        <is>
          <t>STOCKHOLMS LÄN</t>
        </is>
      </c>
      <c r="E1178" t="inlineStr">
        <is>
          <t>NORRTÄLJE</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59155-2019</t>
        </is>
      </c>
      <c r="B1179" s="1" t="n">
        <v>43775</v>
      </c>
      <c r="C1179" s="1" t="n">
        <v>45350</v>
      </c>
      <c r="D1179" t="inlineStr">
        <is>
          <t>STOCKHOLMS LÄN</t>
        </is>
      </c>
      <c r="E1179" t="inlineStr">
        <is>
          <t>SÖDERTÄLJE</t>
        </is>
      </c>
      <c r="F1179" t="inlineStr">
        <is>
          <t>Kommuner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59790-2019</t>
        </is>
      </c>
      <c r="B1180" s="1" t="n">
        <v>43776</v>
      </c>
      <c r="C1180" s="1" t="n">
        <v>45350</v>
      </c>
      <c r="D1180" t="inlineStr">
        <is>
          <t>STOCKHOLMS LÄN</t>
        </is>
      </c>
      <c r="E1180" t="inlineStr">
        <is>
          <t>SÖDERTÄLJE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60214-2019</t>
        </is>
      </c>
      <c r="B1181" s="1" t="n">
        <v>43780</v>
      </c>
      <c r="C1181" s="1" t="n">
        <v>45350</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60208-2019</t>
        </is>
      </c>
      <c r="B1182" s="1" t="n">
        <v>43780</v>
      </c>
      <c r="C1182" s="1" t="n">
        <v>45350</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60842-2019</t>
        </is>
      </c>
      <c r="B1183" s="1" t="n">
        <v>43781</v>
      </c>
      <c r="C1183" s="1" t="n">
        <v>45350</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60844-2019</t>
        </is>
      </c>
      <c r="B1184" s="1" t="n">
        <v>43781</v>
      </c>
      <c r="C1184" s="1" t="n">
        <v>45350</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61657-2019</t>
        </is>
      </c>
      <c r="B1185" s="1" t="n">
        <v>43784</v>
      </c>
      <c r="C1185" s="1" t="n">
        <v>45350</v>
      </c>
      <c r="D1185" t="inlineStr">
        <is>
          <t>STOCKHOLMS LÄN</t>
        </is>
      </c>
      <c r="E1185" t="inlineStr">
        <is>
          <t>NORRTÄLJE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62848-2019</t>
        </is>
      </c>
      <c r="B1186" s="1" t="n">
        <v>43790</v>
      </c>
      <c r="C1186" s="1" t="n">
        <v>45350</v>
      </c>
      <c r="D1186" t="inlineStr">
        <is>
          <t>STOCKHOLMS LÄN</t>
        </is>
      </c>
      <c r="E1186" t="inlineStr">
        <is>
          <t>NORRTÄLJE</t>
        </is>
      </c>
      <c r="F1186" t="inlineStr">
        <is>
          <t>Holmen skog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62980-2019</t>
        </is>
      </c>
      <c r="B1187" s="1" t="n">
        <v>43790</v>
      </c>
      <c r="C1187" s="1" t="n">
        <v>45350</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63513-2019</t>
        </is>
      </c>
      <c r="B1188" s="1" t="n">
        <v>43794</v>
      </c>
      <c r="C1188" s="1" t="n">
        <v>45350</v>
      </c>
      <c r="D1188" t="inlineStr">
        <is>
          <t>STOCKHOLMS LÄN</t>
        </is>
      </c>
      <c r="E1188" t="inlineStr">
        <is>
          <t>NORRTÄLJE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63529-2019</t>
        </is>
      </c>
      <c r="B1189" s="1" t="n">
        <v>43794</v>
      </c>
      <c r="C1189" s="1" t="n">
        <v>45350</v>
      </c>
      <c r="D1189" t="inlineStr">
        <is>
          <t>STOCKHOLMS LÄN</t>
        </is>
      </c>
      <c r="E1189" t="inlineStr">
        <is>
          <t>NORRTÄLJE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63370-2019</t>
        </is>
      </c>
      <c r="B1190" s="1" t="n">
        <v>43794</v>
      </c>
      <c r="C1190" s="1" t="n">
        <v>45350</v>
      </c>
      <c r="D1190" t="inlineStr">
        <is>
          <t>STOCKHOLMS LÄN</t>
        </is>
      </c>
      <c r="E1190" t="inlineStr">
        <is>
          <t>UPPLANDS-BRO</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63495-2019</t>
        </is>
      </c>
      <c r="B1191" s="1" t="n">
        <v>43794</v>
      </c>
      <c r="C1191" s="1" t="n">
        <v>45350</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63504-2019</t>
        </is>
      </c>
      <c r="B1192" s="1" t="n">
        <v>43794</v>
      </c>
      <c r="C1192" s="1" t="n">
        <v>45350</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63528-2019</t>
        </is>
      </c>
      <c r="B1193" s="1" t="n">
        <v>43794</v>
      </c>
      <c r="C1193" s="1" t="n">
        <v>45350</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63515-2019</t>
        </is>
      </c>
      <c r="B1194" s="1" t="n">
        <v>43794</v>
      </c>
      <c r="C1194" s="1" t="n">
        <v>45350</v>
      </c>
      <c r="D1194" t="inlineStr">
        <is>
          <t>STOCKHOLMS LÄN</t>
        </is>
      </c>
      <c r="E1194" t="inlineStr">
        <is>
          <t>NORRTÄLJE</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63745-2019</t>
        </is>
      </c>
      <c r="B1195" s="1" t="n">
        <v>43795</v>
      </c>
      <c r="C1195" s="1" t="n">
        <v>45350</v>
      </c>
      <c r="D1195" t="inlineStr">
        <is>
          <t>STOCKHOLMS LÄN</t>
        </is>
      </c>
      <c r="E1195" t="inlineStr">
        <is>
          <t>UPPLANDS-BRO</t>
        </is>
      </c>
      <c r="F1195" t="inlineStr">
        <is>
          <t>Övriga statliga verk och myndigheter</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64293-2019</t>
        </is>
      </c>
      <c r="B1196" s="1" t="n">
        <v>43797</v>
      </c>
      <c r="C1196" s="1" t="n">
        <v>45350</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64617-2019</t>
        </is>
      </c>
      <c r="B1197" s="1" t="n">
        <v>43798</v>
      </c>
      <c r="C1197" s="1" t="n">
        <v>45350</v>
      </c>
      <c r="D1197" t="inlineStr">
        <is>
          <t>STOCKHOLMS LÄN</t>
        </is>
      </c>
      <c r="E1197" t="inlineStr">
        <is>
          <t>NYNÄSHAMN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64490-2019</t>
        </is>
      </c>
      <c r="B1198" s="1" t="n">
        <v>43798</v>
      </c>
      <c r="C1198" s="1" t="n">
        <v>45350</v>
      </c>
      <c r="D1198" t="inlineStr">
        <is>
          <t>STOCKHOLMS LÄN</t>
        </is>
      </c>
      <c r="E1198" t="inlineStr">
        <is>
          <t>NYKVARN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64656-2019</t>
        </is>
      </c>
      <c r="B1199" s="1" t="n">
        <v>43798</v>
      </c>
      <c r="C1199" s="1" t="n">
        <v>45350</v>
      </c>
      <c r="D1199" t="inlineStr">
        <is>
          <t>STOCKHOLMS LÄN</t>
        </is>
      </c>
      <c r="E1199" t="inlineStr">
        <is>
          <t>EKERÖ</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65405-2019</t>
        </is>
      </c>
      <c r="B1200" s="1" t="n">
        <v>43798</v>
      </c>
      <c r="C1200" s="1" t="n">
        <v>45350</v>
      </c>
      <c r="D1200" t="inlineStr">
        <is>
          <t>STOCKHOLMS LÄN</t>
        </is>
      </c>
      <c r="E1200" t="inlineStr">
        <is>
          <t>UPPLANDS-BRO</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64901-2019</t>
        </is>
      </c>
      <c r="B1201" s="1" t="n">
        <v>43801</v>
      </c>
      <c r="C1201" s="1" t="n">
        <v>45350</v>
      </c>
      <c r="D1201" t="inlineStr">
        <is>
          <t>STOCKHOLMS LÄN</t>
        </is>
      </c>
      <c r="E1201" t="inlineStr">
        <is>
          <t>SIGTUNA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64995-2019</t>
        </is>
      </c>
      <c r="B1202" s="1" t="n">
        <v>43801</v>
      </c>
      <c r="C1202" s="1" t="n">
        <v>45350</v>
      </c>
      <c r="D1202" t="inlineStr">
        <is>
          <t>STOCKHOLMS LÄN</t>
        </is>
      </c>
      <c r="E1202" t="inlineStr">
        <is>
          <t>SÖDERTÄLJE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64938-2019</t>
        </is>
      </c>
      <c r="B1203" s="1" t="n">
        <v>43801</v>
      </c>
      <c r="C1203" s="1" t="n">
        <v>45350</v>
      </c>
      <c r="D1203" t="inlineStr">
        <is>
          <t>STOCKHOLMS LÄN</t>
        </is>
      </c>
      <c r="E1203" t="inlineStr">
        <is>
          <t>SÖDERTÄLJE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64898-2019</t>
        </is>
      </c>
      <c r="B1204" s="1" t="n">
        <v>43801</v>
      </c>
      <c r="C1204" s="1" t="n">
        <v>45350</v>
      </c>
      <c r="D1204" t="inlineStr">
        <is>
          <t>STOCKHOLMS LÄN</t>
        </is>
      </c>
      <c r="E1204" t="inlineStr">
        <is>
          <t>SIGTUNA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65577-2019</t>
        </is>
      </c>
      <c r="B1205" s="1" t="n">
        <v>43803</v>
      </c>
      <c r="C1205" s="1" t="n">
        <v>45350</v>
      </c>
      <c r="D1205" t="inlineStr">
        <is>
          <t>STOCKHOLMS LÄN</t>
        </is>
      </c>
      <c r="E1205" t="inlineStr">
        <is>
          <t>NYKVARN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65640-2019</t>
        </is>
      </c>
      <c r="B1206" s="1" t="n">
        <v>43804</v>
      </c>
      <c r="C1206" s="1" t="n">
        <v>45350</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65998-2019</t>
        </is>
      </c>
      <c r="B1207" s="1" t="n">
        <v>43805</v>
      </c>
      <c r="C1207" s="1" t="n">
        <v>45350</v>
      </c>
      <c r="D1207" t="inlineStr">
        <is>
          <t>STOCKHOLMS LÄN</t>
        </is>
      </c>
      <c r="E1207" t="inlineStr">
        <is>
          <t>NORRTÄLJE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67111-2019</t>
        </is>
      </c>
      <c r="B1208" s="1" t="n">
        <v>43807</v>
      </c>
      <c r="C1208" s="1" t="n">
        <v>45350</v>
      </c>
      <c r="D1208" t="inlineStr">
        <is>
          <t>STOCKHOLMS LÄN</t>
        </is>
      </c>
      <c r="E1208" t="inlineStr">
        <is>
          <t>HANINGE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66604-2019</t>
        </is>
      </c>
      <c r="B1209" s="1" t="n">
        <v>43809</v>
      </c>
      <c r="C1209" s="1" t="n">
        <v>45350</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66603-2019</t>
        </is>
      </c>
      <c r="B1210" s="1" t="n">
        <v>43809</v>
      </c>
      <c r="C1210" s="1" t="n">
        <v>45350</v>
      </c>
      <c r="D1210" t="inlineStr">
        <is>
          <t>STOCKHOLMS LÄN</t>
        </is>
      </c>
      <c r="E1210" t="inlineStr">
        <is>
          <t>EKERÖ</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66599-2019</t>
        </is>
      </c>
      <c r="B1211" s="1" t="n">
        <v>43809</v>
      </c>
      <c r="C1211" s="1" t="n">
        <v>45350</v>
      </c>
      <c r="D1211" t="inlineStr">
        <is>
          <t>STOCKHOLMS LÄN</t>
        </is>
      </c>
      <c r="E1211" t="inlineStr">
        <is>
          <t>EKERÖ</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66589-2019</t>
        </is>
      </c>
      <c r="B1212" s="1" t="n">
        <v>43809</v>
      </c>
      <c r="C1212" s="1" t="n">
        <v>45350</v>
      </c>
      <c r="D1212" t="inlineStr">
        <is>
          <t>STOCKHOLMS LÄN</t>
        </is>
      </c>
      <c r="E1212" t="inlineStr">
        <is>
          <t>NYNÄSHAMN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67158-2019</t>
        </is>
      </c>
      <c r="B1213" s="1" t="n">
        <v>43811</v>
      </c>
      <c r="C1213" s="1" t="n">
        <v>45350</v>
      </c>
      <c r="D1213" t="inlineStr">
        <is>
          <t>STOCKHOLMS LÄN</t>
        </is>
      </c>
      <c r="E1213" t="inlineStr">
        <is>
          <t>NORRTÄLJE</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67324-2019</t>
        </is>
      </c>
      <c r="B1214" s="1" t="n">
        <v>43812</v>
      </c>
      <c r="C1214" s="1" t="n">
        <v>45350</v>
      </c>
      <c r="D1214" t="inlineStr">
        <is>
          <t>STOCKHOLMS LÄN</t>
        </is>
      </c>
      <c r="E1214" t="inlineStr">
        <is>
          <t>NORRTÄLJE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68011-2019</t>
        </is>
      </c>
      <c r="B1215" s="1" t="n">
        <v>43816</v>
      </c>
      <c r="C1215" s="1" t="n">
        <v>45350</v>
      </c>
      <c r="D1215" t="inlineStr">
        <is>
          <t>STOCKHOLMS LÄN</t>
        </is>
      </c>
      <c r="E1215" t="inlineStr">
        <is>
          <t>HANINGE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68105-2019</t>
        </is>
      </c>
      <c r="B1216" s="1" t="n">
        <v>43817</v>
      </c>
      <c r="C1216" s="1" t="n">
        <v>45350</v>
      </c>
      <c r="D1216" t="inlineStr">
        <is>
          <t>STOCKHOLMS LÄN</t>
        </is>
      </c>
      <c r="E1216" t="inlineStr">
        <is>
          <t>ÖSTERÅKER</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68121-2019</t>
        </is>
      </c>
      <c r="B1217" s="1" t="n">
        <v>43817</v>
      </c>
      <c r="C1217" s="1" t="n">
        <v>45350</v>
      </c>
      <c r="D1217" t="inlineStr">
        <is>
          <t>STOCKHOLMS LÄN</t>
        </is>
      </c>
      <c r="E1217" t="inlineStr">
        <is>
          <t>ÖSTERÅKER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68129-2019</t>
        </is>
      </c>
      <c r="B1218" s="1" t="n">
        <v>43817</v>
      </c>
      <c r="C1218" s="1" t="n">
        <v>45350</v>
      </c>
      <c r="D1218" t="inlineStr">
        <is>
          <t>STOCKHOLMS LÄN</t>
        </is>
      </c>
      <c r="E1218" t="inlineStr">
        <is>
          <t>VALLENTUNA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68109-2019</t>
        </is>
      </c>
      <c r="B1219" s="1" t="n">
        <v>43817</v>
      </c>
      <c r="C1219" s="1" t="n">
        <v>45350</v>
      </c>
      <c r="D1219" t="inlineStr">
        <is>
          <t>STOCKHOLMS LÄN</t>
        </is>
      </c>
      <c r="E1219" t="inlineStr">
        <is>
          <t>ÖSTERÅKER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68123-2019</t>
        </is>
      </c>
      <c r="B1220" s="1" t="n">
        <v>43817</v>
      </c>
      <c r="C1220" s="1" t="n">
        <v>45350</v>
      </c>
      <c r="D1220" t="inlineStr">
        <is>
          <t>STOCKHOLMS LÄN</t>
        </is>
      </c>
      <c r="E1220" t="inlineStr">
        <is>
          <t>ÖSTERÅKER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68122-2019</t>
        </is>
      </c>
      <c r="B1221" s="1" t="n">
        <v>43817</v>
      </c>
      <c r="C1221" s="1" t="n">
        <v>45350</v>
      </c>
      <c r="D1221" t="inlineStr">
        <is>
          <t>STOCKHOLMS LÄN</t>
        </is>
      </c>
      <c r="E1221" t="inlineStr">
        <is>
          <t>ÖSTERÅKER</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68236-2019</t>
        </is>
      </c>
      <c r="B1222" s="1" t="n">
        <v>43817</v>
      </c>
      <c r="C1222" s="1" t="n">
        <v>45350</v>
      </c>
      <c r="D1222" t="inlineStr">
        <is>
          <t>STOCKHOLMS LÄN</t>
        </is>
      </c>
      <c r="E1222" t="inlineStr">
        <is>
          <t>UPPLANDS-BRO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68104-2019</t>
        </is>
      </c>
      <c r="B1223" s="1" t="n">
        <v>43817</v>
      </c>
      <c r="C1223" s="1" t="n">
        <v>45350</v>
      </c>
      <c r="D1223" t="inlineStr">
        <is>
          <t>STOCKHOLMS LÄN</t>
        </is>
      </c>
      <c r="E1223" t="inlineStr">
        <is>
          <t>ÖSTERÅKER</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68825-2019</t>
        </is>
      </c>
      <c r="B1224" s="1" t="n">
        <v>43819</v>
      </c>
      <c r="C1224" s="1" t="n">
        <v>45350</v>
      </c>
      <c r="D1224" t="inlineStr">
        <is>
          <t>STOCKHOLMS LÄN</t>
        </is>
      </c>
      <c r="E1224" t="inlineStr">
        <is>
          <t>SIGTUNA</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68826-2019</t>
        </is>
      </c>
      <c r="B1225" s="1" t="n">
        <v>43819</v>
      </c>
      <c r="C1225" s="1" t="n">
        <v>45350</v>
      </c>
      <c r="D1225" t="inlineStr">
        <is>
          <t>STOCKHOLMS LÄN</t>
        </is>
      </c>
      <c r="E1225" t="inlineStr">
        <is>
          <t>SIGTUNA</t>
        </is>
      </c>
      <c r="F1225" t="inlineStr">
        <is>
          <t>Kyrkan</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68829-2019</t>
        </is>
      </c>
      <c r="B1226" s="1" t="n">
        <v>43819</v>
      </c>
      <c r="C1226" s="1" t="n">
        <v>45350</v>
      </c>
      <c r="D1226" t="inlineStr">
        <is>
          <t>STOCKHOLMS LÄN</t>
        </is>
      </c>
      <c r="E1226" t="inlineStr">
        <is>
          <t>SIGTUNA</t>
        </is>
      </c>
      <c r="F1226" t="inlineStr">
        <is>
          <t>Kyrkan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68865-2019</t>
        </is>
      </c>
      <c r="B1227" s="1" t="n">
        <v>43821</v>
      </c>
      <c r="C1227" s="1" t="n">
        <v>45350</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1099-2020</t>
        </is>
      </c>
      <c r="B1228" s="1" t="n">
        <v>43822</v>
      </c>
      <c r="C1228" s="1" t="n">
        <v>45350</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292-2020</t>
        </is>
      </c>
      <c r="B1229" s="1" t="n">
        <v>43837</v>
      </c>
      <c r="C1229" s="1" t="n">
        <v>45350</v>
      </c>
      <c r="D1229" t="inlineStr">
        <is>
          <t>STOCKHOLMS LÄN</t>
        </is>
      </c>
      <c r="E1229" t="inlineStr">
        <is>
          <t>EKERÖ</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461-2020</t>
        </is>
      </c>
      <c r="B1230" s="1" t="n">
        <v>43837</v>
      </c>
      <c r="C1230" s="1" t="n">
        <v>45350</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464-2020</t>
        </is>
      </c>
      <c r="B1231" s="1" t="n">
        <v>43837</v>
      </c>
      <c r="C1231" s="1" t="n">
        <v>45350</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630-2020</t>
        </is>
      </c>
      <c r="B1232" s="1" t="n">
        <v>43838</v>
      </c>
      <c r="C1232" s="1" t="n">
        <v>45350</v>
      </c>
      <c r="D1232" t="inlineStr">
        <is>
          <t>STOCKHOLMS LÄN</t>
        </is>
      </c>
      <c r="E1232" t="inlineStr">
        <is>
          <t>SÖDERTÄLJE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2559-2020</t>
        </is>
      </c>
      <c r="B1233" s="1" t="n">
        <v>43843</v>
      </c>
      <c r="C1233" s="1" t="n">
        <v>45350</v>
      </c>
      <c r="D1233" t="inlineStr">
        <is>
          <t>STOCKHOLMS LÄN</t>
        </is>
      </c>
      <c r="E1233" t="inlineStr">
        <is>
          <t>SÖDERTÄLJE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1388-2020</t>
        </is>
      </c>
      <c r="B1234" s="1" t="n">
        <v>43843</v>
      </c>
      <c r="C1234" s="1" t="n">
        <v>45350</v>
      </c>
      <c r="D1234" t="inlineStr">
        <is>
          <t>STOCKHOLMS LÄN</t>
        </is>
      </c>
      <c r="E1234" t="inlineStr">
        <is>
          <t>VÄRMDÖ</t>
        </is>
      </c>
      <c r="F1234" t="inlineStr">
        <is>
          <t>Övriga statliga verk och myndigheter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1669-2020</t>
        </is>
      </c>
      <c r="B1235" s="1" t="n">
        <v>43844</v>
      </c>
      <c r="C1235" s="1" t="n">
        <v>45350</v>
      </c>
      <c r="D1235" t="inlineStr">
        <is>
          <t>STOCKHOLMS LÄN</t>
        </is>
      </c>
      <c r="E1235" t="inlineStr">
        <is>
          <t>NYNÄSHAMN</t>
        </is>
      </c>
      <c r="F1235" t="inlineStr">
        <is>
          <t>Övriga statliga verk och myndigheter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1789-2020</t>
        </is>
      </c>
      <c r="B1236" s="1" t="n">
        <v>43844</v>
      </c>
      <c r="C1236" s="1" t="n">
        <v>45350</v>
      </c>
      <c r="D1236" t="inlineStr">
        <is>
          <t>STOCKHOLMS LÄN</t>
        </is>
      </c>
      <c r="E1236" t="inlineStr">
        <is>
          <t>NYNÄSHAMN</t>
        </is>
      </c>
      <c r="F1236" t="inlineStr">
        <is>
          <t>Övriga statliga verk och myndigheter</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1811-2020</t>
        </is>
      </c>
      <c r="B1237" s="1" t="n">
        <v>43844</v>
      </c>
      <c r="C1237" s="1" t="n">
        <v>45350</v>
      </c>
      <c r="D1237" t="inlineStr">
        <is>
          <t>STOCKHOLMS LÄN</t>
        </is>
      </c>
      <c r="E1237" t="inlineStr">
        <is>
          <t>SÖDERTÄLJE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2554-2020</t>
        </is>
      </c>
      <c r="B1238" s="1" t="n">
        <v>43847</v>
      </c>
      <c r="C1238" s="1" t="n">
        <v>45350</v>
      </c>
      <c r="D1238" t="inlineStr">
        <is>
          <t>STOCKHOLMS LÄN</t>
        </is>
      </c>
      <c r="E1238" t="inlineStr">
        <is>
          <t>BOTKYRKA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2671-2020</t>
        </is>
      </c>
      <c r="B1239" s="1" t="n">
        <v>43849</v>
      </c>
      <c r="C1239" s="1" t="n">
        <v>45350</v>
      </c>
      <c r="D1239" t="inlineStr">
        <is>
          <t>STOCKHOLMS LÄN</t>
        </is>
      </c>
      <c r="E1239" t="inlineStr">
        <is>
          <t>NYNÄSHAMN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4475-2020</t>
        </is>
      </c>
      <c r="B1240" s="1" t="n">
        <v>43849</v>
      </c>
      <c r="C1240" s="1" t="n">
        <v>45350</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2808-2020</t>
        </is>
      </c>
      <c r="B1241" s="1" t="n">
        <v>43850</v>
      </c>
      <c r="C1241" s="1" t="n">
        <v>45350</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2810-2020</t>
        </is>
      </c>
      <c r="B1242" s="1" t="n">
        <v>43850</v>
      </c>
      <c r="C1242" s="1" t="n">
        <v>45350</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2803-2020</t>
        </is>
      </c>
      <c r="B1243" s="1" t="n">
        <v>43850</v>
      </c>
      <c r="C1243" s="1" t="n">
        <v>45350</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3144-2020</t>
        </is>
      </c>
      <c r="B1244" s="1" t="n">
        <v>43851</v>
      </c>
      <c r="C1244" s="1" t="n">
        <v>45350</v>
      </c>
      <c r="D1244" t="inlineStr">
        <is>
          <t>STOCKHOLMS LÄN</t>
        </is>
      </c>
      <c r="E1244" t="inlineStr">
        <is>
          <t>NYNÄSHAMN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3882-2020</t>
        </is>
      </c>
      <c r="B1245" s="1" t="n">
        <v>43854</v>
      </c>
      <c r="C1245" s="1" t="n">
        <v>45350</v>
      </c>
      <c r="D1245" t="inlineStr">
        <is>
          <t>STOCKHOLMS LÄN</t>
        </is>
      </c>
      <c r="E1245" t="inlineStr">
        <is>
          <t>NORRTÄLJE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3952-2020</t>
        </is>
      </c>
      <c r="B1246" s="1" t="n">
        <v>43854</v>
      </c>
      <c r="C1246" s="1" t="n">
        <v>45350</v>
      </c>
      <c r="D1246" t="inlineStr">
        <is>
          <t>STOCKHOLMS LÄN</t>
        </is>
      </c>
      <c r="E1246" t="inlineStr">
        <is>
          <t>NYNÄSHAMN</t>
        </is>
      </c>
      <c r="F1246" t="inlineStr">
        <is>
          <t>Övriga statliga verk och myndigheter</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4094-2020</t>
        </is>
      </c>
      <c r="B1247" s="1" t="n">
        <v>43857</v>
      </c>
      <c r="C1247" s="1" t="n">
        <v>45350</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4115-2020</t>
        </is>
      </c>
      <c r="B1248" s="1" t="n">
        <v>43857</v>
      </c>
      <c r="C1248" s="1" t="n">
        <v>45350</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4353-2020</t>
        </is>
      </c>
      <c r="B1249" s="1" t="n">
        <v>43857</v>
      </c>
      <c r="C1249" s="1" t="n">
        <v>45350</v>
      </c>
      <c r="D1249" t="inlineStr">
        <is>
          <t>STOCKHOLMS LÄN</t>
        </is>
      </c>
      <c r="E1249" t="inlineStr">
        <is>
          <t>EKERÖ</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4300-2020</t>
        </is>
      </c>
      <c r="B1250" s="1" t="n">
        <v>43857</v>
      </c>
      <c r="C1250" s="1" t="n">
        <v>45350</v>
      </c>
      <c r="D1250" t="inlineStr">
        <is>
          <t>STOCKHOLMS LÄN</t>
        </is>
      </c>
      <c r="E1250" t="inlineStr">
        <is>
          <t>HANINGE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4431-2020</t>
        </is>
      </c>
      <c r="B1251" s="1" t="n">
        <v>43858</v>
      </c>
      <c r="C1251" s="1" t="n">
        <v>45350</v>
      </c>
      <c r="D1251" t="inlineStr">
        <is>
          <t>STOCKHOLMS LÄN</t>
        </is>
      </c>
      <c r="E1251" t="inlineStr">
        <is>
          <t>HANINGE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4444-2020</t>
        </is>
      </c>
      <c r="B1252" s="1" t="n">
        <v>43858</v>
      </c>
      <c r="C1252" s="1" t="n">
        <v>45350</v>
      </c>
      <c r="D1252" t="inlineStr">
        <is>
          <t>STOCKHOLMS LÄN</t>
        </is>
      </c>
      <c r="E1252" t="inlineStr">
        <is>
          <t>HANINGE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4950-2020</t>
        </is>
      </c>
      <c r="B1253" s="1" t="n">
        <v>43859</v>
      </c>
      <c r="C1253" s="1" t="n">
        <v>45350</v>
      </c>
      <c r="D1253" t="inlineStr">
        <is>
          <t>STOCKHOLMS LÄN</t>
        </is>
      </c>
      <c r="E1253" t="inlineStr">
        <is>
          <t>NORRTÄLJE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5084-2020</t>
        </is>
      </c>
      <c r="B1254" s="1" t="n">
        <v>43859</v>
      </c>
      <c r="C1254" s="1" t="n">
        <v>45350</v>
      </c>
      <c r="D1254" t="inlineStr">
        <is>
          <t>STOCKHOLMS LÄN</t>
        </is>
      </c>
      <c r="E1254" t="inlineStr">
        <is>
          <t>NORRTÄLJE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4952-2020</t>
        </is>
      </c>
      <c r="B1255" s="1" t="n">
        <v>43859</v>
      </c>
      <c r="C1255" s="1" t="n">
        <v>45350</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5406-2020</t>
        </is>
      </c>
      <c r="B1256" s="1" t="n">
        <v>43860</v>
      </c>
      <c r="C1256" s="1" t="n">
        <v>45350</v>
      </c>
      <c r="D1256" t="inlineStr">
        <is>
          <t>STOCKHOLMS LÄN</t>
        </is>
      </c>
      <c r="E1256" t="inlineStr">
        <is>
          <t>NYNÄSHAMN</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5735-2020</t>
        </is>
      </c>
      <c r="B1257" s="1" t="n">
        <v>43863</v>
      </c>
      <c r="C1257" s="1" t="n">
        <v>45350</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5733-2020</t>
        </is>
      </c>
      <c r="B1258" s="1" t="n">
        <v>43863</v>
      </c>
      <c r="C1258" s="1" t="n">
        <v>45350</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5739-2020</t>
        </is>
      </c>
      <c r="B1259" s="1" t="n">
        <v>43863</v>
      </c>
      <c r="C1259" s="1" t="n">
        <v>45350</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5929-2020</t>
        </is>
      </c>
      <c r="B1260" s="1" t="n">
        <v>43864</v>
      </c>
      <c r="C1260" s="1" t="n">
        <v>45350</v>
      </c>
      <c r="D1260" t="inlineStr">
        <is>
          <t>STOCKHOLMS LÄN</t>
        </is>
      </c>
      <c r="E1260" t="inlineStr">
        <is>
          <t>ÖSTERÅKER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5953-2020</t>
        </is>
      </c>
      <c r="B1261" s="1" t="n">
        <v>43864</v>
      </c>
      <c r="C1261" s="1" t="n">
        <v>45350</v>
      </c>
      <c r="D1261" t="inlineStr">
        <is>
          <t>STOCKHOLMS LÄN</t>
        </is>
      </c>
      <c r="E1261" t="inlineStr">
        <is>
          <t>BOTKYRKA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6219-2020</t>
        </is>
      </c>
      <c r="B1262" s="1" t="n">
        <v>43865</v>
      </c>
      <c r="C1262" s="1" t="n">
        <v>45350</v>
      </c>
      <c r="D1262" t="inlineStr">
        <is>
          <t>STOCKHOLMS LÄN</t>
        </is>
      </c>
      <c r="E1262" t="inlineStr">
        <is>
          <t>NYNÄSHAMN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6370-2020</t>
        </is>
      </c>
      <c r="B1263" s="1" t="n">
        <v>43866</v>
      </c>
      <c r="C1263" s="1" t="n">
        <v>45350</v>
      </c>
      <c r="D1263" t="inlineStr">
        <is>
          <t>STOCKHOLMS LÄN</t>
        </is>
      </c>
      <c r="E1263" t="inlineStr">
        <is>
          <t>UPPLANDS-BRO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6357-2020</t>
        </is>
      </c>
      <c r="B1264" s="1" t="n">
        <v>43866</v>
      </c>
      <c r="C1264" s="1" t="n">
        <v>45350</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6707-2020</t>
        </is>
      </c>
      <c r="B1265" s="1" t="n">
        <v>43867</v>
      </c>
      <c r="C1265" s="1" t="n">
        <v>45350</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7150-2020</t>
        </is>
      </c>
      <c r="B1266" s="1" t="n">
        <v>43869</v>
      </c>
      <c r="C1266" s="1" t="n">
        <v>45350</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7151-2020</t>
        </is>
      </c>
      <c r="B1267" s="1" t="n">
        <v>43869</v>
      </c>
      <c r="C1267" s="1" t="n">
        <v>45350</v>
      </c>
      <c r="D1267" t="inlineStr">
        <is>
          <t>STOCKHOLMS LÄN</t>
        </is>
      </c>
      <c r="E1267" t="inlineStr">
        <is>
          <t>NYNÄSHAMN</t>
        </is>
      </c>
      <c r="F1267" t="inlineStr">
        <is>
          <t>Kommuner</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7354-2020</t>
        </is>
      </c>
      <c r="B1268" s="1" t="n">
        <v>43871</v>
      </c>
      <c r="C1268" s="1" t="n">
        <v>45350</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7479-2020</t>
        </is>
      </c>
      <c r="B1269" s="1" t="n">
        <v>43871</v>
      </c>
      <c r="C1269" s="1" t="n">
        <v>45350</v>
      </c>
      <c r="D1269" t="inlineStr">
        <is>
          <t>STOCKHOLMS LÄN</t>
        </is>
      </c>
      <c r="E1269" t="inlineStr">
        <is>
          <t>VALLENTUNA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7486-2020</t>
        </is>
      </c>
      <c r="B1270" s="1" t="n">
        <v>43871</v>
      </c>
      <c r="C1270" s="1" t="n">
        <v>45350</v>
      </c>
      <c r="D1270" t="inlineStr">
        <is>
          <t>STOCKHOLMS LÄN</t>
        </is>
      </c>
      <c r="E1270" t="inlineStr">
        <is>
          <t>VALLENTUNA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7471-2020</t>
        </is>
      </c>
      <c r="B1271" s="1" t="n">
        <v>43871</v>
      </c>
      <c r="C1271" s="1" t="n">
        <v>45350</v>
      </c>
      <c r="D1271" t="inlineStr">
        <is>
          <t>STOCKHOLMS LÄN</t>
        </is>
      </c>
      <c r="E1271" t="inlineStr">
        <is>
          <t>NORRTÄLJE</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7484-2020</t>
        </is>
      </c>
      <c r="B1272" s="1" t="n">
        <v>43871</v>
      </c>
      <c r="C1272" s="1" t="n">
        <v>45350</v>
      </c>
      <c r="D1272" t="inlineStr">
        <is>
          <t>STOCKHOLMS LÄN</t>
        </is>
      </c>
      <c r="E1272" t="inlineStr">
        <is>
          <t>VALLENTUNA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7812-2020</t>
        </is>
      </c>
      <c r="B1273" s="1" t="n">
        <v>43873</v>
      </c>
      <c r="C1273" s="1" t="n">
        <v>45350</v>
      </c>
      <c r="D1273" t="inlineStr">
        <is>
          <t>STOCKHOLMS LÄN</t>
        </is>
      </c>
      <c r="E1273" t="inlineStr">
        <is>
          <t>SALEM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7923-2020</t>
        </is>
      </c>
      <c r="B1274" s="1" t="n">
        <v>43873</v>
      </c>
      <c r="C1274" s="1" t="n">
        <v>45350</v>
      </c>
      <c r="D1274" t="inlineStr">
        <is>
          <t>STOCKHOLMS LÄN</t>
        </is>
      </c>
      <c r="E1274" t="inlineStr">
        <is>
          <t>NYNÄSHAMN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7820-2020</t>
        </is>
      </c>
      <c r="B1275" s="1" t="n">
        <v>43873</v>
      </c>
      <c r="C1275" s="1" t="n">
        <v>45350</v>
      </c>
      <c r="D1275" t="inlineStr">
        <is>
          <t>STOCKHOLMS LÄN</t>
        </is>
      </c>
      <c r="E1275" t="inlineStr">
        <is>
          <t>SALEM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8366-2020</t>
        </is>
      </c>
      <c r="B1276" s="1" t="n">
        <v>43875</v>
      </c>
      <c r="C1276" s="1" t="n">
        <v>45350</v>
      </c>
      <c r="D1276" t="inlineStr">
        <is>
          <t>STOCKHOLMS LÄN</t>
        </is>
      </c>
      <c r="E1276" t="inlineStr">
        <is>
          <t>SÖDERTÄLJE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9109-2020</t>
        </is>
      </c>
      <c r="B1277" s="1" t="n">
        <v>43879</v>
      </c>
      <c r="C1277" s="1" t="n">
        <v>45350</v>
      </c>
      <c r="D1277" t="inlineStr">
        <is>
          <t>STOCKHOLMS LÄN</t>
        </is>
      </c>
      <c r="E1277" t="inlineStr">
        <is>
          <t>SALEM</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9116-2020</t>
        </is>
      </c>
      <c r="B1278" s="1" t="n">
        <v>43879</v>
      </c>
      <c r="C1278" s="1" t="n">
        <v>45350</v>
      </c>
      <c r="D1278" t="inlineStr">
        <is>
          <t>STOCKHOLMS LÄN</t>
        </is>
      </c>
      <c r="E1278" t="inlineStr">
        <is>
          <t>SALEM</t>
        </is>
      </c>
      <c r="F1278" t="inlineStr">
        <is>
          <t>Kommuner</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9845-2020</t>
        </is>
      </c>
      <c r="B1279" s="1" t="n">
        <v>43881</v>
      </c>
      <c r="C1279" s="1" t="n">
        <v>45350</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10007-2020</t>
        </is>
      </c>
      <c r="B1280" s="1" t="n">
        <v>43882</v>
      </c>
      <c r="C1280" s="1" t="n">
        <v>45350</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10244-2020</t>
        </is>
      </c>
      <c r="B1281" s="1" t="n">
        <v>43885</v>
      </c>
      <c r="C1281" s="1" t="n">
        <v>45350</v>
      </c>
      <c r="D1281" t="inlineStr">
        <is>
          <t>STOCKHOLMS LÄN</t>
        </is>
      </c>
      <c r="E1281" t="inlineStr">
        <is>
          <t>SIGTUNA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10396-2020</t>
        </is>
      </c>
      <c r="B1282" s="1" t="n">
        <v>43885</v>
      </c>
      <c r="C1282" s="1" t="n">
        <v>45350</v>
      </c>
      <c r="D1282" t="inlineStr">
        <is>
          <t>STOCKHOLMS LÄN</t>
        </is>
      </c>
      <c r="E1282" t="inlineStr">
        <is>
          <t>NYNÄSHAMN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10395-2020</t>
        </is>
      </c>
      <c r="B1283" s="1" t="n">
        <v>43885</v>
      </c>
      <c r="C1283" s="1" t="n">
        <v>45350</v>
      </c>
      <c r="D1283" t="inlineStr">
        <is>
          <t>STOCKHOLMS LÄN</t>
        </is>
      </c>
      <c r="E1283" t="inlineStr">
        <is>
          <t>EKERÖ</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10551-2020</t>
        </is>
      </c>
      <c r="B1284" s="1" t="n">
        <v>43887</v>
      </c>
      <c r="C1284" s="1" t="n">
        <v>45350</v>
      </c>
      <c r="D1284" t="inlineStr">
        <is>
          <t>STOCKHOLMS LÄN</t>
        </is>
      </c>
      <c r="E1284" t="inlineStr">
        <is>
          <t>SÖDERTÄLJE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10618-2020</t>
        </is>
      </c>
      <c r="B1285" s="1" t="n">
        <v>43887</v>
      </c>
      <c r="C1285" s="1" t="n">
        <v>45350</v>
      </c>
      <c r="D1285" t="inlineStr">
        <is>
          <t>STOCKHOLMS LÄN</t>
        </is>
      </c>
      <c r="E1285" t="inlineStr">
        <is>
          <t>NORRTÄLJE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10738-2020</t>
        </is>
      </c>
      <c r="B1286" s="1" t="n">
        <v>43888</v>
      </c>
      <c r="C1286" s="1" t="n">
        <v>45350</v>
      </c>
      <c r="D1286" t="inlineStr">
        <is>
          <t>STOCKHOLMS LÄN</t>
        </is>
      </c>
      <c r="E1286" t="inlineStr">
        <is>
          <t>SIGTUNA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10744-2020</t>
        </is>
      </c>
      <c r="B1287" s="1" t="n">
        <v>43888</v>
      </c>
      <c r="C1287" s="1" t="n">
        <v>45350</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10764-2020</t>
        </is>
      </c>
      <c r="B1288" s="1" t="n">
        <v>43888</v>
      </c>
      <c r="C1288" s="1" t="n">
        <v>45350</v>
      </c>
      <c r="D1288" t="inlineStr">
        <is>
          <t>STOCKHOLMS LÄN</t>
        </is>
      </c>
      <c r="E1288" t="inlineStr">
        <is>
          <t>ÖSTERÅKER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10790-2020</t>
        </is>
      </c>
      <c r="B1289" s="1" t="n">
        <v>43888</v>
      </c>
      <c r="C1289" s="1" t="n">
        <v>45350</v>
      </c>
      <c r="D1289" t="inlineStr">
        <is>
          <t>STOCKHOLMS LÄN</t>
        </is>
      </c>
      <c r="E1289" t="inlineStr">
        <is>
          <t>BOTKYRKA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10807-2020</t>
        </is>
      </c>
      <c r="B1290" s="1" t="n">
        <v>43888</v>
      </c>
      <c r="C1290" s="1" t="n">
        <v>45350</v>
      </c>
      <c r="D1290" t="inlineStr">
        <is>
          <t>STOCKHOLMS LÄN</t>
        </is>
      </c>
      <c r="E1290" t="inlineStr">
        <is>
          <t>BOTKYRKA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11184-2020</t>
        </is>
      </c>
      <c r="B1291" s="1" t="n">
        <v>43892</v>
      </c>
      <c r="C1291" s="1" t="n">
        <v>45350</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17552-2020</t>
        </is>
      </c>
      <c r="B1292" s="1" t="n">
        <v>43892</v>
      </c>
      <c r="C1292" s="1" t="n">
        <v>45350</v>
      </c>
      <c r="D1292" t="inlineStr">
        <is>
          <t>STOCKHOLMS LÄN</t>
        </is>
      </c>
      <c r="E1292" t="inlineStr">
        <is>
          <t>EKERÖ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17546-2020</t>
        </is>
      </c>
      <c r="B1293" s="1" t="n">
        <v>43892</v>
      </c>
      <c r="C1293" s="1" t="n">
        <v>45350</v>
      </c>
      <c r="D1293" t="inlineStr">
        <is>
          <t>STOCKHOLMS LÄN</t>
        </is>
      </c>
      <c r="E1293" t="inlineStr">
        <is>
          <t>EKERÖ</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11576-2020</t>
        </is>
      </c>
      <c r="B1294" s="1" t="n">
        <v>43893</v>
      </c>
      <c r="C1294" s="1" t="n">
        <v>45350</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12321-2020</t>
        </is>
      </c>
      <c r="B1295" s="1" t="n">
        <v>43895</v>
      </c>
      <c r="C1295" s="1" t="n">
        <v>45350</v>
      </c>
      <c r="D1295" t="inlineStr">
        <is>
          <t>STOCKHOLMS LÄN</t>
        </is>
      </c>
      <c r="E1295" t="inlineStr">
        <is>
          <t>BOTKYRKA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12320-2020</t>
        </is>
      </c>
      <c r="B1296" s="1" t="n">
        <v>43895</v>
      </c>
      <c r="C1296" s="1" t="n">
        <v>45350</v>
      </c>
      <c r="D1296" t="inlineStr">
        <is>
          <t>STOCKHOLMS LÄN</t>
        </is>
      </c>
      <c r="E1296" t="inlineStr">
        <is>
          <t>BOTKYRKA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12113-2020</t>
        </is>
      </c>
      <c r="B1297" s="1" t="n">
        <v>43895</v>
      </c>
      <c r="C1297" s="1" t="n">
        <v>45350</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12355-2020</t>
        </is>
      </c>
      <c r="B1298" s="1" t="n">
        <v>43896</v>
      </c>
      <c r="C1298" s="1" t="n">
        <v>45350</v>
      </c>
      <c r="D1298" t="inlineStr">
        <is>
          <t>STOCKHOLMS LÄN</t>
        </is>
      </c>
      <c r="E1298" t="inlineStr">
        <is>
          <t>HANINGE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12620-2020</t>
        </is>
      </c>
      <c r="B1299" s="1" t="n">
        <v>43899</v>
      </c>
      <c r="C1299" s="1" t="n">
        <v>45350</v>
      </c>
      <c r="D1299" t="inlineStr">
        <is>
          <t>STOCKHOLMS LÄN</t>
        </is>
      </c>
      <c r="E1299" t="inlineStr">
        <is>
          <t>HANINGE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12571-2020</t>
        </is>
      </c>
      <c r="B1300" s="1" t="n">
        <v>43899</v>
      </c>
      <c r="C1300" s="1" t="n">
        <v>45350</v>
      </c>
      <c r="D1300" t="inlineStr">
        <is>
          <t>STOCKHOLMS LÄN</t>
        </is>
      </c>
      <c r="E1300" t="inlineStr">
        <is>
          <t>NYNÄSHAMN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12987-2020</t>
        </is>
      </c>
      <c r="B1301" s="1" t="n">
        <v>43900</v>
      </c>
      <c r="C1301" s="1" t="n">
        <v>45350</v>
      </c>
      <c r="D1301" t="inlineStr">
        <is>
          <t>STOCKHOLMS LÄN</t>
        </is>
      </c>
      <c r="E1301" t="inlineStr">
        <is>
          <t>UPPLANDS VÄSBY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12970-2020</t>
        </is>
      </c>
      <c r="B1302" s="1" t="n">
        <v>43900</v>
      </c>
      <c r="C1302" s="1" t="n">
        <v>45350</v>
      </c>
      <c r="D1302" t="inlineStr">
        <is>
          <t>STOCKHOLMS LÄN</t>
        </is>
      </c>
      <c r="E1302" t="inlineStr">
        <is>
          <t>NORRTÄLJE</t>
        </is>
      </c>
      <c r="F1302" t="inlineStr">
        <is>
          <t>Kommuner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12984-2020</t>
        </is>
      </c>
      <c r="B1303" s="1" t="n">
        <v>43900</v>
      </c>
      <c r="C1303" s="1" t="n">
        <v>45350</v>
      </c>
      <c r="D1303" t="inlineStr">
        <is>
          <t>STOCKHOLMS LÄN</t>
        </is>
      </c>
      <c r="E1303" t="inlineStr">
        <is>
          <t>UPPLANDS VÄSBY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12988-2020</t>
        </is>
      </c>
      <c r="B1304" s="1" t="n">
        <v>43900</v>
      </c>
      <c r="C1304" s="1" t="n">
        <v>45350</v>
      </c>
      <c r="D1304" t="inlineStr">
        <is>
          <t>STOCKHOLMS LÄN</t>
        </is>
      </c>
      <c r="E1304" t="inlineStr">
        <is>
          <t>BOTKYRKA</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13230-2020</t>
        </is>
      </c>
      <c r="B1305" s="1" t="n">
        <v>43901</v>
      </c>
      <c r="C1305" s="1" t="n">
        <v>45350</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13287-2020</t>
        </is>
      </c>
      <c r="B1306" s="1" t="n">
        <v>43901</v>
      </c>
      <c r="C1306" s="1" t="n">
        <v>45350</v>
      </c>
      <c r="D1306" t="inlineStr">
        <is>
          <t>STOCKHOLMS LÄN</t>
        </is>
      </c>
      <c r="E1306" t="inlineStr">
        <is>
          <t>NORRTÄLJE</t>
        </is>
      </c>
      <c r="F1306" t="inlineStr">
        <is>
          <t>Kommuner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13281-2020</t>
        </is>
      </c>
      <c r="B1307" s="1" t="n">
        <v>43901</v>
      </c>
      <c r="C1307" s="1" t="n">
        <v>45350</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13501-2020</t>
        </is>
      </c>
      <c r="B1308" s="1" t="n">
        <v>43902</v>
      </c>
      <c r="C1308" s="1" t="n">
        <v>45350</v>
      </c>
      <c r="D1308" t="inlineStr">
        <is>
          <t>STOCKHOLMS LÄN</t>
        </is>
      </c>
      <c r="E1308" t="inlineStr">
        <is>
          <t>NORRTÄLJE</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13506-2020</t>
        </is>
      </c>
      <c r="B1309" s="1" t="n">
        <v>43902</v>
      </c>
      <c r="C1309" s="1" t="n">
        <v>45350</v>
      </c>
      <c r="D1309" t="inlineStr">
        <is>
          <t>STOCKHOLMS LÄN</t>
        </is>
      </c>
      <c r="E1309" t="inlineStr">
        <is>
          <t>NORRTÄLJE</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14637-2020</t>
        </is>
      </c>
      <c r="B1310" s="1" t="n">
        <v>43902</v>
      </c>
      <c r="C1310" s="1" t="n">
        <v>45350</v>
      </c>
      <c r="D1310" t="inlineStr">
        <is>
          <t>STOCKHOLMS LÄN</t>
        </is>
      </c>
      <c r="E1310" t="inlineStr">
        <is>
          <t>VALLENTUNA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13639-2020</t>
        </is>
      </c>
      <c r="B1311" s="1" t="n">
        <v>43903</v>
      </c>
      <c r="C1311" s="1" t="n">
        <v>45350</v>
      </c>
      <c r="D1311" t="inlineStr">
        <is>
          <t>STOCKHOLMS LÄN</t>
        </is>
      </c>
      <c r="E1311" t="inlineStr">
        <is>
          <t>NYNÄSHAMN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13679-2020</t>
        </is>
      </c>
      <c r="B1312" s="1" t="n">
        <v>43903</v>
      </c>
      <c r="C1312" s="1" t="n">
        <v>45350</v>
      </c>
      <c r="D1312" t="inlineStr">
        <is>
          <t>STOCKHOLMS LÄN</t>
        </is>
      </c>
      <c r="E1312" t="inlineStr">
        <is>
          <t>NYNÄSHAMN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13676-2020</t>
        </is>
      </c>
      <c r="B1313" s="1" t="n">
        <v>43903</v>
      </c>
      <c r="C1313" s="1" t="n">
        <v>45350</v>
      </c>
      <c r="D1313" t="inlineStr">
        <is>
          <t>STOCKHOLMS LÄN</t>
        </is>
      </c>
      <c r="E1313" t="inlineStr">
        <is>
          <t>NYNÄSHAMN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14037-2020</t>
        </is>
      </c>
      <c r="B1314" s="1" t="n">
        <v>43906</v>
      </c>
      <c r="C1314" s="1" t="n">
        <v>45350</v>
      </c>
      <c r="D1314" t="inlineStr">
        <is>
          <t>STOCKHOLMS LÄN</t>
        </is>
      </c>
      <c r="E1314" t="inlineStr">
        <is>
          <t>HANINGE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14512-2020</t>
        </is>
      </c>
      <c r="B1315" s="1" t="n">
        <v>43907</v>
      </c>
      <c r="C1315" s="1" t="n">
        <v>45350</v>
      </c>
      <c r="D1315" t="inlineStr">
        <is>
          <t>STOCKHOLMS LÄN</t>
        </is>
      </c>
      <c r="E1315" t="inlineStr">
        <is>
          <t>SIGTUNA</t>
        </is>
      </c>
      <c r="F1315" t="inlineStr">
        <is>
          <t>Övriga statliga verk och myndigheter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14525-2020</t>
        </is>
      </c>
      <c r="B1316" s="1" t="n">
        <v>43908</v>
      </c>
      <c r="C1316" s="1" t="n">
        <v>45350</v>
      </c>
      <c r="D1316" t="inlineStr">
        <is>
          <t>STOCKHOLMS LÄN</t>
        </is>
      </c>
      <c r="E1316" t="inlineStr">
        <is>
          <t>NORRTÄLJE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14565-2020</t>
        </is>
      </c>
      <c r="B1317" s="1" t="n">
        <v>43908</v>
      </c>
      <c r="C1317" s="1" t="n">
        <v>45350</v>
      </c>
      <c r="D1317" t="inlineStr">
        <is>
          <t>STOCKHOLMS LÄN</t>
        </is>
      </c>
      <c r="E1317" t="inlineStr">
        <is>
          <t>NORRTÄLJE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14831-2020</t>
        </is>
      </c>
      <c r="B1318" s="1" t="n">
        <v>43909</v>
      </c>
      <c r="C1318" s="1" t="n">
        <v>45350</v>
      </c>
      <c r="D1318" t="inlineStr">
        <is>
          <t>STOCKHOLMS LÄN</t>
        </is>
      </c>
      <c r="E1318" t="inlineStr">
        <is>
          <t>NORRTÄLJE</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15318-2020</t>
        </is>
      </c>
      <c r="B1319" s="1" t="n">
        <v>43913</v>
      </c>
      <c r="C1319" s="1" t="n">
        <v>45350</v>
      </c>
      <c r="D1319" t="inlineStr">
        <is>
          <t>STOCKHOLMS LÄN</t>
        </is>
      </c>
      <c r="E1319" t="inlineStr">
        <is>
          <t>HANINGE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15354-2020</t>
        </is>
      </c>
      <c r="B1320" s="1" t="n">
        <v>43913</v>
      </c>
      <c r="C1320" s="1" t="n">
        <v>45350</v>
      </c>
      <c r="D1320" t="inlineStr">
        <is>
          <t>STOCKHOLMS LÄN</t>
        </is>
      </c>
      <c r="E1320" t="inlineStr">
        <is>
          <t>NYNÄSHAMN</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15663-2020</t>
        </is>
      </c>
      <c r="B1321" s="1" t="n">
        <v>43915</v>
      </c>
      <c r="C1321" s="1" t="n">
        <v>45350</v>
      </c>
      <c r="D1321" t="inlineStr">
        <is>
          <t>STOCKHOLMS LÄN</t>
        </is>
      </c>
      <c r="E1321" t="inlineStr">
        <is>
          <t>NORRTÄLJE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15756-2020</t>
        </is>
      </c>
      <c r="B1322" s="1" t="n">
        <v>43915</v>
      </c>
      <c r="C1322" s="1" t="n">
        <v>45350</v>
      </c>
      <c r="D1322" t="inlineStr">
        <is>
          <t>STOCKHOLMS LÄN</t>
        </is>
      </c>
      <c r="E1322" t="inlineStr">
        <is>
          <t>EKERÖ</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15878-2020</t>
        </is>
      </c>
      <c r="B1323" s="1" t="n">
        <v>43915</v>
      </c>
      <c r="C1323" s="1" t="n">
        <v>45350</v>
      </c>
      <c r="D1323" t="inlineStr">
        <is>
          <t>STOCKHOLMS LÄN</t>
        </is>
      </c>
      <c r="E1323" t="inlineStr">
        <is>
          <t>NYKVARN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16048-2020</t>
        </is>
      </c>
      <c r="B1324" s="1" t="n">
        <v>43916</v>
      </c>
      <c r="C1324" s="1" t="n">
        <v>45350</v>
      </c>
      <c r="D1324" t="inlineStr">
        <is>
          <t>STOCKHOLMS LÄN</t>
        </is>
      </c>
      <c r="E1324" t="inlineStr">
        <is>
          <t>BOTKYRKA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16273-2020</t>
        </is>
      </c>
      <c r="B1325" s="1" t="n">
        <v>43917</v>
      </c>
      <c r="C1325" s="1" t="n">
        <v>45350</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17911-2020</t>
        </is>
      </c>
      <c r="B1326" s="1" t="n">
        <v>43924</v>
      </c>
      <c r="C1326" s="1" t="n">
        <v>45350</v>
      </c>
      <c r="D1326" t="inlineStr">
        <is>
          <t>STOCKHOLMS LÄN</t>
        </is>
      </c>
      <c r="E1326" t="inlineStr">
        <is>
          <t>NYKVARN</t>
        </is>
      </c>
      <c r="F1326" t="inlineStr">
        <is>
          <t>Kommuner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17926-2020</t>
        </is>
      </c>
      <c r="B1327" s="1" t="n">
        <v>43924</v>
      </c>
      <c r="C1327" s="1" t="n">
        <v>45350</v>
      </c>
      <c r="D1327" t="inlineStr">
        <is>
          <t>STOCKHOLMS LÄN</t>
        </is>
      </c>
      <c r="E1327" t="inlineStr">
        <is>
          <t>NYKVARN</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17965-2020</t>
        </is>
      </c>
      <c r="B1328" s="1" t="n">
        <v>43925</v>
      </c>
      <c r="C1328" s="1" t="n">
        <v>45350</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18821-2020</t>
        </is>
      </c>
      <c r="B1329" s="1" t="n">
        <v>43935</v>
      </c>
      <c r="C1329" s="1" t="n">
        <v>45350</v>
      </c>
      <c r="D1329" t="inlineStr">
        <is>
          <t>STOCKHOLMS LÄN</t>
        </is>
      </c>
      <c r="E1329" t="inlineStr">
        <is>
          <t>SALEM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19258-2020</t>
        </is>
      </c>
      <c r="B1330" s="1" t="n">
        <v>43937</v>
      </c>
      <c r="C1330" s="1" t="n">
        <v>45350</v>
      </c>
      <c r="D1330" t="inlineStr">
        <is>
          <t>STOCKHOLMS LÄN</t>
        </is>
      </c>
      <c r="E1330" t="inlineStr">
        <is>
          <t>NORRTÄLJE</t>
        </is>
      </c>
      <c r="F1330" t="inlineStr">
        <is>
          <t>Övriga statliga verk och myndigheter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19863-2020</t>
        </is>
      </c>
      <c r="B1331" s="1" t="n">
        <v>43942</v>
      </c>
      <c r="C1331" s="1" t="n">
        <v>45350</v>
      </c>
      <c r="D1331" t="inlineStr">
        <is>
          <t>STOCKHOLMS LÄN</t>
        </is>
      </c>
      <c r="E1331" t="inlineStr">
        <is>
          <t>VALLENTUNA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20196-2020</t>
        </is>
      </c>
      <c r="B1332" s="1" t="n">
        <v>43944</v>
      </c>
      <c r="C1332" s="1" t="n">
        <v>45350</v>
      </c>
      <c r="D1332" t="inlineStr">
        <is>
          <t>STOCKHOLMS LÄN</t>
        </is>
      </c>
      <c r="E1332" t="inlineStr">
        <is>
          <t>SÖDERTÄLJE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20257-2020</t>
        </is>
      </c>
      <c r="B1333" s="1" t="n">
        <v>43944</v>
      </c>
      <c r="C1333" s="1" t="n">
        <v>45350</v>
      </c>
      <c r="D1333" t="inlineStr">
        <is>
          <t>STOCKHOLMS LÄN</t>
        </is>
      </c>
      <c r="E1333" t="inlineStr">
        <is>
          <t>NORRTÄLJE</t>
        </is>
      </c>
      <c r="G1333" t="n">
        <v>80.09999999999999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20600-2020</t>
        </is>
      </c>
      <c r="B1334" s="1" t="n">
        <v>43948</v>
      </c>
      <c r="C1334" s="1" t="n">
        <v>45350</v>
      </c>
      <c r="D1334" t="inlineStr">
        <is>
          <t>STOCKHOLMS LÄN</t>
        </is>
      </c>
      <c r="E1334" t="inlineStr">
        <is>
          <t>NYNÄSHAMN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20673-2020</t>
        </is>
      </c>
      <c r="B1335" s="1" t="n">
        <v>43949</v>
      </c>
      <c r="C1335" s="1" t="n">
        <v>45350</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21374-2020</t>
        </is>
      </c>
      <c r="B1336" s="1" t="n">
        <v>43955</v>
      </c>
      <c r="C1336" s="1" t="n">
        <v>45350</v>
      </c>
      <c r="D1336" t="inlineStr">
        <is>
          <t>STOCKHOLMS LÄN</t>
        </is>
      </c>
      <c r="E1336" t="inlineStr">
        <is>
          <t>ÖSTERÅKER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21634-2020</t>
        </is>
      </c>
      <c r="B1337" s="1" t="n">
        <v>43956</v>
      </c>
      <c r="C1337" s="1" t="n">
        <v>45350</v>
      </c>
      <c r="D1337" t="inlineStr">
        <is>
          <t>STOCKHOLMS LÄN</t>
        </is>
      </c>
      <c r="E1337" t="inlineStr">
        <is>
          <t>NYKVARN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21645-2020</t>
        </is>
      </c>
      <c r="B1338" s="1" t="n">
        <v>43956</v>
      </c>
      <c r="C1338" s="1" t="n">
        <v>45350</v>
      </c>
      <c r="D1338" t="inlineStr">
        <is>
          <t>STOCKHOLMS LÄN</t>
        </is>
      </c>
      <c r="E1338" t="inlineStr">
        <is>
          <t>BOTKYRKA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21628-2020</t>
        </is>
      </c>
      <c r="B1339" s="1" t="n">
        <v>43956</v>
      </c>
      <c r="C1339" s="1" t="n">
        <v>45350</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21849-2020</t>
        </is>
      </c>
      <c r="B1340" s="1" t="n">
        <v>43958</v>
      </c>
      <c r="C1340" s="1" t="n">
        <v>45350</v>
      </c>
      <c r="D1340" t="inlineStr">
        <is>
          <t>STOCKHOLMS LÄN</t>
        </is>
      </c>
      <c r="E1340" t="inlineStr">
        <is>
          <t>NORRTÄLJE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21875-2020</t>
        </is>
      </c>
      <c r="B1341" s="1" t="n">
        <v>43958</v>
      </c>
      <c r="C1341" s="1" t="n">
        <v>45350</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23098-2020</t>
        </is>
      </c>
      <c r="B1342" s="1" t="n">
        <v>43965</v>
      </c>
      <c r="C1342" s="1" t="n">
        <v>45350</v>
      </c>
      <c r="D1342" t="inlineStr">
        <is>
          <t>STOCKHOLMS LÄN</t>
        </is>
      </c>
      <c r="E1342" t="inlineStr">
        <is>
          <t>SIGTUNA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23364-2020</t>
        </is>
      </c>
      <c r="B1343" s="1" t="n">
        <v>43967</v>
      </c>
      <c r="C1343" s="1" t="n">
        <v>45350</v>
      </c>
      <c r="D1343" t="inlineStr">
        <is>
          <t>STOCKHOLMS LÄN</t>
        </is>
      </c>
      <c r="E1343" t="inlineStr">
        <is>
          <t>NYNÄSHAMN</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23363-2020</t>
        </is>
      </c>
      <c r="B1344" s="1" t="n">
        <v>43967</v>
      </c>
      <c r="C1344" s="1" t="n">
        <v>45350</v>
      </c>
      <c r="D1344" t="inlineStr">
        <is>
          <t>STOCKHOLMS LÄN</t>
        </is>
      </c>
      <c r="E1344" t="inlineStr">
        <is>
          <t>NYNÄSHAMN</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23447-2020</t>
        </is>
      </c>
      <c r="B1345" s="1" t="n">
        <v>43969</v>
      </c>
      <c r="C1345" s="1" t="n">
        <v>45350</v>
      </c>
      <c r="D1345" t="inlineStr">
        <is>
          <t>STOCKHOLMS LÄN</t>
        </is>
      </c>
      <c r="E1345" t="inlineStr">
        <is>
          <t>NYNÄSHAMN</t>
        </is>
      </c>
      <c r="F1345" t="inlineStr">
        <is>
          <t>Kommuner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23426-2020</t>
        </is>
      </c>
      <c r="B1346" s="1" t="n">
        <v>43969</v>
      </c>
      <c r="C1346" s="1" t="n">
        <v>45350</v>
      </c>
      <c r="D1346" t="inlineStr">
        <is>
          <t>STOCKHOLMS LÄN</t>
        </is>
      </c>
      <c r="E1346" t="inlineStr">
        <is>
          <t>BOTKYRKA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23442-2020</t>
        </is>
      </c>
      <c r="B1347" s="1" t="n">
        <v>43969</v>
      </c>
      <c r="C1347" s="1" t="n">
        <v>45350</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23751-2020</t>
        </is>
      </c>
      <c r="B1348" s="1" t="n">
        <v>43970</v>
      </c>
      <c r="C1348" s="1" t="n">
        <v>45350</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24136-2020</t>
        </is>
      </c>
      <c r="B1349" s="1" t="n">
        <v>43973</v>
      </c>
      <c r="C1349" s="1" t="n">
        <v>45350</v>
      </c>
      <c r="D1349" t="inlineStr">
        <is>
          <t>STOCKHOLMS LÄN</t>
        </is>
      </c>
      <c r="E1349" t="inlineStr">
        <is>
          <t>NORRTÄLJE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25575-2020</t>
        </is>
      </c>
      <c r="B1350" s="1" t="n">
        <v>43983</v>
      </c>
      <c r="C1350" s="1" t="n">
        <v>45350</v>
      </c>
      <c r="D1350" t="inlineStr">
        <is>
          <t>STOCKHOLMS LÄN</t>
        </is>
      </c>
      <c r="E1350" t="inlineStr">
        <is>
          <t>VALLENTUNA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25584-2020</t>
        </is>
      </c>
      <c r="B1351" s="1" t="n">
        <v>43983</v>
      </c>
      <c r="C1351" s="1" t="n">
        <v>45350</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25589-2020</t>
        </is>
      </c>
      <c r="B1352" s="1" t="n">
        <v>43983</v>
      </c>
      <c r="C1352" s="1" t="n">
        <v>45350</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25745-2020</t>
        </is>
      </c>
      <c r="B1353" s="1" t="n">
        <v>43984</v>
      </c>
      <c r="C1353" s="1" t="n">
        <v>45350</v>
      </c>
      <c r="D1353" t="inlineStr">
        <is>
          <t>STOCKHOLMS LÄN</t>
        </is>
      </c>
      <c r="E1353" t="inlineStr">
        <is>
          <t>SIGTUNA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25897-2020</t>
        </is>
      </c>
      <c r="B1354" s="1" t="n">
        <v>43984</v>
      </c>
      <c r="C1354" s="1" t="n">
        <v>45350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27278-2020</t>
        </is>
      </c>
      <c r="B1355" s="1" t="n">
        <v>43992</v>
      </c>
      <c r="C1355" s="1" t="n">
        <v>45350</v>
      </c>
      <c r="D1355" t="inlineStr">
        <is>
          <t>STOCKHOLMS LÄN</t>
        </is>
      </c>
      <c r="E1355" t="inlineStr">
        <is>
          <t>SÖDERTÄLJE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27621-2020</t>
        </is>
      </c>
      <c r="B1356" s="1" t="n">
        <v>43993</v>
      </c>
      <c r="C1356" s="1" t="n">
        <v>45350</v>
      </c>
      <c r="D1356" t="inlineStr">
        <is>
          <t>STOCKHOLMS LÄN</t>
        </is>
      </c>
      <c r="E1356" t="inlineStr">
        <is>
          <t>NYKVARN</t>
        </is>
      </c>
      <c r="G1356" t="n">
        <v>35.8</v>
      </c>
      <c r="H1356" t="n">
        <v>0</v>
      </c>
      <c r="I1356" t="n">
        <v>0</v>
      </c>
      <c r="J1356" t="n">
        <v>0</v>
      </c>
      <c r="K1356" t="n">
        <v>0</v>
      </c>
      <c r="L1356" t="n">
        <v>0</v>
      </c>
      <c r="M1356" t="n">
        <v>0</v>
      </c>
      <c r="N1356" t="n">
        <v>0</v>
      </c>
      <c r="O1356" t="n">
        <v>0</v>
      </c>
      <c r="P1356" t="n">
        <v>0</v>
      </c>
      <c r="Q1356" t="n">
        <v>0</v>
      </c>
      <c r="R1356" s="2" t="inlineStr"/>
    </row>
    <row r="1357" ht="15" customHeight="1">
      <c r="A1357" t="inlineStr">
        <is>
          <t>A 27794-2020</t>
        </is>
      </c>
      <c r="B1357" s="1" t="n">
        <v>43994</v>
      </c>
      <c r="C1357" s="1" t="n">
        <v>45350</v>
      </c>
      <c r="D1357" t="inlineStr">
        <is>
          <t>STOCKHOLMS LÄN</t>
        </is>
      </c>
      <c r="E1357" t="inlineStr">
        <is>
          <t>NYNÄSHAMN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28663-2020</t>
        </is>
      </c>
      <c r="B1358" s="1" t="n">
        <v>43999</v>
      </c>
      <c r="C1358" s="1" t="n">
        <v>45350</v>
      </c>
      <c r="D1358" t="inlineStr">
        <is>
          <t>STOCKHOLMS LÄN</t>
        </is>
      </c>
      <c r="E1358" t="inlineStr">
        <is>
          <t>SIGTUNA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28495-2020</t>
        </is>
      </c>
      <c r="B1359" s="1" t="n">
        <v>43999</v>
      </c>
      <c r="C1359" s="1" t="n">
        <v>45350</v>
      </c>
      <c r="D1359" t="inlineStr">
        <is>
          <t>STOCKHOLMS LÄN</t>
        </is>
      </c>
      <c r="E1359" t="inlineStr">
        <is>
          <t>NORRTÄLJE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28923-2020</t>
        </is>
      </c>
      <c r="B1360" s="1" t="n">
        <v>44000</v>
      </c>
      <c r="C1360" s="1" t="n">
        <v>45350</v>
      </c>
      <c r="D1360" t="inlineStr">
        <is>
          <t>STOCKHOLMS LÄN</t>
        </is>
      </c>
      <c r="E1360" t="inlineStr">
        <is>
          <t>SIGTUNA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29254-2020</t>
        </is>
      </c>
      <c r="B1361" s="1" t="n">
        <v>44000</v>
      </c>
      <c r="C1361" s="1" t="n">
        <v>45350</v>
      </c>
      <c r="D1361" t="inlineStr">
        <is>
          <t>STOCKHOLMS LÄN</t>
        </is>
      </c>
      <c r="E1361" t="inlineStr">
        <is>
          <t>NYKVARN</t>
        </is>
      </c>
      <c r="F1361" t="inlineStr">
        <is>
          <t>Allmännings- och besparingsskogar</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29113-2020</t>
        </is>
      </c>
      <c r="B1362" s="1" t="n">
        <v>44003</v>
      </c>
      <c r="C1362" s="1" t="n">
        <v>45350</v>
      </c>
      <c r="D1362" t="inlineStr">
        <is>
          <t>STOCKHOLMS LÄN</t>
        </is>
      </c>
      <c r="E1362" t="inlineStr">
        <is>
          <t>NYNÄSHAMN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30600-2020</t>
        </is>
      </c>
      <c r="B1363" s="1" t="n">
        <v>44008</v>
      </c>
      <c r="C1363" s="1" t="n">
        <v>45350</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31196-2020</t>
        </is>
      </c>
      <c r="B1364" s="1" t="n">
        <v>44012</v>
      </c>
      <c r="C1364" s="1" t="n">
        <v>45350</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31783-2020</t>
        </is>
      </c>
      <c r="B1365" s="1" t="n">
        <v>44014</v>
      </c>
      <c r="C1365" s="1" t="n">
        <v>45350</v>
      </c>
      <c r="D1365" t="inlineStr">
        <is>
          <t>STOCKHOLMS LÄN</t>
        </is>
      </c>
      <c r="E1365" t="inlineStr">
        <is>
          <t>NORRTÄLJE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33881-2020</t>
        </is>
      </c>
      <c r="B1366" s="1" t="n">
        <v>44025</v>
      </c>
      <c r="C1366" s="1" t="n">
        <v>45350</v>
      </c>
      <c r="D1366" t="inlineStr">
        <is>
          <t>STOCKHOLMS LÄN</t>
        </is>
      </c>
      <c r="E1366" t="inlineStr">
        <is>
          <t>BOTKYRKA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33749-2020</t>
        </is>
      </c>
      <c r="B1367" s="1" t="n">
        <v>44026</v>
      </c>
      <c r="C1367" s="1" t="n">
        <v>45350</v>
      </c>
      <c r="D1367" t="inlineStr">
        <is>
          <t>STOCKHOLMS LÄN</t>
        </is>
      </c>
      <c r="E1367" t="inlineStr">
        <is>
          <t>NORRTÄLJE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34185-2020</t>
        </is>
      </c>
      <c r="B1368" s="1" t="n">
        <v>44029</v>
      </c>
      <c r="C1368" s="1" t="n">
        <v>45350</v>
      </c>
      <c r="D1368" t="inlineStr">
        <is>
          <t>STOCKHOLMS LÄN</t>
        </is>
      </c>
      <c r="E1368" t="inlineStr">
        <is>
          <t>EKERÖ</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34651-2020</t>
        </is>
      </c>
      <c r="B1369" s="1" t="n">
        <v>44034</v>
      </c>
      <c r="C1369" s="1" t="n">
        <v>45350</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34650-2020</t>
        </is>
      </c>
      <c r="B1370" s="1" t="n">
        <v>44034</v>
      </c>
      <c r="C1370" s="1" t="n">
        <v>45350</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35012-2020</t>
        </is>
      </c>
      <c r="B1371" s="1" t="n">
        <v>44039</v>
      </c>
      <c r="C1371" s="1" t="n">
        <v>45350</v>
      </c>
      <c r="D1371" t="inlineStr">
        <is>
          <t>STOCKHOLMS LÄN</t>
        </is>
      </c>
      <c r="E1371" t="inlineStr">
        <is>
          <t>EKERÖ</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36248-2020</t>
        </is>
      </c>
      <c r="B1372" s="1" t="n">
        <v>44049</v>
      </c>
      <c r="C1372" s="1" t="n">
        <v>45350</v>
      </c>
      <c r="D1372" t="inlineStr">
        <is>
          <t>STOCKHOLMS LÄN</t>
        </is>
      </c>
      <c r="E1372" t="inlineStr">
        <is>
          <t>UPPLANDS-BRO</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36314-2020</t>
        </is>
      </c>
      <c r="B1373" s="1" t="n">
        <v>44049</v>
      </c>
      <c r="C1373" s="1" t="n">
        <v>45350</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36359-2020</t>
        </is>
      </c>
      <c r="B1374" s="1" t="n">
        <v>44049</v>
      </c>
      <c r="C1374" s="1" t="n">
        <v>45350</v>
      </c>
      <c r="D1374" t="inlineStr">
        <is>
          <t>STOCKHOLMS LÄN</t>
        </is>
      </c>
      <c r="E1374" t="inlineStr">
        <is>
          <t>NORRTÄLJE</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36865-2020</t>
        </is>
      </c>
      <c r="B1375" s="1" t="n">
        <v>44053</v>
      </c>
      <c r="C1375" s="1" t="n">
        <v>45350</v>
      </c>
      <c r="D1375" t="inlineStr">
        <is>
          <t>STOCKHOLMS LÄN</t>
        </is>
      </c>
      <c r="E1375" t="inlineStr">
        <is>
          <t>NYNÄSHAMN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38010-2020</t>
        </is>
      </c>
      <c r="B1376" s="1" t="n">
        <v>44057</v>
      </c>
      <c r="C1376" s="1" t="n">
        <v>45350</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39033-2020</t>
        </is>
      </c>
      <c r="B1377" s="1" t="n">
        <v>44062</v>
      </c>
      <c r="C1377" s="1" t="n">
        <v>45350</v>
      </c>
      <c r="D1377" t="inlineStr">
        <is>
          <t>STOCKHOLMS LÄN</t>
        </is>
      </c>
      <c r="E1377" t="inlineStr">
        <is>
          <t>VÄRMDÖ</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39531-2020</t>
        </is>
      </c>
      <c r="B1378" s="1" t="n">
        <v>44064</v>
      </c>
      <c r="C1378" s="1" t="n">
        <v>45350</v>
      </c>
      <c r="D1378" t="inlineStr">
        <is>
          <t>STOCKHOLMS LÄN</t>
        </is>
      </c>
      <c r="E1378" t="inlineStr">
        <is>
          <t>BOTKYRKA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40037-2020</t>
        </is>
      </c>
      <c r="B1379" s="1" t="n">
        <v>44067</v>
      </c>
      <c r="C1379" s="1" t="n">
        <v>45350</v>
      </c>
      <c r="D1379" t="inlineStr">
        <is>
          <t>STOCKHOLMS LÄN</t>
        </is>
      </c>
      <c r="E1379" t="inlineStr">
        <is>
          <t>HANINGE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40837-2020</t>
        </is>
      </c>
      <c r="B1380" s="1" t="n">
        <v>44067</v>
      </c>
      <c r="C1380" s="1" t="n">
        <v>45350</v>
      </c>
      <c r="D1380" t="inlineStr">
        <is>
          <t>STOCKHOLMS LÄN</t>
        </is>
      </c>
      <c r="E1380" t="inlineStr">
        <is>
          <t>NORRTÄLJE</t>
        </is>
      </c>
      <c r="G1380" t="n">
        <v>20.6</v>
      </c>
      <c r="H1380" t="n">
        <v>0</v>
      </c>
      <c r="I1380" t="n">
        <v>0</v>
      </c>
      <c r="J1380" t="n">
        <v>0</v>
      </c>
      <c r="K1380" t="n">
        <v>0</v>
      </c>
      <c r="L1380" t="n">
        <v>0</v>
      </c>
      <c r="M1380" t="n">
        <v>0</v>
      </c>
      <c r="N1380" t="n">
        <v>0</v>
      </c>
      <c r="O1380" t="n">
        <v>0</v>
      </c>
      <c r="P1380" t="n">
        <v>0</v>
      </c>
      <c r="Q1380" t="n">
        <v>0</v>
      </c>
      <c r="R1380" s="2" t="inlineStr"/>
    </row>
    <row r="1381" ht="15" customHeight="1">
      <c r="A1381" t="inlineStr">
        <is>
          <t>A 40661-2020</t>
        </is>
      </c>
      <c r="B1381" s="1" t="n">
        <v>44069</v>
      </c>
      <c r="C1381" s="1" t="n">
        <v>45350</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41080-2020</t>
        </is>
      </c>
      <c r="B1382" s="1" t="n">
        <v>44069</v>
      </c>
      <c r="C1382" s="1" t="n">
        <v>45350</v>
      </c>
      <c r="D1382" t="inlineStr">
        <is>
          <t>STOCKHOLMS LÄN</t>
        </is>
      </c>
      <c r="E1382" t="inlineStr">
        <is>
          <t>SÖDERTÄLJE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41718-2020</t>
        </is>
      </c>
      <c r="B1383" s="1" t="n">
        <v>44074</v>
      </c>
      <c r="C1383" s="1" t="n">
        <v>45350</v>
      </c>
      <c r="D1383" t="inlineStr">
        <is>
          <t>STOCKHOLMS LÄN</t>
        </is>
      </c>
      <c r="E1383" t="inlineStr">
        <is>
          <t>SALEM</t>
        </is>
      </c>
      <c r="F1383" t="inlineStr">
        <is>
          <t>Kommuner</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42247-2020</t>
        </is>
      </c>
      <c r="B1384" s="1" t="n">
        <v>44074</v>
      </c>
      <c r="C1384" s="1" t="n">
        <v>45350</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42256-2020</t>
        </is>
      </c>
      <c r="B1385" s="1" t="n">
        <v>44074</v>
      </c>
      <c r="C1385" s="1" t="n">
        <v>45350</v>
      </c>
      <c r="D1385" t="inlineStr">
        <is>
          <t>STOCKHOLMS LÄN</t>
        </is>
      </c>
      <c r="E1385" t="inlineStr">
        <is>
          <t>NORRTÄLJE</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41694-2020</t>
        </is>
      </c>
      <c r="B1386" s="1" t="n">
        <v>44074</v>
      </c>
      <c r="C1386" s="1" t="n">
        <v>45350</v>
      </c>
      <c r="D1386" t="inlineStr">
        <is>
          <t>STOCKHOLMS LÄN</t>
        </is>
      </c>
      <c r="E1386" t="inlineStr">
        <is>
          <t>NORRTÄLJE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41923-2020</t>
        </is>
      </c>
      <c r="B1387" s="1" t="n">
        <v>44075</v>
      </c>
      <c r="C1387" s="1" t="n">
        <v>45350</v>
      </c>
      <c r="D1387" t="inlineStr">
        <is>
          <t>STOCKHOLMS LÄN</t>
        </is>
      </c>
      <c r="E1387" t="inlineStr">
        <is>
          <t>SALEM</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42365-2020</t>
        </is>
      </c>
      <c r="B1388" s="1" t="n">
        <v>44076</v>
      </c>
      <c r="C1388" s="1" t="n">
        <v>45350</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42361-2020</t>
        </is>
      </c>
      <c r="B1389" s="1" t="n">
        <v>44076</v>
      </c>
      <c r="C1389" s="1" t="n">
        <v>45350</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42455-2020</t>
        </is>
      </c>
      <c r="B1390" s="1" t="n">
        <v>44076</v>
      </c>
      <c r="C1390" s="1" t="n">
        <v>45350</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43237-2020</t>
        </is>
      </c>
      <c r="B1391" s="1" t="n">
        <v>44076</v>
      </c>
      <c r="C1391" s="1" t="n">
        <v>45350</v>
      </c>
      <c r="D1391" t="inlineStr">
        <is>
          <t>STOCKHOLMS LÄN</t>
        </is>
      </c>
      <c r="E1391" t="inlineStr">
        <is>
          <t>SÖDERTÄLJE</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42714-2020</t>
        </is>
      </c>
      <c r="B1392" s="1" t="n">
        <v>44077</v>
      </c>
      <c r="C1392" s="1" t="n">
        <v>45350</v>
      </c>
      <c r="D1392" t="inlineStr">
        <is>
          <t>STOCKHOLMS LÄN</t>
        </is>
      </c>
      <c r="E1392" t="inlineStr">
        <is>
          <t>SIGTUNA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43751-2020</t>
        </is>
      </c>
      <c r="B1393" s="1" t="n">
        <v>44082</v>
      </c>
      <c r="C1393" s="1" t="n">
        <v>45350</v>
      </c>
      <c r="D1393" t="inlineStr">
        <is>
          <t>STOCKHOLMS LÄN</t>
        </is>
      </c>
      <c r="E1393" t="inlineStr">
        <is>
          <t>NORRTÄLJE</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44096-2020</t>
        </is>
      </c>
      <c r="B1394" s="1" t="n">
        <v>44083</v>
      </c>
      <c r="C1394" s="1" t="n">
        <v>45350</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44071-2020</t>
        </is>
      </c>
      <c r="B1395" s="1" t="n">
        <v>44083</v>
      </c>
      <c r="C1395" s="1" t="n">
        <v>45350</v>
      </c>
      <c r="D1395" t="inlineStr">
        <is>
          <t>STOCKHOLMS LÄN</t>
        </is>
      </c>
      <c r="E1395" t="inlineStr">
        <is>
          <t>NORRTÄLJE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44183-2020</t>
        </is>
      </c>
      <c r="B1396" s="1" t="n">
        <v>44083</v>
      </c>
      <c r="C1396" s="1" t="n">
        <v>45350</v>
      </c>
      <c r="D1396" t="inlineStr">
        <is>
          <t>STOCKHOLMS LÄN</t>
        </is>
      </c>
      <c r="E1396" t="inlineStr">
        <is>
          <t>NORRTÄLJE</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44577-2020</t>
        </is>
      </c>
      <c r="B1397" s="1" t="n">
        <v>44085</v>
      </c>
      <c r="C1397" s="1" t="n">
        <v>45350</v>
      </c>
      <c r="D1397" t="inlineStr">
        <is>
          <t>STOCKHOLMS LÄN</t>
        </is>
      </c>
      <c r="E1397" t="inlineStr">
        <is>
          <t>SÖDERTÄLJE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44792-2020</t>
        </is>
      </c>
      <c r="B1398" s="1" t="n">
        <v>44085</v>
      </c>
      <c r="C1398" s="1" t="n">
        <v>45350</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45158-2020</t>
        </is>
      </c>
      <c r="B1399" s="1" t="n">
        <v>44088</v>
      </c>
      <c r="C1399" s="1" t="n">
        <v>45350</v>
      </c>
      <c r="D1399" t="inlineStr">
        <is>
          <t>STOCKHOLMS LÄN</t>
        </is>
      </c>
      <c r="E1399" t="inlineStr">
        <is>
          <t>SALEM</t>
        </is>
      </c>
      <c r="F1399" t="inlineStr">
        <is>
          <t>Kommuner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45732-2020</t>
        </is>
      </c>
      <c r="B1400" s="1" t="n">
        <v>44090</v>
      </c>
      <c r="C1400" s="1" t="n">
        <v>45350</v>
      </c>
      <c r="D1400" t="inlineStr">
        <is>
          <t>STOCKHOLMS LÄN</t>
        </is>
      </c>
      <c r="E1400" t="inlineStr">
        <is>
          <t>NYNÄSHAMN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45859-2020</t>
        </is>
      </c>
      <c r="B1401" s="1" t="n">
        <v>44091</v>
      </c>
      <c r="C1401" s="1" t="n">
        <v>45350</v>
      </c>
      <c r="D1401" t="inlineStr">
        <is>
          <t>STOCKHOLMS LÄN</t>
        </is>
      </c>
      <c r="E1401" t="inlineStr">
        <is>
          <t>NYNÄSHAMN</t>
        </is>
      </c>
      <c r="G1401" t="n">
        <v>17.7</v>
      </c>
      <c r="H1401" t="n">
        <v>0</v>
      </c>
      <c r="I1401" t="n">
        <v>0</v>
      </c>
      <c r="J1401" t="n">
        <v>0</v>
      </c>
      <c r="K1401" t="n">
        <v>0</v>
      </c>
      <c r="L1401" t="n">
        <v>0</v>
      </c>
      <c r="M1401" t="n">
        <v>0</v>
      </c>
      <c r="N1401" t="n">
        <v>0</v>
      </c>
      <c r="O1401" t="n">
        <v>0</v>
      </c>
      <c r="P1401" t="n">
        <v>0</v>
      </c>
      <c r="Q1401" t="n">
        <v>0</v>
      </c>
      <c r="R1401" s="2" t="inlineStr"/>
    </row>
    <row r="1402" ht="15" customHeight="1">
      <c r="A1402" t="inlineStr">
        <is>
          <t>A 45988-2020</t>
        </is>
      </c>
      <c r="B1402" s="1" t="n">
        <v>44091</v>
      </c>
      <c r="C1402" s="1" t="n">
        <v>45350</v>
      </c>
      <c r="D1402" t="inlineStr">
        <is>
          <t>STOCKHOLMS LÄN</t>
        </is>
      </c>
      <c r="E1402" t="inlineStr">
        <is>
          <t>NORRTÄLJE</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46556-2020</t>
        </is>
      </c>
      <c r="B1403" s="1" t="n">
        <v>44095</v>
      </c>
      <c r="C1403" s="1" t="n">
        <v>45350</v>
      </c>
      <c r="D1403" t="inlineStr">
        <is>
          <t>STOCKHOLMS LÄN</t>
        </is>
      </c>
      <c r="E1403" t="inlineStr">
        <is>
          <t>NORRTÄLJE</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46661-2020</t>
        </is>
      </c>
      <c r="B1404" s="1" t="n">
        <v>44095</v>
      </c>
      <c r="C1404" s="1" t="n">
        <v>45350</v>
      </c>
      <c r="D1404" t="inlineStr">
        <is>
          <t>STOCKHOLMS LÄN</t>
        </is>
      </c>
      <c r="E1404" t="inlineStr">
        <is>
          <t>SÖDERTÄLJE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46899-2020</t>
        </is>
      </c>
      <c r="B1405" s="1" t="n">
        <v>44096</v>
      </c>
      <c r="C1405" s="1" t="n">
        <v>45350</v>
      </c>
      <c r="D1405" t="inlineStr">
        <is>
          <t>STOCKHOLMS LÄN</t>
        </is>
      </c>
      <c r="E1405" t="inlineStr">
        <is>
          <t>SÖDERTÄLJE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47291-2020</t>
        </is>
      </c>
      <c r="B1406" s="1" t="n">
        <v>44097</v>
      </c>
      <c r="C1406" s="1" t="n">
        <v>45350</v>
      </c>
      <c r="D1406" t="inlineStr">
        <is>
          <t>STOCKHOLMS LÄN</t>
        </is>
      </c>
      <c r="E1406" t="inlineStr">
        <is>
          <t>NORRTÄLJE</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48392-2020</t>
        </is>
      </c>
      <c r="B1407" s="1" t="n">
        <v>44097</v>
      </c>
      <c r="C1407" s="1" t="n">
        <v>45350</v>
      </c>
      <c r="D1407" t="inlineStr">
        <is>
          <t>STOCKHOLMS LÄN</t>
        </is>
      </c>
      <c r="E1407" t="inlineStr">
        <is>
          <t>NORRTÄLJE</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47869-2020</t>
        </is>
      </c>
      <c r="B1408" s="1" t="n">
        <v>44098</v>
      </c>
      <c r="C1408" s="1" t="n">
        <v>45350</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47868-2020</t>
        </is>
      </c>
      <c r="B1409" s="1" t="n">
        <v>44098</v>
      </c>
      <c r="C1409" s="1" t="n">
        <v>45350</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48066-2020</t>
        </is>
      </c>
      <c r="B1410" s="1" t="n">
        <v>44100</v>
      </c>
      <c r="C1410" s="1" t="n">
        <v>45350</v>
      </c>
      <c r="D1410" t="inlineStr">
        <is>
          <t>STOCKHOLMS LÄN</t>
        </is>
      </c>
      <c r="E1410" t="inlineStr">
        <is>
          <t>NORRTÄLJE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48071-2020</t>
        </is>
      </c>
      <c r="B1411" s="1" t="n">
        <v>44100</v>
      </c>
      <c r="C1411" s="1" t="n">
        <v>45350</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48496-2020</t>
        </is>
      </c>
      <c r="B1412" s="1" t="n">
        <v>44103</v>
      </c>
      <c r="C1412" s="1" t="n">
        <v>45350</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48522-2020</t>
        </is>
      </c>
      <c r="B1413" s="1" t="n">
        <v>44103</v>
      </c>
      <c r="C1413" s="1" t="n">
        <v>45350</v>
      </c>
      <c r="D1413" t="inlineStr">
        <is>
          <t>STOCKHOLMS LÄN</t>
        </is>
      </c>
      <c r="E1413" t="inlineStr">
        <is>
          <t>NORRTÄLJE</t>
        </is>
      </c>
      <c r="F1413" t="inlineStr">
        <is>
          <t>Holmen skog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48985-2020</t>
        </is>
      </c>
      <c r="B1414" s="1" t="n">
        <v>44104</v>
      </c>
      <c r="C1414" s="1" t="n">
        <v>45350</v>
      </c>
      <c r="D1414" t="inlineStr">
        <is>
          <t>STOCKHOLMS LÄN</t>
        </is>
      </c>
      <c r="E1414" t="inlineStr">
        <is>
          <t>NYKVARN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49334-2020</t>
        </is>
      </c>
      <c r="B1415" s="1" t="n">
        <v>44105</v>
      </c>
      <c r="C1415" s="1" t="n">
        <v>45350</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49327-2020</t>
        </is>
      </c>
      <c r="B1416" s="1" t="n">
        <v>44105</v>
      </c>
      <c r="C1416" s="1" t="n">
        <v>45350</v>
      </c>
      <c r="D1416" t="inlineStr">
        <is>
          <t>STOCKHOLMS LÄN</t>
        </is>
      </c>
      <c r="E1416" t="inlineStr">
        <is>
          <t>NORRTÄLJE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49686-2020</t>
        </is>
      </c>
      <c r="B1417" s="1" t="n">
        <v>44106</v>
      </c>
      <c r="C1417" s="1" t="n">
        <v>45350</v>
      </c>
      <c r="D1417" t="inlineStr">
        <is>
          <t>STOCKHOLMS LÄN</t>
        </is>
      </c>
      <c r="E1417" t="inlineStr">
        <is>
          <t>UPPLANDS-BRO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45350</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49938-2020</t>
        </is>
      </c>
      <c r="B1419" s="1" t="n">
        <v>44109</v>
      </c>
      <c r="C1419" s="1" t="n">
        <v>45350</v>
      </c>
      <c r="D1419" t="inlineStr">
        <is>
          <t>STOCKHOLMS LÄN</t>
        </is>
      </c>
      <c r="E1419" t="inlineStr">
        <is>
          <t>SÖDERTÄLJE</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50497-2020</t>
        </is>
      </c>
      <c r="B1420" s="1" t="n">
        <v>44110</v>
      </c>
      <c r="C1420" s="1" t="n">
        <v>45350</v>
      </c>
      <c r="D1420" t="inlineStr">
        <is>
          <t>STOCKHOLMS LÄN</t>
        </is>
      </c>
      <c r="E1420" t="inlineStr">
        <is>
          <t>NORRTÄLJE</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50529-2020</t>
        </is>
      </c>
      <c r="B1421" s="1" t="n">
        <v>44110</v>
      </c>
      <c r="C1421" s="1" t="n">
        <v>45350</v>
      </c>
      <c r="D1421" t="inlineStr">
        <is>
          <t>STOCKHOLMS LÄN</t>
        </is>
      </c>
      <c r="E1421" t="inlineStr">
        <is>
          <t>SÖDERTÄLJE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50524-2020</t>
        </is>
      </c>
      <c r="B1422" s="1" t="n">
        <v>44110</v>
      </c>
      <c r="C1422" s="1" t="n">
        <v>45350</v>
      </c>
      <c r="D1422" t="inlineStr">
        <is>
          <t>STOCKHOLMS LÄN</t>
        </is>
      </c>
      <c r="E1422" t="inlineStr">
        <is>
          <t>SÖDERTÄLJE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50520-2020</t>
        </is>
      </c>
      <c r="B1423" s="1" t="n">
        <v>44110</v>
      </c>
      <c r="C1423" s="1" t="n">
        <v>45350</v>
      </c>
      <c r="D1423" t="inlineStr">
        <is>
          <t>STOCKHOLMS LÄN</t>
        </is>
      </c>
      <c r="E1423" t="inlineStr">
        <is>
          <t>SÖDERTÄLJE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50527-2020</t>
        </is>
      </c>
      <c r="B1424" s="1" t="n">
        <v>44110</v>
      </c>
      <c r="C1424" s="1" t="n">
        <v>45350</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50585-2020</t>
        </is>
      </c>
      <c r="B1425" s="1" t="n">
        <v>44110</v>
      </c>
      <c r="C1425" s="1" t="n">
        <v>45350</v>
      </c>
      <c r="D1425" t="inlineStr">
        <is>
          <t>STOCKHOLMS LÄN</t>
        </is>
      </c>
      <c r="E1425" t="inlineStr">
        <is>
          <t>SIGTUNA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50523-2020</t>
        </is>
      </c>
      <c r="B1426" s="1" t="n">
        <v>44110</v>
      </c>
      <c r="C1426" s="1" t="n">
        <v>45350</v>
      </c>
      <c r="D1426" t="inlineStr">
        <is>
          <t>STOCKHOLMS LÄN</t>
        </is>
      </c>
      <c r="E1426" t="inlineStr">
        <is>
          <t>SÖDERTÄLJE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50738-2020</t>
        </is>
      </c>
      <c r="B1427" s="1" t="n">
        <v>44111</v>
      </c>
      <c r="C1427" s="1" t="n">
        <v>45350</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50698-2020</t>
        </is>
      </c>
      <c r="B1428" s="1" t="n">
        <v>44111</v>
      </c>
      <c r="C1428" s="1" t="n">
        <v>45350</v>
      </c>
      <c r="D1428" t="inlineStr">
        <is>
          <t>STOCKHOLMS LÄN</t>
        </is>
      </c>
      <c r="E1428" t="inlineStr">
        <is>
          <t>UPPLANDS-BRO</t>
        </is>
      </c>
      <c r="F1428" t="inlineStr">
        <is>
          <t>Övriga statliga verk och myndigheter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50746-2020</t>
        </is>
      </c>
      <c r="B1429" s="1" t="n">
        <v>44111</v>
      </c>
      <c r="C1429" s="1" t="n">
        <v>45350</v>
      </c>
      <c r="D1429" t="inlineStr">
        <is>
          <t>STOCKHOLMS LÄN</t>
        </is>
      </c>
      <c r="E1429" t="inlineStr">
        <is>
          <t>NORRTÄLJE</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50742-2020</t>
        </is>
      </c>
      <c r="B1430" s="1" t="n">
        <v>44111</v>
      </c>
      <c r="C1430" s="1" t="n">
        <v>45350</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51203-2020</t>
        </is>
      </c>
      <c r="B1431" s="1" t="n">
        <v>44112</v>
      </c>
      <c r="C1431" s="1" t="n">
        <v>45350</v>
      </c>
      <c r="D1431" t="inlineStr">
        <is>
          <t>STOCKHOLMS LÄN</t>
        </is>
      </c>
      <c r="E1431" t="inlineStr">
        <is>
          <t>SÖDERTÄLJE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51098-2020</t>
        </is>
      </c>
      <c r="B1432" s="1" t="n">
        <v>44112</v>
      </c>
      <c r="C1432" s="1" t="n">
        <v>45350</v>
      </c>
      <c r="D1432" t="inlineStr">
        <is>
          <t>STOCKHOLMS LÄN</t>
        </is>
      </c>
      <c r="E1432" t="inlineStr">
        <is>
          <t>NACKA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51720-2020</t>
        </is>
      </c>
      <c r="B1433" s="1" t="n">
        <v>44113</v>
      </c>
      <c r="C1433" s="1" t="n">
        <v>45350</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51787-2020</t>
        </is>
      </c>
      <c r="B1434" s="1" t="n">
        <v>44116</v>
      </c>
      <c r="C1434" s="1" t="n">
        <v>45350</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51798-2020</t>
        </is>
      </c>
      <c r="B1435" s="1" t="n">
        <v>44116</v>
      </c>
      <c r="C1435" s="1" t="n">
        <v>45350</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52727-2020</t>
        </is>
      </c>
      <c r="B1436" s="1" t="n">
        <v>44117</v>
      </c>
      <c r="C1436" s="1" t="n">
        <v>45350</v>
      </c>
      <c r="D1436" t="inlineStr">
        <is>
          <t>STOCKHOLMS LÄN</t>
        </is>
      </c>
      <c r="E1436" t="inlineStr">
        <is>
          <t>STOCKHOLM</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52806-2020</t>
        </is>
      </c>
      <c r="B1437" s="1" t="n">
        <v>44119</v>
      </c>
      <c r="C1437" s="1" t="n">
        <v>45350</v>
      </c>
      <c r="D1437" t="inlineStr">
        <is>
          <t>STOCKHOLMS LÄN</t>
        </is>
      </c>
      <c r="E1437" t="inlineStr">
        <is>
          <t>NYNÄSHAMN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53768-2020</t>
        </is>
      </c>
      <c r="B1438" s="1" t="n">
        <v>44123</v>
      </c>
      <c r="C1438" s="1" t="n">
        <v>45350</v>
      </c>
      <c r="D1438" t="inlineStr">
        <is>
          <t>STOCKHOLMS LÄN</t>
        </is>
      </c>
      <c r="E1438" t="inlineStr">
        <is>
          <t>NORRTÄLJE</t>
        </is>
      </c>
      <c r="F1438" t="inlineStr">
        <is>
          <t>Kommuner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53652-2020</t>
        </is>
      </c>
      <c r="B1439" s="1" t="n">
        <v>44124</v>
      </c>
      <c r="C1439" s="1" t="n">
        <v>45350</v>
      </c>
      <c r="D1439" t="inlineStr">
        <is>
          <t>STOCKHOLMS LÄN</t>
        </is>
      </c>
      <c r="E1439" t="inlineStr">
        <is>
          <t>NORRTÄLJE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53690-2020</t>
        </is>
      </c>
      <c r="B1440" s="1" t="n">
        <v>44124</v>
      </c>
      <c r="C1440" s="1" t="n">
        <v>45350</v>
      </c>
      <c r="D1440" t="inlineStr">
        <is>
          <t>STOCKHOLMS LÄN</t>
        </is>
      </c>
      <c r="E1440" t="inlineStr">
        <is>
          <t>NORRTÄLJE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53607-2020</t>
        </is>
      </c>
      <c r="B1441" s="1" t="n">
        <v>44124</v>
      </c>
      <c r="C1441" s="1" t="n">
        <v>45350</v>
      </c>
      <c r="D1441" t="inlineStr">
        <is>
          <t>STOCKHOLMS LÄN</t>
        </is>
      </c>
      <c r="E1441" t="inlineStr">
        <is>
          <t>NORRTÄLJE</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53750-2020</t>
        </is>
      </c>
      <c r="B1442" s="1" t="n">
        <v>44124</v>
      </c>
      <c r="C1442" s="1" t="n">
        <v>45350</v>
      </c>
      <c r="D1442" t="inlineStr">
        <is>
          <t>STOCKHOLMS LÄN</t>
        </is>
      </c>
      <c r="E1442" t="inlineStr">
        <is>
          <t>SÖDERTÄLJE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54002-2020</t>
        </is>
      </c>
      <c r="B1443" s="1" t="n">
        <v>44125</v>
      </c>
      <c r="C1443" s="1" t="n">
        <v>45350</v>
      </c>
      <c r="D1443" t="inlineStr">
        <is>
          <t>STOCKHOLMS LÄN</t>
        </is>
      </c>
      <c r="E1443" t="inlineStr">
        <is>
          <t>BOTKYRKA</t>
        </is>
      </c>
      <c r="F1443" t="inlineStr">
        <is>
          <t>Övriga Aktiebolag</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53979-2020</t>
        </is>
      </c>
      <c r="B1444" s="1" t="n">
        <v>44125</v>
      </c>
      <c r="C1444" s="1" t="n">
        <v>45350</v>
      </c>
      <c r="D1444" t="inlineStr">
        <is>
          <t>STOCKHOLMS LÄN</t>
        </is>
      </c>
      <c r="E1444" t="inlineStr">
        <is>
          <t>BOTKYRKA</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55200-2020</t>
        </is>
      </c>
      <c r="B1445" s="1" t="n">
        <v>44130</v>
      </c>
      <c r="C1445" s="1" t="n">
        <v>45350</v>
      </c>
      <c r="D1445" t="inlineStr">
        <is>
          <t>STOCKHOLMS LÄN</t>
        </is>
      </c>
      <c r="E1445" t="inlineStr">
        <is>
          <t>BOTKYRKA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55089-2020</t>
        </is>
      </c>
      <c r="B1446" s="1" t="n">
        <v>44130</v>
      </c>
      <c r="C1446" s="1" t="n">
        <v>45350</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55466-2020</t>
        </is>
      </c>
      <c r="B1447" s="1" t="n">
        <v>44130</v>
      </c>
      <c r="C1447" s="1" t="n">
        <v>45350</v>
      </c>
      <c r="D1447" t="inlineStr">
        <is>
          <t>STOCKHOLMS LÄN</t>
        </is>
      </c>
      <c r="E1447" t="inlineStr">
        <is>
          <t>SÖDERTÄLJE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55464-2020</t>
        </is>
      </c>
      <c r="B1448" s="1" t="n">
        <v>44130</v>
      </c>
      <c r="C1448" s="1" t="n">
        <v>45350</v>
      </c>
      <c r="D1448" t="inlineStr">
        <is>
          <t>STOCKHOLMS LÄN</t>
        </is>
      </c>
      <c r="E1448" t="inlineStr">
        <is>
          <t>SÖDERTÄLJE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55541-2020</t>
        </is>
      </c>
      <c r="B1449" s="1" t="n">
        <v>44131</v>
      </c>
      <c r="C1449" s="1" t="n">
        <v>45350</v>
      </c>
      <c r="D1449" t="inlineStr">
        <is>
          <t>STOCKHOLMS LÄN</t>
        </is>
      </c>
      <c r="E1449" t="inlineStr">
        <is>
          <t>UPPLANDS-BRO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55895-2020</t>
        </is>
      </c>
      <c r="B1450" s="1" t="n">
        <v>44132</v>
      </c>
      <c r="C1450" s="1" t="n">
        <v>45350</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55890-2020</t>
        </is>
      </c>
      <c r="B1451" s="1" t="n">
        <v>44132</v>
      </c>
      <c r="C1451" s="1" t="n">
        <v>45350</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55982-2020</t>
        </is>
      </c>
      <c r="B1452" s="1" t="n">
        <v>44132</v>
      </c>
      <c r="C1452" s="1" t="n">
        <v>45350</v>
      </c>
      <c r="D1452" t="inlineStr">
        <is>
          <t>STOCKHOLMS LÄN</t>
        </is>
      </c>
      <c r="E1452" t="inlineStr">
        <is>
          <t>NORRTÄLJE</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56166-2020</t>
        </is>
      </c>
      <c r="B1453" s="1" t="n">
        <v>44133</v>
      </c>
      <c r="C1453" s="1" t="n">
        <v>45350</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56608-2020</t>
        </is>
      </c>
      <c r="B1454" s="1" t="n">
        <v>44133</v>
      </c>
      <c r="C1454" s="1" t="n">
        <v>45350</v>
      </c>
      <c r="D1454" t="inlineStr">
        <is>
          <t>STOCKHOLMS LÄN</t>
        </is>
      </c>
      <c r="E1454" t="inlineStr">
        <is>
          <t>NYNÄSHAMN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56323-2020</t>
        </is>
      </c>
      <c r="B1455" s="1" t="n">
        <v>44134</v>
      </c>
      <c r="C1455" s="1" t="n">
        <v>45350</v>
      </c>
      <c r="D1455" t="inlineStr">
        <is>
          <t>STOCKHOLMS LÄN</t>
        </is>
      </c>
      <c r="E1455" t="inlineStr">
        <is>
          <t>NORRTÄLJE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57216-2020</t>
        </is>
      </c>
      <c r="B1456" s="1" t="n">
        <v>44139</v>
      </c>
      <c r="C1456" s="1" t="n">
        <v>45350</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57809-2020</t>
        </is>
      </c>
      <c r="B1457" s="1" t="n">
        <v>44141</v>
      </c>
      <c r="C1457" s="1" t="n">
        <v>45350</v>
      </c>
      <c r="D1457" t="inlineStr">
        <is>
          <t>STOCKHOLMS LÄN</t>
        </is>
      </c>
      <c r="E1457" t="inlineStr">
        <is>
          <t>BOTKYRKA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57957-2020</t>
        </is>
      </c>
      <c r="B1458" s="1" t="n">
        <v>44143</v>
      </c>
      <c r="C1458" s="1" t="n">
        <v>45350</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57987-2020</t>
        </is>
      </c>
      <c r="B1459" s="1" t="n">
        <v>44143</v>
      </c>
      <c r="C1459" s="1" t="n">
        <v>45350</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57992-2020</t>
        </is>
      </c>
      <c r="B1460" s="1" t="n">
        <v>44143</v>
      </c>
      <c r="C1460" s="1" t="n">
        <v>45350</v>
      </c>
      <c r="D1460" t="inlineStr">
        <is>
          <t>STOCKHOLMS LÄN</t>
        </is>
      </c>
      <c r="E1460" t="inlineStr">
        <is>
          <t>SÖDERTÄLJE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58260-2020</t>
        </is>
      </c>
      <c r="B1461" s="1" t="n">
        <v>44144</v>
      </c>
      <c r="C1461" s="1" t="n">
        <v>45350</v>
      </c>
      <c r="D1461" t="inlineStr">
        <is>
          <t>STOCKHOLMS LÄN</t>
        </is>
      </c>
      <c r="E1461" t="inlineStr">
        <is>
          <t>HUDDINGE</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58493-2020</t>
        </is>
      </c>
      <c r="B1462" s="1" t="n">
        <v>44145</v>
      </c>
      <c r="C1462" s="1" t="n">
        <v>45350</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58517-2020</t>
        </is>
      </c>
      <c r="B1463" s="1" t="n">
        <v>44145</v>
      </c>
      <c r="C1463" s="1" t="n">
        <v>45350</v>
      </c>
      <c r="D1463" t="inlineStr">
        <is>
          <t>STOCKHOLMS LÄN</t>
        </is>
      </c>
      <c r="E1463" t="inlineStr">
        <is>
          <t>BOTKYRKA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58531-2020</t>
        </is>
      </c>
      <c r="B1464" s="1" t="n">
        <v>44145</v>
      </c>
      <c r="C1464" s="1" t="n">
        <v>45350</v>
      </c>
      <c r="D1464" t="inlineStr">
        <is>
          <t>STOCKHOLMS LÄN</t>
        </is>
      </c>
      <c r="E1464" t="inlineStr">
        <is>
          <t>BOTKYRKA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58661-2020</t>
        </is>
      </c>
      <c r="B1465" s="1" t="n">
        <v>44145</v>
      </c>
      <c r="C1465" s="1" t="n">
        <v>45350</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58665-2020</t>
        </is>
      </c>
      <c r="B1466" s="1" t="n">
        <v>44145</v>
      </c>
      <c r="C1466" s="1" t="n">
        <v>45350</v>
      </c>
      <c r="D1466" t="inlineStr">
        <is>
          <t>STOCKHOLMS LÄN</t>
        </is>
      </c>
      <c r="E1466" t="inlineStr">
        <is>
          <t>NORRTÄLJE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58888-2020</t>
        </is>
      </c>
      <c r="B1467" s="1" t="n">
        <v>44146</v>
      </c>
      <c r="C1467" s="1" t="n">
        <v>45350</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59570-2020</t>
        </is>
      </c>
      <c r="B1468" s="1" t="n">
        <v>44148</v>
      </c>
      <c r="C1468" s="1" t="n">
        <v>45350</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60321-2020</t>
        </is>
      </c>
      <c r="B1469" s="1" t="n">
        <v>44152</v>
      </c>
      <c r="C1469" s="1" t="n">
        <v>45350</v>
      </c>
      <c r="D1469" t="inlineStr">
        <is>
          <t>STOCKHOLMS LÄN</t>
        </is>
      </c>
      <c r="E1469" t="inlineStr">
        <is>
          <t>NORRTÄLJE</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60542-2020</t>
        </is>
      </c>
      <c r="B1470" s="1" t="n">
        <v>44153</v>
      </c>
      <c r="C1470" s="1" t="n">
        <v>45350</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61048-2020</t>
        </is>
      </c>
      <c r="B1471" s="1" t="n">
        <v>44153</v>
      </c>
      <c r="C1471" s="1" t="n">
        <v>45350</v>
      </c>
      <c r="D1471" t="inlineStr">
        <is>
          <t>STOCKHOLMS LÄN</t>
        </is>
      </c>
      <c r="E1471" t="inlineStr">
        <is>
          <t>VÄRMDÖ</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60977-2020</t>
        </is>
      </c>
      <c r="B1472" s="1" t="n">
        <v>44154</v>
      </c>
      <c r="C1472" s="1" t="n">
        <v>45350</v>
      </c>
      <c r="D1472" t="inlineStr">
        <is>
          <t>STOCKHOLMS LÄN</t>
        </is>
      </c>
      <c r="E1472" t="inlineStr">
        <is>
          <t>NORRTÄLJE</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60891-2020</t>
        </is>
      </c>
      <c r="B1473" s="1" t="n">
        <v>44154</v>
      </c>
      <c r="C1473" s="1" t="n">
        <v>45350</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60961-2020</t>
        </is>
      </c>
      <c r="B1474" s="1" t="n">
        <v>44154</v>
      </c>
      <c r="C1474" s="1" t="n">
        <v>45350</v>
      </c>
      <c r="D1474" t="inlineStr">
        <is>
          <t>STOCKHOLMS LÄN</t>
        </is>
      </c>
      <c r="E1474" t="inlineStr">
        <is>
          <t>NORRTÄLJE</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61195-2020</t>
        </is>
      </c>
      <c r="B1475" s="1" t="n">
        <v>44155</v>
      </c>
      <c r="C1475" s="1" t="n">
        <v>45350</v>
      </c>
      <c r="D1475" t="inlineStr">
        <is>
          <t>STOCKHOLMS LÄN</t>
        </is>
      </c>
      <c r="E1475" t="inlineStr">
        <is>
          <t>NORRTÄLJE</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61221-2020</t>
        </is>
      </c>
      <c r="B1476" s="1" t="n">
        <v>44155</v>
      </c>
      <c r="C1476" s="1" t="n">
        <v>45350</v>
      </c>
      <c r="D1476" t="inlineStr">
        <is>
          <t>STOCKHOLMS LÄN</t>
        </is>
      </c>
      <c r="E1476" t="inlineStr">
        <is>
          <t>NORRTÄLJE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61363-2020</t>
        </is>
      </c>
      <c r="B1477" s="1" t="n">
        <v>44155</v>
      </c>
      <c r="C1477" s="1" t="n">
        <v>45350</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61469-2020</t>
        </is>
      </c>
      <c r="B1478" s="1" t="n">
        <v>44155</v>
      </c>
      <c r="C1478" s="1" t="n">
        <v>45350</v>
      </c>
      <c r="D1478" t="inlineStr">
        <is>
          <t>STOCKHOLMS LÄN</t>
        </is>
      </c>
      <c r="E1478" t="inlineStr">
        <is>
          <t>NORRTÄLJE</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61192-2020</t>
        </is>
      </c>
      <c r="B1479" s="1" t="n">
        <v>44155</v>
      </c>
      <c r="C1479" s="1" t="n">
        <v>45350</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61655-2020</t>
        </is>
      </c>
      <c r="B1480" s="1" t="n">
        <v>44158</v>
      </c>
      <c r="C1480" s="1" t="n">
        <v>45350</v>
      </c>
      <c r="D1480" t="inlineStr">
        <is>
          <t>STOCKHOLMS LÄN</t>
        </is>
      </c>
      <c r="E1480" t="inlineStr">
        <is>
          <t>VALLENTUNA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62460-2020</t>
        </is>
      </c>
      <c r="B1481" s="1" t="n">
        <v>44160</v>
      </c>
      <c r="C1481" s="1" t="n">
        <v>45350</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63492-2020</t>
        </is>
      </c>
      <c r="B1482" s="1" t="n">
        <v>44161</v>
      </c>
      <c r="C1482" s="1" t="n">
        <v>45350</v>
      </c>
      <c r="D1482" t="inlineStr">
        <is>
          <t>STOCKHOLMS LÄN</t>
        </is>
      </c>
      <c r="E1482" t="inlineStr">
        <is>
          <t>VÄRMDÖ</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62854-2020</t>
        </is>
      </c>
      <c r="B1483" s="1" t="n">
        <v>44161</v>
      </c>
      <c r="C1483" s="1" t="n">
        <v>45350</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63824-2020</t>
        </is>
      </c>
      <c r="B1484" s="1" t="n">
        <v>44162</v>
      </c>
      <c r="C1484" s="1" t="n">
        <v>45350</v>
      </c>
      <c r="D1484" t="inlineStr">
        <is>
          <t>STOCKHOLMS LÄN</t>
        </is>
      </c>
      <c r="E1484" t="inlineStr">
        <is>
          <t>NORRTÄLJE</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63894-2020</t>
        </is>
      </c>
      <c r="B1485" s="1" t="n">
        <v>44166</v>
      </c>
      <c r="C1485" s="1" t="n">
        <v>45350</v>
      </c>
      <c r="D1485" t="inlineStr">
        <is>
          <t>STOCKHOLMS LÄN</t>
        </is>
      </c>
      <c r="E1485" t="inlineStr">
        <is>
          <t>VALLENTUNA</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64548-2020</t>
        </is>
      </c>
      <c r="B1486" s="1" t="n">
        <v>44166</v>
      </c>
      <c r="C1486" s="1" t="n">
        <v>45350</v>
      </c>
      <c r="D1486" t="inlineStr">
        <is>
          <t>STOCKHOLMS LÄN</t>
        </is>
      </c>
      <c r="E1486" t="inlineStr">
        <is>
          <t>HANINGE</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64015-2020</t>
        </is>
      </c>
      <c r="B1487" s="1" t="n">
        <v>44167</v>
      </c>
      <c r="C1487" s="1" t="n">
        <v>45350</v>
      </c>
      <c r="D1487" t="inlineStr">
        <is>
          <t>STOCKHOLMS LÄN</t>
        </is>
      </c>
      <c r="E1487" t="inlineStr">
        <is>
          <t>UPPLANDS-BRO</t>
        </is>
      </c>
      <c r="F1487" t="inlineStr">
        <is>
          <t>Övriga statliga verk och myndigheter</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64372-2020</t>
        </is>
      </c>
      <c r="B1488" s="1" t="n">
        <v>44168</v>
      </c>
      <c r="C1488" s="1" t="n">
        <v>45350</v>
      </c>
      <c r="D1488" t="inlineStr">
        <is>
          <t>STOCKHOLMS LÄN</t>
        </is>
      </c>
      <c r="E1488" t="inlineStr">
        <is>
          <t>SIGTUNA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64395-2020</t>
        </is>
      </c>
      <c r="B1489" s="1" t="n">
        <v>44168</v>
      </c>
      <c r="C1489" s="1" t="n">
        <v>45350</v>
      </c>
      <c r="D1489" t="inlineStr">
        <is>
          <t>STOCKHOLMS LÄN</t>
        </is>
      </c>
      <c r="E1489" t="inlineStr">
        <is>
          <t>HANINGE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65118-2020</t>
        </is>
      </c>
      <c r="B1490" s="1" t="n">
        <v>44172</v>
      </c>
      <c r="C1490" s="1" t="n">
        <v>45350</v>
      </c>
      <c r="D1490" t="inlineStr">
        <is>
          <t>STOCKHOLMS LÄN</t>
        </is>
      </c>
      <c r="E1490" t="inlineStr">
        <is>
          <t>NYNÄSHAMN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64981-2020</t>
        </is>
      </c>
      <c r="B1491" s="1" t="n">
        <v>44172</v>
      </c>
      <c r="C1491" s="1" t="n">
        <v>45350</v>
      </c>
      <c r="D1491" t="inlineStr">
        <is>
          <t>STOCKHOLMS LÄN</t>
        </is>
      </c>
      <c r="E1491" t="inlineStr">
        <is>
          <t>SIGTUNA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65804-2020</t>
        </is>
      </c>
      <c r="B1492" s="1" t="n">
        <v>44172</v>
      </c>
      <c r="C1492" s="1" t="n">
        <v>45350</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65954-2020</t>
        </is>
      </c>
      <c r="B1493" s="1" t="n">
        <v>44175</v>
      </c>
      <c r="C1493" s="1" t="n">
        <v>45350</v>
      </c>
      <c r="D1493" t="inlineStr">
        <is>
          <t>STOCKHOLMS LÄN</t>
        </is>
      </c>
      <c r="E1493" t="inlineStr">
        <is>
          <t>UPPLANDS-BRO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65916-2020</t>
        </is>
      </c>
      <c r="B1494" s="1" t="n">
        <v>44175</v>
      </c>
      <c r="C1494" s="1" t="n">
        <v>45350</v>
      </c>
      <c r="D1494" t="inlineStr">
        <is>
          <t>STOCKHOLMS LÄN</t>
        </is>
      </c>
      <c r="E1494" t="inlineStr">
        <is>
          <t>SALEM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66372-2020</t>
        </is>
      </c>
      <c r="B1495" s="1" t="n">
        <v>44176</v>
      </c>
      <c r="C1495" s="1" t="n">
        <v>45350</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66907-2020</t>
        </is>
      </c>
      <c r="B1496" s="1" t="n">
        <v>44176</v>
      </c>
      <c r="C1496" s="1" t="n">
        <v>45350</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66726-2020</t>
        </is>
      </c>
      <c r="B1497" s="1" t="n">
        <v>44179</v>
      </c>
      <c r="C1497" s="1" t="n">
        <v>45350</v>
      </c>
      <c r="D1497" t="inlineStr">
        <is>
          <t>STOCKHOLMS LÄN</t>
        </is>
      </c>
      <c r="E1497" t="inlineStr">
        <is>
          <t>HANINGE</t>
        </is>
      </c>
      <c r="F1497" t="inlineStr">
        <is>
          <t>Övriga statliga verk och myndigheter</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66949-2020</t>
        </is>
      </c>
      <c r="B1498" s="1" t="n">
        <v>44180</v>
      </c>
      <c r="C1498" s="1" t="n">
        <v>45350</v>
      </c>
      <c r="D1498" t="inlineStr">
        <is>
          <t>STOCKHOLMS LÄN</t>
        </is>
      </c>
      <c r="E1498" t="inlineStr">
        <is>
          <t>UPPLANDS-BRO</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66926-2020</t>
        </is>
      </c>
      <c r="B1499" s="1" t="n">
        <v>44180</v>
      </c>
      <c r="C1499" s="1" t="n">
        <v>45350</v>
      </c>
      <c r="D1499" t="inlineStr">
        <is>
          <t>STOCKHOLMS LÄN</t>
        </is>
      </c>
      <c r="E1499" t="inlineStr">
        <is>
          <t>UPPLANDS-BRO</t>
        </is>
      </c>
      <c r="F1499" t="inlineStr">
        <is>
          <t>Övriga statliga verk och myndigheter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66960-2020</t>
        </is>
      </c>
      <c r="B1500" s="1" t="n">
        <v>44180</v>
      </c>
      <c r="C1500" s="1" t="n">
        <v>45350</v>
      </c>
      <c r="D1500" t="inlineStr">
        <is>
          <t>STOCKHOLMS LÄN</t>
        </is>
      </c>
      <c r="E1500" t="inlineStr">
        <is>
          <t>UPPLANDS-BRO</t>
        </is>
      </c>
      <c r="F1500" t="inlineStr">
        <is>
          <t>Övriga statliga verk och myndigheter</t>
        </is>
      </c>
      <c r="G1500" t="n">
        <v>15.2</v>
      </c>
      <c r="H1500" t="n">
        <v>0</v>
      </c>
      <c r="I1500" t="n">
        <v>0</v>
      </c>
      <c r="J1500" t="n">
        <v>0</v>
      </c>
      <c r="K1500" t="n">
        <v>0</v>
      </c>
      <c r="L1500" t="n">
        <v>0</v>
      </c>
      <c r="M1500" t="n">
        <v>0</v>
      </c>
      <c r="N1500" t="n">
        <v>0</v>
      </c>
      <c r="O1500" t="n">
        <v>0</v>
      </c>
      <c r="P1500" t="n">
        <v>0</v>
      </c>
      <c r="Q1500" t="n">
        <v>0</v>
      </c>
      <c r="R1500" s="2" t="inlineStr"/>
    </row>
    <row r="1501" ht="15" customHeight="1">
      <c r="A1501" t="inlineStr">
        <is>
          <t>A 67286-2020</t>
        </is>
      </c>
      <c r="B1501" s="1" t="n">
        <v>44181</v>
      </c>
      <c r="C1501" s="1" t="n">
        <v>45350</v>
      </c>
      <c r="D1501" t="inlineStr">
        <is>
          <t>STOCKHOLMS LÄN</t>
        </is>
      </c>
      <c r="E1501" t="inlineStr">
        <is>
          <t>UPPLANDS-BRO</t>
        </is>
      </c>
      <c r="F1501" t="inlineStr">
        <is>
          <t>Övriga statliga verk och myndigheter</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67393-2020</t>
        </is>
      </c>
      <c r="B1502" s="1" t="n">
        <v>44181</v>
      </c>
      <c r="C1502" s="1" t="n">
        <v>45350</v>
      </c>
      <c r="D1502" t="inlineStr">
        <is>
          <t>STOCKHOLMS LÄN</t>
        </is>
      </c>
      <c r="E1502" t="inlineStr">
        <is>
          <t>NORRTÄLJE</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67275-2020</t>
        </is>
      </c>
      <c r="B1503" s="1" t="n">
        <v>44181</v>
      </c>
      <c r="C1503" s="1" t="n">
        <v>45350</v>
      </c>
      <c r="D1503" t="inlineStr">
        <is>
          <t>STOCKHOLMS LÄN</t>
        </is>
      </c>
      <c r="E1503" t="inlineStr">
        <is>
          <t>UPPLANDS-BRO</t>
        </is>
      </c>
      <c r="F1503" t="inlineStr">
        <is>
          <t>Övriga statliga verk och myndigheter</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68081-2020</t>
        </is>
      </c>
      <c r="B1504" s="1" t="n">
        <v>44183</v>
      </c>
      <c r="C1504" s="1" t="n">
        <v>45350</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68268-2020</t>
        </is>
      </c>
      <c r="B1505" s="1" t="n">
        <v>44183</v>
      </c>
      <c r="C1505" s="1" t="n">
        <v>45350</v>
      </c>
      <c r="D1505" t="inlineStr">
        <is>
          <t>STOCKHOLMS LÄN</t>
        </is>
      </c>
      <c r="E1505" t="inlineStr">
        <is>
          <t>NYKVARN</t>
        </is>
      </c>
      <c r="F1505" t="inlineStr">
        <is>
          <t>Allmännings- och besparingsskogar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68721-2020</t>
        </is>
      </c>
      <c r="B1506" s="1" t="n">
        <v>44187</v>
      </c>
      <c r="C1506" s="1" t="n">
        <v>45350</v>
      </c>
      <c r="D1506" t="inlineStr">
        <is>
          <t>STOCKHOLMS LÄN</t>
        </is>
      </c>
      <c r="E1506" t="inlineStr">
        <is>
          <t>SÖDERTÄLJE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68935-2020</t>
        </is>
      </c>
      <c r="B1507" s="1" t="n">
        <v>44187</v>
      </c>
      <c r="C1507" s="1" t="n">
        <v>45350</v>
      </c>
      <c r="D1507" t="inlineStr">
        <is>
          <t>STOCKHOLMS LÄN</t>
        </is>
      </c>
      <c r="E1507" t="inlineStr">
        <is>
          <t>VALLENTUNA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68938-2020</t>
        </is>
      </c>
      <c r="B1508" s="1" t="n">
        <v>44187</v>
      </c>
      <c r="C1508" s="1" t="n">
        <v>45350</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69183-2020</t>
        </is>
      </c>
      <c r="B1509" s="1" t="n">
        <v>44190</v>
      </c>
      <c r="C1509" s="1" t="n">
        <v>45350</v>
      </c>
      <c r="D1509" t="inlineStr">
        <is>
          <t>STOCKHOLMS LÄN</t>
        </is>
      </c>
      <c r="E1509" t="inlineStr">
        <is>
          <t>NYNÄSHAMN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177-2021</t>
        </is>
      </c>
      <c r="B1510" s="1" t="n">
        <v>44200</v>
      </c>
      <c r="C1510" s="1" t="n">
        <v>45350</v>
      </c>
      <c r="D1510" t="inlineStr">
        <is>
          <t>STOCKHOLMS LÄN</t>
        </is>
      </c>
      <c r="E1510" t="inlineStr">
        <is>
          <t>BOTKYRKA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367-2021</t>
        </is>
      </c>
      <c r="B1511" s="1" t="n">
        <v>44201</v>
      </c>
      <c r="C1511" s="1" t="n">
        <v>45350</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348-2021</t>
        </is>
      </c>
      <c r="B1512" s="1" t="n">
        <v>44201</v>
      </c>
      <c r="C1512" s="1" t="n">
        <v>45350</v>
      </c>
      <c r="D1512" t="inlineStr">
        <is>
          <t>STOCKHOLMS LÄN</t>
        </is>
      </c>
      <c r="E1512" t="inlineStr">
        <is>
          <t>NORRTÄLJE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1418-2021</t>
        </is>
      </c>
      <c r="B1513" s="1" t="n">
        <v>44208</v>
      </c>
      <c r="C1513" s="1" t="n">
        <v>45350</v>
      </c>
      <c r="D1513" t="inlineStr">
        <is>
          <t>STOCKHOLMS LÄN</t>
        </is>
      </c>
      <c r="E1513" t="inlineStr">
        <is>
          <t>HANINGE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1438-2021</t>
        </is>
      </c>
      <c r="B1514" s="1" t="n">
        <v>44208</v>
      </c>
      <c r="C1514" s="1" t="n">
        <v>45350</v>
      </c>
      <c r="D1514" t="inlineStr">
        <is>
          <t>STOCKHOLMS LÄN</t>
        </is>
      </c>
      <c r="E1514" t="inlineStr">
        <is>
          <t>HANINGE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1420-2021</t>
        </is>
      </c>
      <c r="B1515" s="1" t="n">
        <v>44208</v>
      </c>
      <c r="C1515" s="1" t="n">
        <v>45350</v>
      </c>
      <c r="D1515" t="inlineStr">
        <is>
          <t>STOCKHOLMS LÄN</t>
        </is>
      </c>
      <c r="E1515" t="inlineStr">
        <is>
          <t>HANINGE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1553-2021</t>
        </is>
      </c>
      <c r="B1516" s="1" t="n">
        <v>44209</v>
      </c>
      <c r="C1516" s="1" t="n">
        <v>45350</v>
      </c>
      <c r="D1516" t="inlineStr">
        <is>
          <t>STOCKHOLMS LÄN</t>
        </is>
      </c>
      <c r="E1516" t="inlineStr">
        <is>
          <t>EKERÖ</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1637-2021</t>
        </is>
      </c>
      <c r="B1517" s="1" t="n">
        <v>44209</v>
      </c>
      <c r="C1517" s="1" t="n">
        <v>45350</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1970-2021</t>
        </is>
      </c>
      <c r="B1518" s="1" t="n">
        <v>44210</v>
      </c>
      <c r="C1518" s="1" t="n">
        <v>45350</v>
      </c>
      <c r="D1518" t="inlineStr">
        <is>
          <t>STOCKHOLMS LÄN</t>
        </is>
      </c>
      <c r="E1518" t="inlineStr">
        <is>
          <t>NORRTÄLJE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2295-2021</t>
        </is>
      </c>
      <c r="B1519" s="1" t="n">
        <v>44212</v>
      </c>
      <c r="C1519" s="1" t="n">
        <v>45350</v>
      </c>
      <c r="D1519" t="inlineStr">
        <is>
          <t>STOCKHOLMS LÄN</t>
        </is>
      </c>
      <c r="E1519" t="inlineStr">
        <is>
          <t>NYNÄSHAMN</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2447-2021</t>
        </is>
      </c>
      <c r="B1520" s="1" t="n">
        <v>44214</v>
      </c>
      <c r="C1520" s="1" t="n">
        <v>45350</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2751-2021</t>
        </is>
      </c>
      <c r="B1521" s="1" t="n">
        <v>44215</v>
      </c>
      <c r="C1521" s="1" t="n">
        <v>45350</v>
      </c>
      <c r="D1521" t="inlineStr">
        <is>
          <t>STOCKHOLMS LÄN</t>
        </is>
      </c>
      <c r="E1521" t="inlineStr">
        <is>
          <t>NYNÄSHAMN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2976-2021</t>
        </is>
      </c>
      <c r="B1522" s="1" t="n">
        <v>44216</v>
      </c>
      <c r="C1522" s="1" t="n">
        <v>45350</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2867-2021</t>
        </is>
      </c>
      <c r="B1523" s="1" t="n">
        <v>44216</v>
      </c>
      <c r="C1523" s="1" t="n">
        <v>45350</v>
      </c>
      <c r="D1523" t="inlineStr">
        <is>
          <t>STOCKHOLMS LÄN</t>
        </is>
      </c>
      <c r="E1523" t="inlineStr">
        <is>
          <t>NYNÄSHAMN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2858-2021</t>
        </is>
      </c>
      <c r="B1524" s="1" t="n">
        <v>44216</v>
      </c>
      <c r="C1524" s="1" t="n">
        <v>45350</v>
      </c>
      <c r="D1524" t="inlineStr">
        <is>
          <t>STOCKHOLMS LÄN</t>
        </is>
      </c>
      <c r="E1524" t="inlineStr">
        <is>
          <t>NYNÄSHAMN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3143-2021</t>
        </is>
      </c>
      <c r="B1525" s="1" t="n">
        <v>44217</v>
      </c>
      <c r="C1525" s="1" t="n">
        <v>45350</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3386-2021</t>
        </is>
      </c>
      <c r="B1526" s="1" t="n">
        <v>44218</v>
      </c>
      <c r="C1526" s="1" t="n">
        <v>45350</v>
      </c>
      <c r="D1526" t="inlineStr">
        <is>
          <t>STOCKHOLMS LÄN</t>
        </is>
      </c>
      <c r="E1526" t="inlineStr">
        <is>
          <t>NORRTÄLJE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3702-2021</t>
        </is>
      </c>
      <c r="B1527" s="1" t="n">
        <v>44221</v>
      </c>
      <c r="C1527" s="1" t="n">
        <v>45350</v>
      </c>
      <c r="D1527" t="inlineStr">
        <is>
          <t>STOCKHOLMS LÄN</t>
        </is>
      </c>
      <c r="E1527" t="inlineStr">
        <is>
          <t>EKERÖ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4281-2021</t>
        </is>
      </c>
      <c r="B1528" s="1" t="n">
        <v>44223</v>
      </c>
      <c r="C1528" s="1" t="n">
        <v>45350</v>
      </c>
      <c r="D1528" t="inlineStr">
        <is>
          <t>STOCKHOLMS LÄN</t>
        </is>
      </c>
      <c r="E1528" t="inlineStr">
        <is>
          <t>BOTKYRKA</t>
        </is>
      </c>
      <c r="F1528" t="inlineStr">
        <is>
          <t>Övriga Aktiebolag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4354-2021</t>
        </is>
      </c>
      <c r="B1529" s="1" t="n">
        <v>44223</v>
      </c>
      <c r="C1529" s="1" t="n">
        <v>45350</v>
      </c>
      <c r="D1529" t="inlineStr">
        <is>
          <t>STOCKHOLMS LÄN</t>
        </is>
      </c>
      <c r="E1529" t="inlineStr">
        <is>
          <t>NYNÄSHAMN</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4634-2021</t>
        </is>
      </c>
      <c r="B1530" s="1" t="n">
        <v>44224</v>
      </c>
      <c r="C1530" s="1" t="n">
        <v>45350</v>
      </c>
      <c r="D1530" t="inlineStr">
        <is>
          <t>STOCKHOLMS LÄN</t>
        </is>
      </c>
      <c r="E1530" t="inlineStr">
        <is>
          <t>NORRTÄLJE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4632-2021</t>
        </is>
      </c>
      <c r="B1531" s="1" t="n">
        <v>44224</v>
      </c>
      <c r="C1531" s="1" t="n">
        <v>45350</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5037-2021</t>
        </is>
      </c>
      <c r="B1532" s="1" t="n">
        <v>44228</v>
      </c>
      <c r="C1532" s="1" t="n">
        <v>45350</v>
      </c>
      <c r="D1532" t="inlineStr">
        <is>
          <t>STOCKHOLMS LÄN</t>
        </is>
      </c>
      <c r="E1532" t="inlineStr">
        <is>
          <t>NORRTÄLJE</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5562-2021</t>
        </is>
      </c>
      <c r="B1533" s="1" t="n">
        <v>44230</v>
      </c>
      <c r="C1533" s="1" t="n">
        <v>45350</v>
      </c>
      <c r="D1533" t="inlineStr">
        <is>
          <t>STOCKHOLMS LÄN</t>
        </is>
      </c>
      <c r="E1533" t="inlineStr">
        <is>
          <t>NORRTÄLJE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5566-2021</t>
        </is>
      </c>
      <c r="B1534" s="1" t="n">
        <v>44230</v>
      </c>
      <c r="C1534" s="1" t="n">
        <v>45350</v>
      </c>
      <c r="D1534" t="inlineStr">
        <is>
          <t>STOCKHOLMS LÄN</t>
        </is>
      </c>
      <c r="E1534" t="inlineStr">
        <is>
          <t>NORRTÄLJE</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5950-2021</t>
        </is>
      </c>
      <c r="B1535" s="1" t="n">
        <v>44231</v>
      </c>
      <c r="C1535" s="1" t="n">
        <v>45350</v>
      </c>
      <c r="D1535" t="inlineStr">
        <is>
          <t>STOCKHOLMS LÄN</t>
        </is>
      </c>
      <c r="E1535" t="inlineStr">
        <is>
          <t>NORRTÄLJE</t>
        </is>
      </c>
      <c r="F1535" t="inlineStr">
        <is>
          <t>Holmen skog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6049-2021</t>
        </is>
      </c>
      <c r="B1536" s="1" t="n">
        <v>44231</v>
      </c>
      <c r="C1536" s="1" t="n">
        <v>45350</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6080-2021</t>
        </is>
      </c>
      <c r="B1537" s="1" t="n">
        <v>44232</v>
      </c>
      <c r="C1537" s="1" t="n">
        <v>45350</v>
      </c>
      <c r="D1537" t="inlineStr">
        <is>
          <t>STOCKHOLMS LÄN</t>
        </is>
      </c>
      <c r="E1537" t="inlineStr">
        <is>
          <t>ÖSTERÅKER</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6430-2021</t>
        </is>
      </c>
      <c r="B1538" s="1" t="n">
        <v>44235</v>
      </c>
      <c r="C1538" s="1" t="n">
        <v>45350</v>
      </c>
      <c r="D1538" t="inlineStr">
        <is>
          <t>STOCKHOLMS LÄN</t>
        </is>
      </c>
      <c r="E1538" t="inlineStr">
        <is>
          <t>SIGTUNA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45350</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7683-2021</t>
        </is>
      </c>
      <c r="B1540" s="1" t="n">
        <v>44242</v>
      </c>
      <c r="C1540" s="1" t="n">
        <v>45350</v>
      </c>
      <c r="D1540" t="inlineStr">
        <is>
          <t>STOCKHOLMS LÄN</t>
        </is>
      </c>
      <c r="E1540" t="inlineStr">
        <is>
          <t>NYNÄSHAMN</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7903-2021</t>
        </is>
      </c>
      <c r="B1541" s="1" t="n">
        <v>44243</v>
      </c>
      <c r="C1541" s="1" t="n">
        <v>45350</v>
      </c>
      <c r="D1541" t="inlineStr">
        <is>
          <t>STOCKHOLMS LÄN</t>
        </is>
      </c>
      <c r="E1541" t="inlineStr">
        <is>
          <t>NORRTÄLJE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7999-2021</t>
        </is>
      </c>
      <c r="B1542" s="1" t="n">
        <v>44243</v>
      </c>
      <c r="C1542" s="1" t="n">
        <v>45350</v>
      </c>
      <c r="D1542" t="inlineStr">
        <is>
          <t>STOCKHOLMS LÄN</t>
        </is>
      </c>
      <c r="E1542" t="inlineStr">
        <is>
          <t>NORRTÄLJE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8338-2021</t>
        </is>
      </c>
      <c r="B1543" s="1" t="n">
        <v>44244</v>
      </c>
      <c r="C1543" s="1" t="n">
        <v>45350</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8791-2021</t>
        </is>
      </c>
      <c r="B1544" s="1" t="n">
        <v>44246</v>
      </c>
      <c r="C1544" s="1" t="n">
        <v>45350</v>
      </c>
      <c r="D1544" t="inlineStr">
        <is>
          <t>STOCKHOLMS LÄN</t>
        </is>
      </c>
      <c r="E1544" t="inlineStr">
        <is>
          <t>VALLENTUNA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9024-2021</t>
        </is>
      </c>
      <c r="B1545" s="1" t="n">
        <v>44249</v>
      </c>
      <c r="C1545" s="1" t="n">
        <v>45350</v>
      </c>
      <c r="D1545" t="inlineStr">
        <is>
          <t>STOCKHOLMS LÄN</t>
        </is>
      </c>
      <c r="E1545" t="inlineStr">
        <is>
          <t>VÄRMDÖ</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9467-2021</t>
        </is>
      </c>
      <c r="B1546" s="1" t="n">
        <v>44251</v>
      </c>
      <c r="C1546" s="1" t="n">
        <v>45350</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9469-2021</t>
        </is>
      </c>
      <c r="B1547" s="1" t="n">
        <v>44251</v>
      </c>
      <c r="C1547" s="1" t="n">
        <v>45350</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9446-2021</t>
        </is>
      </c>
      <c r="B1548" s="1" t="n">
        <v>44251</v>
      </c>
      <c r="C1548" s="1" t="n">
        <v>45350</v>
      </c>
      <c r="D1548" t="inlineStr">
        <is>
          <t>STOCKHOLMS LÄN</t>
        </is>
      </c>
      <c r="E1548" t="inlineStr">
        <is>
          <t>NORRTÄLJE</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9719-2021</t>
        </is>
      </c>
      <c r="B1549" s="1" t="n">
        <v>44252</v>
      </c>
      <c r="C1549" s="1" t="n">
        <v>45350</v>
      </c>
      <c r="D1549" t="inlineStr">
        <is>
          <t>STOCKHOLMS LÄN</t>
        </is>
      </c>
      <c r="E1549" t="inlineStr">
        <is>
          <t>NORRTÄLJE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9703-2021</t>
        </is>
      </c>
      <c r="B1550" s="1" t="n">
        <v>44252</v>
      </c>
      <c r="C1550" s="1" t="n">
        <v>45350</v>
      </c>
      <c r="D1550" t="inlineStr">
        <is>
          <t>STOCKHOLMS LÄN</t>
        </is>
      </c>
      <c r="E1550" t="inlineStr">
        <is>
          <t>NORRTÄLJE</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9939-2021</t>
        </is>
      </c>
      <c r="B1551" s="1" t="n">
        <v>44253</v>
      </c>
      <c r="C1551" s="1" t="n">
        <v>45350</v>
      </c>
      <c r="D1551" t="inlineStr">
        <is>
          <t>STOCKHOLMS LÄN</t>
        </is>
      </c>
      <c r="E1551" t="inlineStr">
        <is>
          <t>HUDDINGE</t>
        </is>
      </c>
      <c r="F1551" t="inlineStr">
        <is>
          <t>Kommuner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9945-2021</t>
        </is>
      </c>
      <c r="B1552" s="1" t="n">
        <v>44253</v>
      </c>
      <c r="C1552" s="1" t="n">
        <v>45350</v>
      </c>
      <c r="D1552" t="inlineStr">
        <is>
          <t>STOCKHOLMS LÄN</t>
        </is>
      </c>
      <c r="E1552" t="inlineStr">
        <is>
          <t>HUDDINGE</t>
        </is>
      </c>
      <c r="F1552" t="inlineStr">
        <is>
          <t>Kommuner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9986-2021</t>
        </is>
      </c>
      <c r="B1553" s="1" t="n">
        <v>44254</v>
      </c>
      <c r="C1553" s="1" t="n">
        <v>45350</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10527-2021</t>
        </is>
      </c>
      <c r="B1554" s="1" t="n">
        <v>44258</v>
      </c>
      <c r="C1554" s="1" t="n">
        <v>45350</v>
      </c>
      <c r="D1554" t="inlineStr">
        <is>
          <t>STOCKHOLMS LÄN</t>
        </is>
      </c>
      <c r="E1554" t="inlineStr">
        <is>
          <t>NYNÄSHAMN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10525-2021</t>
        </is>
      </c>
      <c r="B1555" s="1" t="n">
        <v>44258</v>
      </c>
      <c r="C1555" s="1" t="n">
        <v>45350</v>
      </c>
      <c r="D1555" t="inlineStr">
        <is>
          <t>STOCKHOLMS LÄN</t>
        </is>
      </c>
      <c r="E1555" t="inlineStr">
        <is>
          <t>NYNÄSHAMN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10687-2021</t>
        </is>
      </c>
      <c r="B1556" s="1" t="n">
        <v>44258</v>
      </c>
      <c r="C1556" s="1" t="n">
        <v>45350</v>
      </c>
      <c r="D1556" t="inlineStr">
        <is>
          <t>STOCKHOLMS LÄN</t>
        </is>
      </c>
      <c r="E1556" t="inlineStr">
        <is>
          <t>NORRTÄLJE</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10684-2021</t>
        </is>
      </c>
      <c r="B1557" s="1" t="n">
        <v>44258</v>
      </c>
      <c r="C1557" s="1" t="n">
        <v>45350</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10677-2021</t>
        </is>
      </c>
      <c r="B1558" s="1" t="n">
        <v>44258</v>
      </c>
      <c r="C1558" s="1" t="n">
        <v>45350</v>
      </c>
      <c r="D1558" t="inlineStr">
        <is>
          <t>STOCKHOLMS LÄN</t>
        </is>
      </c>
      <c r="E1558" t="inlineStr">
        <is>
          <t>HANINGE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10808-2021</t>
        </is>
      </c>
      <c r="B1559" s="1" t="n">
        <v>44259</v>
      </c>
      <c r="C1559" s="1" t="n">
        <v>45350</v>
      </c>
      <c r="D1559" t="inlineStr">
        <is>
          <t>STOCKHOLMS LÄN</t>
        </is>
      </c>
      <c r="E1559" t="inlineStr">
        <is>
          <t>BOTKYRKA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10817-2021</t>
        </is>
      </c>
      <c r="B1560" s="1" t="n">
        <v>44259</v>
      </c>
      <c r="C1560" s="1" t="n">
        <v>45350</v>
      </c>
      <c r="D1560" t="inlineStr">
        <is>
          <t>STOCKHOLMS LÄN</t>
        </is>
      </c>
      <c r="E1560" t="inlineStr">
        <is>
          <t>BOTKYRKA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10815-2021</t>
        </is>
      </c>
      <c r="B1561" s="1" t="n">
        <v>44259</v>
      </c>
      <c r="C1561" s="1" t="n">
        <v>45350</v>
      </c>
      <c r="D1561" t="inlineStr">
        <is>
          <t>STOCKHOLMS LÄN</t>
        </is>
      </c>
      <c r="E1561" t="inlineStr">
        <is>
          <t>BOTKYRKA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11122-2021</t>
        </is>
      </c>
      <c r="B1562" s="1" t="n">
        <v>44260</v>
      </c>
      <c r="C1562" s="1" t="n">
        <v>45350</v>
      </c>
      <c r="D1562" t="inlineStr">
        <is>
          <t>STOCKHOLMS LÄN</t>
        </is>
      </c>
      <c r="E1562" t="inlineStr">
        <is>
          <t>NORRTÄLJE</t>
        </is>
      </c>
      <c r="F1562" t="inlineStr">
        <is>
          <t>Holmen skog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11126-2021</t>
        </is>
      </c>
      <c r="B1563" s="1" t="n">
        <v>44260</v>
      </c>
      <c r="C1563" s="1" t="n">
        <v>45350</v>
      </c>
      <c r="D1563" t="inlineStr">
        <is>
          <t>STOCKHOLMS LÄN</t>
        </is>
      </c>
      <c r="E1563" t="inlineStr">
        <is>
          <t>SÖDERTÄLJE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11197-2021</t>
        </is>
      </c>
      <c r="B1564" s="1" t="n">
        <v>44263</v>
      </c>
      <c r="C1564" s="1" t="n">
        <v>45350</v>
      </c>
      <c r="D1564" t="inlineStr">
        <is>
          <t>STOCKHOLMS LÄN</t>
        </is>
      </c>
      <c r="E1564" t="inlineStr">
        <is>
          <t>SIGTUNA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11361-2021</t>
        </is>
      </c>
      <c r="B1565" s="1" t="n">
        <v>44263</v>
      </c>
      <c r="C1565" s="1" t="n">
        <v>45350</v>
      </c>
      <c r="D1565" t="inlineStr">
        <is>
          <t>STOCKHOLMS LÄN</t>
        </is>
      </c>
      <c r="E1565" t="inlineStr">
        <is>
          <t>SÖDERTÄLJE</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11195-2021</t>
        </is>
      </c>
      <c r="B1566" s="1" t="n">
        <v>44263</v>
      </c>
      <c r="C1566" s="1" t="n">
        <v>45350</v>
      </c>
      <c r="D1566" t="inlineStr">
        <is>
          <t>STOCKHOLMS LÄN</t>
        </is>
      </c>
      <c r="E1566" t="inlineStr">
        <is>
          <t>SIGTUNA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11360-2021</t>
        </is>
      </c>
      <c r="B1567" s="1" t="n">
        <v>44263</v>
      </c>
      <c r="C1567" s="1" t="n">
        <v>45350</v>
      </c>
      <c r="D1567" t="inlineStr">
        <is>
          <t>STOCKHOLMS LÄN</t>
        </is>
      </c>
      <c r="E1567" t="inlineStr">
        <is>
          <t>SÖDERTÄLJE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11368-2021</t>
        </is>
      </c>
      <c r="B1568" s="1" t="n">
        <v>44263</v>
      </c>
      <c r="C1568" s="1" t="n">
        <v>45350</v>
      </c>
      <c r="D1568" t="inlineStr">
        <is>
          <t>STOCKHOLMS LÄN</t>
        </is>
      </c>
      <c r="E1568" t="inlineStr">
        <is>
          <t>SÖDERTÄLJE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11267-2021</t>
        </is>
      </c>
      <c r="B1569" s="1" t="n">
        <v>44263</v>
      </c>
      <c r="C1569" s="1" t="n">
        <v>45350</v>
      </c>
      <c r="D1569" t="inlineStr">
        <is>
          <t>STOCKHOLMS LÄN</t>
        </is>
      </c>
      <c r="E1569" t="inlineStr">
        <is>
          <t>NACKA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11438-2021</t>
        </is>
      </c>
      <c r="B1570" s="1" t="n">
        <v>44263</v>
      </c>
      <c r="C1570" s="1" t="n">
        <v>45350</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11477-2021</t>
        </is>
      </c>
      <c r="B1571" s="1" t="n">
        <v>44264</v>
      </c>
      <c r="C1571" s="1" t="n">
        <v>45350</v>
      </c>
      <c r="D1571" t="inlineStr">
        <is>
          <t>STOCKHOLMS LÄN</t>
        </is>
      </c>
      <c r="E1571" t="inlineStr">
        <is>
          <t>SIGTUNA</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11459-2021</t>
        </is>
      </c>
      <c r="B1572" s="1" t="n">
        <v>44264</v>
      </c>
      <c r="C1572" s="1" t="n">
        <v>45350</v>
      </c>
      <c r="D1572" t="inlineStr">
        <is>
          <t>STOCKHOLMS LÄN</t>
        </is>
      </c>
      <c r="E1572" t="inlineStr">
        <is>
          <t>SIGTUNA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11713-2021</t>
        </is>
      </c>
      <c r="B1573" s="1" t="n">
        <v>44265</v>
      </c>
      <c r="C1573" s="1" t="n">
        <v>45350</v>
      </c>
      <c r="D1573" t="inlineStr">
        <is>
          <t>STOCKHOLMS LÄN</t>
        </is>
      </c>
      <c r="E1573" t="inlineStr">
        <is>
          <t>SIGTUNA</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11718-2021</t>
        </is>
      </c>
      <c r="B1574" s="1" t="n">
        <v>44265</v>
      </c>
      <c r="C1574" s="1" t="n">
        <v>45350</v>
      </c>
      <c r="D1574" t="inlineStr">
        <is>
          <t>STOCKHOLMS LÄN</t>
        </is>
      </c>
      <c r="E1574" t="inlineStr">
        <is>
          <t>SIGTUNA</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11841-2021</t>
        </is>
      </c>
      <c r="B1575" s="1" t="n">
        <v>44265</v>
      </c>
      <c r="C1575" s="1" t="n">
        <v>45350</v>
      </c>
      <c r="D1575" t="inlineStr">
        <is>
          <t>STOCKHOLMS LÄN</t>
        </is>
      </c>
      <c r="E1575" t="inlineStr">
        <is>
          <t>NYNÄSHAMN</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11988-2021</t>
        </is>
      </c>
      <c r="B1576" s="1" t="n">
        <v>44266</v>
      </c>
      <c r="C1576" s="1" t="n">
        <v>45350</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12031-2021</t>
        </is>
      </c>
      <c r="B1577" s="1" t="n">
        <v>44266</v>
      </c>
      <c r="C1577" s="1" t="n">
        <v>45350</v>
      </c>
      <c r="D1577" t="inlineStr">
        <is>
          <t>STOCKHOLMS LÄN</t>
        </is>
      </c>
      <c r="E1577" t="inlineStr">
        <is>
          <t>NORRTÄLJE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12111-2021</t>
        </is>
      </c>
      <c r="B1578" s="1" t="n">
        <v>44266</v>
      </c>
      <c r="C1578" s="1" t="n">
        <v>45350</v>
      </c>
      <c r="D1578" t="inlineStr">
        <is>
          <t>STOCKHOLMS LÄN</t>
        </is>
      </c>
      <c r="E1578" t="inlineStr">
        <is>
          <t>NORRTÄLJE</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12126-2021</t>
        </is>
      </c>
      <c r="B1579" s="1" t="n">
        <v>44266</v>
      </c>
      <c r="C1579" s="1" t="n">
        <v>45350</v>
      </c>
      <c r="D1579" t="inlineStr">
        <is>
          <t>STOCKHOLMS LÄN</t>
        </is>
      </c>
      <c r="E1579" t="inlineStr">
        <is>
          <t>SÖDERTÄLJE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12132-2021</t>
        </is>
      </c>
      <c r="B1580" s="1" t="n">
        <v>44266</v>
      </c>
      <c r="C1580" s="1" t="n">
        <v>45350</v>
      </c>
      <c r="D1580" t="inlineStr">
        <is>
          <t>STOCKHOLMS LÄN</t>
        </is>
      </c>
      <c r="E1580" t="inlineStr">
        <is>
          <t>NORRTÄLJE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12564-2021</t>
        </is>
      </c>
      <c r="B1581" s="1" t="n">
        <v>44270</v>
      </c>
      <c r="C1581" s="1" t="n">
        <v>45350</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12779-2021</t>
        </is>
      </c>
      <c r="B1582" s="1" t="n">
        <v>44270</v>
      </c>
      <c r="C1582" s="1" t="n">
        <v>45350</v>
      </c>
      <c r="D1582" t="inlineStr">
        <is>
          <t>STOCKHOLMS LÄN</t>
        </is>
      </c>
      <c r="E1582" t="inlineStr">
        <is>
          <t>NORRTÄLJE</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12782-2021</t>
        </is>
      </c>
      <c r="B1583" s="1" t="n">
        <v>44270</v>
      </c>
      <c r="C1583" s="1" t="n">
        <v>45350</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12874-2021</t>
        </is>
      </c>
      <c r="B1584" s="1" t="n">
        <v>44271</v>
      </c>
      <c r="C1584" s="1" t="n">
        <v>45350</v>
      </c>
      <c r="D1584" t="inlineStr">
        <is>
          <t>STOCKHOLMS LÄN</t>
        </is>
      </c>
      <c r="E1584" t="inlineStr">
        <is>
          <t>SALEM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12901-2021</t>
        </is>
      </c>
      <c r="B1585" s="1" t="n">
        <v>44271</v>
      </c>
      <c r="C1585" s="1" t="n">
        <v>45350</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13051-2021</t>
        </is>
      </c>
      <c r="B1586" s="1" t="n">
        <v>44272</v>
      </c>
      <c r="C1586" s="1" t="n">
        <v>45350</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13148-2021</t>
        </is>
      </c>
      <c r="B1587" s="1" t="n">
        <v>44272</v>
      </c>
      <c r="C1587" s="1" t="n">
        <v>45350</v>
      </c>
      <c r="D1587" t="inlineStr">
        <is>
          <t>STOCKHOLMS LÄN</t>
        </is>
      </c>
      <c r="E1587" t="inlineStr">
        <is>
          <t>NORRTÄLJE</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13118-2021</t>
        </is>
      </c>
      <c r="B1588" s="1" t="n">
        <v>44272</v>
      </c>
      <c r="C1588" s="1" t="n">
        <v>45350</v>
      </c>
      <c r="D1588" t="inlineStr">
        <is>
          <t>STOCKHOLMS LÄN</t>
        </is>
      </c>
      <c r="E1588" t="inlineStr">
        <is>
          <t>ÖSTERÅKER</t>
        </is>
      </c>
      <c r="F1588" t="inlineStr">
        <is>
          <t>Kyrkan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13351-2021</t>
        </is>
      </c>
      <c r="B1589" s="1" t="n">
        <v>44273</v>
      </c>
      <c r="C1589" s="1" t="n">
        <v>45350</v>
      </c>
      <c r="D1589" t="inlineStr">
        <is>
          <t>STOCKHOLMS LÄN</t>
        </is>
      </c>
      <c r="E1589" t="inlineStr">
        <is>
          <t>SALEM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13736-2021</t>
        </is>
      </c>
      <c r="B1590" s="1" t="n">
        <v>44274</v>
      </c>
      <c r="C1590" s="1" t="n">
        <v>45350</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13752-2021</t>
        </is>
      </c>
      <c r="B1591" s="1" t="n">
        <v>44274</v>
      </c>
      <c r="C1591" s="1" t="n">
        <v>45350</v>
      </c>
      <c r="D1591" t="inlineStr">
        <is>
          <t>STOCKHOLMS LÄN</t>
        </is>
      </c>
      <c r="E1591" t="inlineStr">
        <is>
          <t>NORRTÄLJE</t>
        </is>
      </c>
      <c r="F1591" t="inlineStr">
        <is>
          <t>Holmen skog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13921-2021</t>
        </is>
      </c>
      <c r="B1592" s="1" t="n">
        <v>44277</v>
      </c>
      <c r="C1592" s="1" t="n">
        <v>45350</v>
      </c>
      <c r="D1592" t="inlineStr">
        <is>
          <t>STOCKHOLMS LÄN</t>
        </is>
      </c>
      <c r="E1592" t="inlineStr">
        <is>
          <t>ÖSTERÅKER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14008-2021</t>
        </is>
      </c>
      <c r="B1593" s="1" t="n">
        <v>44277</v>
      </c>
      <c r="C1593" s="1" t="n">
        <v>45350</v>
      </c>
      <c r="D1593" t="inlineStr">
        <is>
          <t>STOCKHOLMS LÄN</t>
        </is>
      </c>
      <c r="E1593" t="inlineStr">
        <is>
          <t>VÄRMDÖ</t>
        </is>
      </c>
      <c r="F1593" t="inlineStr">
        <is>
          <t>Övriga statliga verk och myndigheter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14014-2021</t>
        </is>
      </c>
      <c r="B1594" s="1" t="n">
        <v>44277</v>
      </c>
      <c r="C1594" s="1" t="n">
        <v>45350</v>
      </c>
      <c r="D1594" t="inlineStr">
        <is>
          <t>STOCKHOLMS LÄN</t>
        </is>
      </c>
      <c r="E1594" t="inlineStr">
        <is>
          <t>VÄRMDÖ</t>
        </is>
      </c>
      <c r="F1594" t="inlineStr">
        <is>
          <t>Övriga statliga verk och myndigheter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14006-2021</t>
        </is>
      </c>
      <c r="B1595" s="1" t="n">
        <v>44277</v>
      </c>
      <c r="C1595" s="1" t="n">
        <v>45350</v>
      </c>
      <c r="D1595" t="inlineStr">
        <is>
          <t>STOCKHOLMS LÄN</t>
        </is>
      </c>
      <c r="E1595" t="inlineStr">
        <is>
          <t>VÄRMDÖ</t>
        </is>
      </c>
      <c r="F1595" t="inlineStr">
        <is>
          <t>Övriga statliga verk och myndigheter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14381-2021</t>
        </is>
      </c>
      <c r="B1596" s="1" t="n">
        <v>44279</v>
      </c>
      <c r="C1596" s="1" t="n">
        <v>45350</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14430-2021</t>
        </is>
      </c>
      <c r="B1597" s="1" t="n">
        <v>44279</v>
      </c>
      <c r="C1597" s="1" t="n">
        <v>45350</v>
      </c>
      <c r="D1597" t="inlineStr">
        <is>
          <t>STOCKHOLMS LÄN</t>
        </is>
      </c>
      <c r="E1597" t="inlineStr">
        <is>
          <t>VALLENTUNA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14434-2021</t>
        </is>
      </c>
      <c r="B1598" s="1" t="n">
        <v>44279</v>
      </c>
      <c r="C1598" s="1" t="n">
        <v>45350</v>
      </c>
      <c r="D1598" t="inlineStr">
        <is>
          <t>STOCKHOLMS LÄN</t>
        </is>
      </c>
      <c r="E1598" t="inlineStr">
        <is>
          <t>VALLENTUNA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14447-2021</t>
        </is>
      </c>
      <c r="B1599" s="1" t="n">
        <v>44279</v>
      </c>
      <c r="C1599" s="1" t="n">
        <v>45350</v>
      </c>
      <c r="D1599" t="inlineStr">
        <is>
          <t>STOCKHOLMS LÄN</t>
        </is>
      </c>
      <c r="E1599" t="inlineStr">
        <is>
          <t>VALLENTUNA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14443-2021</t>
        </is>
      </c>
      <c r="B1600" s="1" t="n">
        <v>44279</v>
      </c>
      <c r="C1600" s="1" t="n">
        <v>45350</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14584-2021</t>
        </is>
      </c>
      <c r="B1601" s="1" t="n">
        <v>44279</v>
      </c>
      <c r="C1601" s="1" t="n">
        <v>45350</v>
      </c>
      <c r="D1601" t="inlineStr">
        <is>
          <t>STOCKHOLMS LÄN</t>
        </is>
      </c>
      <c r="E1601" t="inlineStr">
        <is>
          <t>NYKVARN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14664-2021</t>
        </is>
      </c>
      <c r="B1602" s="1" t="n">
        <v>44280</v>
      </c>
      <c r="C1602" s="1" t="n">
        <v>45350</v>
      </c>
      <c r="D1602" t="inlineStr">
        <is>
          <t>STOCKHOLMS LÄN</t>
        </is>
      </c>
      <c r="E1602" t="inlineStr">
        <is>
          <t>SÖDERTÄLJE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14635-2021</t>
        </is>
      </c>
      <c r="B1603" s="1" t="n">
        <v>44280</v>
      </c>
      <c r="C1603" s="1" t="n">
        <v>45350</v>
      </c>
      <c r="D1603" t="inlineStr">
        <is>
          <t>STOCKHOLMS LÄN</t>
        </is>
      </c>
      <c r="E1603" t="inlineStr">
        <is>
          <t>SÖDERTÄLJE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14894-2021</t>
        </is>
      </c>
      <c r="B1604" s="1" t="n">
        <v>44281</v>
      </c>
      <c r="C1604" s="1" t="n">
        <v>45350</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14922-2021</t>
        </is>
      </c>
      <c r="B1605" s="1" t="n">
        <v>44281</v>
      </c>
      <c r="C1605" s="1" t="n">
        <v>45350</v>
      </c>
      <c r="D1605" t="inlineStr">
        <is>
          <t>STOCKHOLMS LÄN</t>
        </is>
      </c>
      <c r="E1605" t="inlineStr">
        <is>
          <t>NORRTÄLJE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14897-2021</t>
        </is>
      </c>
      <c r="B1606" s="1" t="n">
        <v>44281</v>
      </c>
      <c r="C1606" s="1" t="n">
        <v>45350</v>
      </c>
      <c r="D1606" t="inlineStr">
        <is>
          <t>STOCKHOLMS LÄN</t>
        </is>
      </c>
      <c r="E1606" t="inlineStr">
        <is>
          <t>UPPLANDS-BRO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14933-2021</t>
        </is>
      </c>
      <c r="B1607" s="1" t="n">
        <v>44281</v>
      </c>
      <c r="C1607" s="1" t="n">
        <v>45350</v>
      </c>
      <c r="D1607" t="inlineStr">
        <is>
          <t>STOCKHOLMS LÄN</t>
        </is>
      </c>
      <c r="E1607" t="inlineStr">
        <is>
          <t>NORRTÄLJE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15289-2021</t>
        </is>
      </c>
      <c r="B1608" s="1" t="n">
        <v>44284</v>
      </c>
      <c r="C1608" s="1" t="n">
        <v>45350</v>
      </c>
      <c r="D1608" t="inlineStr">
        <is>
          <t>STOCKHOLMS LÄN</t>
        </is>
      </c>
      <c r="E1608" t="inlineStr">
        <is>
          <t>NORRTÄLJE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15441-2021</t>
        </is>
      </c>
      <c r="B1609" s="1" t="n">
        <v>44284</v>
      </c>
      <c r="C1609" s="1" t="n">
        <v>45350</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15428-2021</t>
        </is>
      </c>
      <c r="B1610" s="1" t="n">
        <v>44285</v>
      </c>
      <c r="C1610" s="1" t="n">
        <v>45350</v>
      </c>
      <c r="D1610" t="inlineStr">
        <is>
          <t>STOCKHOLMS LÄN</t>
        </is>
      </c>
      <c r="E1610" t="inlineStr">
        <is>
          <t>SIGTUNA</t>
        </is>
      </c>
      <c r="F1610" t="inlineStr">
        <is>
          <t>Sveaskog</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15560-2021</t>
        </is>
      </c>
      <c r="B1611" s="1" t="n">
        <v>44285</v>
      </c>
      <c r="C1611" s="1" t="n">
        <v>45350</v>
      </c>
      <c r="D1611" t="inlineStr">
        <is>
          <t>STOCKHOLMS LÄN</t>
        </is>
      </c>
      <c r="E1611" t="inlineStr">
        <is>
          <t>NYNÄSHAMN</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15609-2021</t>
        </is>
      </c>
      <c r="B1612" s="1" t="n">
        <v>44285</v>
      </c>
      <c r="C1612" s="1" t="n">
        <v>45350</v>
      </c>
      <c r="D1612" t="inlineStr">
        <is>
          <t>STOCKHOLMS LÄN</t>
        </is>
      </c>
      <c r="E1612" t="inlineStr">
        <is>
          <t>NYNÄSHAMN</t>
        </is>
      </c>
      <c r="F1612" t="inlineStr">
        <is>
          <t>Kommuner</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15552-2021</t>
        </is>
      </c>
      <c r="B1613" s="1" t="n">
        <v>44285</v>
      </c>
      <c r="C1613" s="1" t="n">
        <v>45350</v>
      </c>
      <c r="D1613" t="inlineStr">
        <is>
          <t>STOCKHOLMS LÄN</t>
        </is>
      </c>
      <c r="E1613" t="inlineStr">
        <is>
          <t>NORRTÄLJE</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15926-2021</t>
        </is>
      </c>
      <c r="B1614" s="1" t="n">
        <v>44287</v>
      </c>
      <c r="C1614" s="1" t="n">
        <v>45350</v>
      </c>
      <c r="D1614" t="inlineStr">
        <is>
          <t>STOCKHOLMS LÄN</t>
        </is>
      </c>
      <c r="E1614" t="inlineStr">
        <is>
          <t>VÄRMDÖ</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16086-2021</t>
        </is>
      </c>
      <c r="B1615" s="1" t="n">
        <v>44288</v>
      </c>
      <c r="C1615" s="1" t="n">
        <v>45350</v>
      </c>
      <c r="D1615" t="inlineStr">
        <is>
          <t>STOCKHOLMS LÄN</t>
        </is>
      </c>
      <c r="E1615" t="inlineStr">
        <is>
          <t>VÄRMDÖ</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16090-2021</t>
        </is>
      </c>
      <c r="B1616" s="1" t="n">
        <v>44288</v>
      </c>
      <c r="C1616" s="1" t="n">
        <v>45350</v>
      </c>
      <c r="D1616" t="inlineStr">
        <is>
          <t>STOCKHOLMS LÄN</t>
        </is>
      </c>
      <c r="E1616" t="inlineStr">
        <is>
          <t>VÄRMDÖ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16087-2021</t>
        </is>
      </c>
      <c r="B1617" s="1" t="n">
        <v>44288</v>
      </c>
      <c r="C1617" s="1" t="n">
        <v>45350</v>
      </c>
      <c r="D1617" t="inlineStr">
        <is>
          <t>STOCKHOLMS LÄN</t>
        </is>
      </c>
      <c r="E1617" t="inlineStr">
        <is>
          <t>VÄRMDÖ</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16085-2021</t>
        </is>
      </c>
      <c r="B1618" s="1" t="n">
        <v>44288</v>
      </c>
      <c r="C1618" s="1" t="n">
        <v>45350</v>
      </c>
      <c r="D1618" t="inlineStr">
        <is>
          <t>STOCKHOLMS LÄN</t>
        </is>
      </c>
      <c r="E1618" t="inlineStr">
        <is>
          <t>VÄRMDÖ</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16091-2021</t>
        </is>
      </c>
      <c r="B1619" s="1" t="n">
        <v>44288</v>
      </c>
      <c r="C1619" s="1" t="n">
        <v>45350</v>
      </c>
      <c r="D1619" t="inlineStr">
        <is>
          <t>STOCKHOLMS LÄN</t>
        </is>
      </c>
      <c r="E1619" t="inlineStr">
        <is>
          <t>VÄRMDÖ</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16668-2021</t>
        </is>
      </c>
      <c r="B1620" s="1" t="n">
        <v>44294</v>
      </c>
      <c r="C1620" s="1" t="n">
        <v>45350</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17460-2021</t>
        </is>
      </c>
      <c r="B1621" s="1" t="n">
        <v>44299</v>
      </c>
      <c r="C1621" s="1" t="n">
        <v>45350</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17703-2021</t>
        </is>
      </c>
      <c r="B1622" s="1" t="n">
        <v>44300</v>
      </c>
      <c r="C1622" s="1" t="n">
        <v>45350</v>
      </c>
      <c r="D1622" t="inlineStr">
        <is>
          <t>STOCKHOLMS LÄN</t>
        </is>
      </c>
      <c r="E1622" t="inlineStr">
        <is>
          <t>NORRTÄLJE</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17835-2021</t>
        </is>
      </c>
      <c r="B1623" s="1" t="n">
        <v>44300</v>
      </c>
      <c r="C1623" s="1" t="n">
        <v>45350</v>
      </c>
      <c r="D1623" t="inlineStr">
        <is>
          <t>STOCKHOLMS LÄN</t>
        </is>
      </c>
      <c r="E1623" t="inlineStr">
        <is>
          <t>NYNÄSHAMN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17825-2021</t>
        </is>
      </c>
      <c r="B1624" s="1" t="n">
        <v>44300</v>
      </c>
      <c r="C1624" s="1" t="n">
        <v>45350</v>
      </c>
      <c r="D1624" t="inlineStr">
        <is>
          <t>STOCKHOLMS LÄN</t>
        </is>
      </c>
      <c r="E1624" t="inlineStr">
        <is>
          <t>HANINGE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18172-2021</t>
        </is>
      </c>
      <c r="B1625" s="1" t="n">
        <v>44302</v>
      </c>
      <c r="C1625" s="1" t="n">
        <v>45350</v>
      </c>
      <c r="D1625" t="inlineStr">
        <is>
          <t>STOCKHOLMS LÄN</t>
        </is>
      </c>
      <c r="E1625" t="inlineStr">
        <is>
          <t>ÖSTERÅKER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18580-2021</t>
        </is>
      </c>
      <c r="B1626" s="1" t="n">
        <v>44306</v>
      </c>
      <c r="C1626" s="1" t="n">
        <v>45350</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18609-2021</t>
        </is>
      </c>
      <c r="B1627" s="1" t="n">
        <v>44306</v>
      </c>
      <c r="C1627" s="1" t="n">
        <v>45350</v>
      </c>
      <c r="D1627" t="inlineStr">
        <is>
          <t>STOCKHOLMS LÄN</t>
        </is>
      </c>
      <c r="E1627" t="inlineStr">
        <is>
          <t>NORRTÄLJE</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18539-2021</t>
        </is>
      </c>
      <c r="B1628" s="1" t="n">
        <v>44306</v>
      </c>
      <c r="C1628" s="1" t="n">
        <v>45350</v>
      </c>
      <c r="D1628" t="inlineStr">
        <is>
          <t>STOCKHOLMS LÄN</t>
        </is>
      </c>
      <c r="E1628" t="inlineStr">
        <is>
          <t>NORRTÄLJE</t>
        </is>
      </c>
      <c r="F1628" t="inlineStr">
        <is>
          <t>Holmen skog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18570-2021</t>
        </is>
      </c>
      <c r="B1629" s="1" t="n">
        <v>44306</v>
      </c>
      <c r="C1629" s="1" t="n">
        <v>45350</v>
      </c>
      <c r="D1629" t="inlineStr">
        <is>
          <t>STOCKHOLMS LÄN</t>
        </is>
      </c>
      <c r="E1629" t="inlineStr">
        <is>
          <t>NORRTÄLJE</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18760-2021</t>
        </is>
      </c>
      <c r="B1630" s="1" t="n">
        <v>44307</v>
      </c>
      <c r="C1630" s="1" t="n">
        <v>45350</v>
      </c>
      <c r="D1630" t="inlineStr">
        <is>
          <t>STOCKHOLMS LÄN</t>
        </is>
      </c>
      <c r="E1630" t="inlineStr">
        <is>
          <t>UPPLANDS-BRO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19283-2021</t>
        </is>
      </c>
      <c r="B1631" s="1" t="n">
        <v>44309</v>
      </c>
      <c r="C1631" s="1" t="n">
        <v>45350</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19400-2021</t>
        </is>
      </c>
      <c r="B1632" s="1" t="n">
        <v>44309</v>
      </c>
      <c r="C1632" s="1" t="n">
        <v>45350</v>
      </c>
      <c r="D1632" t="inlineStr">
        <is>
          <t>STOCKHOLMS LÄN</t>
        </is>
      </c>
      <c r="E1632" t="inlineStr">
        <is>
          <t>NORRTÄLJE</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19307-2021</t>
        </is>
      </c>
      <c r="B1633" s="1" t="n">
        <v>44309</v>
      </c>
      <c r="C1633" s="1" t="n">
        <v>45350</v>
      </c>
      <c r="D1633" t="inlineStr">
        <is>
          <t>STOCKHOLMS LÄN</t>
        </is>
      </c>
      <c r="E1633" t="inlineStr">
        <is>
          <t>NORRTÄLJE</t>
        </is>
      </c>
      <c r="F1633" t="inlineStr">
        <is>
          <t>Holmen skog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19398-2021</t>
        </is>
      </c>
      <c r="B1634" s="1" t="n">
        <v>44309</v>
      </c>
      <c r="C1634" s="1" t="n">
        <v>45350</v>
      </c>
      <c r="D1634" t="inlineStr">
        <is>
          <t>STOCKHOLMS LÄN</t>
        </is>
      </c>
      <c r="E1634" t="inlineStr">
        <is>
          <t>NORRTÄLJE</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20073-2021</t>
        </is>
      </c>
      <c r="B1635" s="1" t="n">
        <v>44314</v>
      </c>
      <c r="C1635" s="1" t="n">
        <v>45350</v>
      </c>
      <c r="D1635" t="inlineStr">
        <is>
          <t>STOCKHOLMS LÄN</t>
        </is>
      </c>
      <c r="E1635" t="inlineStr">
        <is>
          <t>NORRTÄLJE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20210-2021</t>
        </is>
      </c>
      <c r="B1636" s="1" t="n">
        <v>44314</v>
      </c>
      <c r="C1636" s="1" t="n">
        <v>45350</v>
      </c>
      <c r="D1636" t="inlineStr">
        <is>
          <t>STOCKHOLMS LÄN</t>
        </is>
      </c>
      <c r="E1636" t="inlineStr">
        <is>
          <t>BOTKYRKA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20612-2021</t>
        </is>
      </c>
      <c r="B1637" s="1" t="n">
        <v>44315</v>
      </c>
      <c r="C1637" s="1" t="n">
        <v>45350</v>
      </c>
      <c r="D1637" t="inlineStr">
        <is>
          <t>STOCKHOLMS LÄN</t>
        </is>
      </c>
      <c r="E1637" t="inlineStr">
        <is>
          <t>VALLENTUNA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20473-2021</t>
        </is>
      </c>
      <c r="B1638" s="1" t="n">
        <v>44315</v>
      </c>
      <c r="C1638" s="1" t="n">
        <v>45350</v>
      </c>
      <c r="D1638" t="inlineStr">
        <is>
          <t>STOCKHOLMS LÄN</t>
        </is>
      </c>
      <c r="E1638" t="inlineStr">
        <is>
          <t>NORRTÄLJE</t>
        </is>
      </c>
      <c r="F1638" t="inlineStr">
        <is>
          <t>Övriga Aktiebolag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20711-2021</t>
        </is>
      </c>
      <c r="B1639" s="1" t="n">
        <v>44316</v>
      </c>
      <c r="C1639" s="1" t="n">
        <v>45350</v>
      </c>
      <c r="D1639" t="inlineStr">
        <is>
          <t>STOCKHOLMS LÄN</t>
        </is>
      </c>
      <c r="E1639" t="inlineStr">
        <is>
          <t>NYKVARN</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45350</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21529-2021</t>
        </is>
      </c>
      <c r="B1641" s="1" t="n">
        <v>44321</v>
      </c>
      <c r="C1641" s="1" t="n">
        <v>45350</v>
      </c>
      <c r="D1641" t="inlineStr">
        <is>
          <t>STOCKHOLMS LÄN</t>
        </is>
      </c>
      <c r="E1641" t="inlineStr">
        <is>
          <t>NORRTÄLJE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21560-2021</t>
        </is>
      </c>
      <c r="B1642" s="1" t="n">
        <v>44321</v>
      </c>
      <c r="C1642" s="1" t="n">
        <v>45350</v>
      </c>
      <c r="D1642" t="inlineStr">
        <is>
          <t>STOCKHOLMS LÄN</t>
        </is>
      </c>
      <c r="E1642" t="inlineStr">
        <is>
          <t>UPPLANDS-BRO</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21612-2021</t>
        </is>
      </c>
      <c r="B1643" s="1" t="n">
        <v>44321</v>
      </c>
      <c r="C1643" s="1" t="n">
        <v>45350</v>
      </c>
      <c r="D1643" t="inlineStr">
        <is>
          <t>STOCKHOLMS LÄN</t>
        </is>
      </c>
      <c r="E1643" t="inlineStr">
        <is>
          <t>VALLENTUNA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21913-2021</t>
        </is>
      </c>
      <c r="B1644" s="1" t="n">
        <v>44322</v>
      </c>
      <c r="C1644" s="1" t="n">
        <v>45350</v>
      </c>
      <c r="D1644" t="inlineStr">
        <is>
          <t>STOCKHOLMS LÄN</t>
        </is>
      </c>
      <c r="E1644" t="inlineStr">
        <is>
          <t>NYKVARN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22479-2021</t>
        </is>
      </c>
      <c r="B1645" s="1" t="n">
        <v>44322</v>
      </c>
      <c r="C1645" s="1" t="n">
        <v>45350</v>
      </c>
      <c r="D1645" t="inlineStr">
        <is>
          <t>STOCKHOLMS LÄN</t>
        </is>
      </c>
      <c r="E1645" t="inlineStr">
        <is>
          <t>VÄRMDÖ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22060-2021</t>
        </is>
      </c>
      <c r="B1646" s="1" t="n">
        <v>44323</v>
      </c>
      <c r="C1646" s="1" t="n">
        <v>45350</v>
      </c>
      <c r="D1646" t="inlineStr">
        <is>
          <t>STOCKHOLMS LÄN</t>
        </is>
      </c>
      <c r="E1646" t="inlineStr">
        <is>
          <t>VALLENTUNA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22071-2021</t>
        </is>
      </c>
      <c r="B1647" s="1" t="n">
        <v>44323</v>
      </c>
      <c r="C1647" s="1" t="n">
        <v>45350</v>
      </c>
      <c r="D1647" t="inlineStr">
        <is>
          <t>STOCKHOLMS LÄN</t>
        </is>
      </c>
      <c r="E1647" t="inlineStr">
        <is>
          <t>VALLENTUNA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22832-2021</t>
        </is>
      </c>
      <c r="B1648" s="1" t="n">
        <v>44325</v>
      </c>
      <c r="C1648" s="1" t="n">
        <v>45350</v>
      </c>
      <c r="D1648" t="inlineStr">
        <is>
          <t>STOCKHOLMS LÄN</t>
        </is>
      </c>
      <c r="E1648" t="inlineStr">
        <is>
          <t>NORRTÄLJE</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22816-2021</t>
        </is>
      </c>
      <c r="B1649" s="1" t="n">
        <v>44325</v>
      </c>
      <c r="C1649" s="1" t="n">
        <v>45350</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22369-2021</t>
        </is>
      </c>
      <c r="B1650" s="1" t="n">
        <v>44326</v>
      </c>
      <c r="C1650" s="1" t="n">
        <v>45350</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22421-2021</t>
        </is>
      </c>
      <c r="B1651" s="1" t="n">
        <v>44326</v>
      </c>
      <c r="C1651" s="1" t="n">
        <v>45350</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22412-2021</t>
        </is>
      </c>
      <c r="B1652" s="1" t="n">
        <v>44326</v>
      </c>
      <c r="C1652" s="1" t="n">
        <v>45350</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22708-2021</t>
        </is>
      </c>
      <c r="B1653" s="1" t="n">
        <v>44327</v>
      </c>
      <c r="C1653" s="1" t="n">
        <v>45350</v>
      </c>
      <c r="D1653" t="inlineStr">
        <is>
          <t>STOCKHOLMS LÄN</t>
        </is>
      </c>
      <c r="E1653" t="inlineStr">
        <is>
          <t>VÄRMDÖ</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23123-2021</t>
        </is>
      </c>
      <c r="B1654" s="1" t="n">
        <v>44330</v>
      </c>
      <c r="C1654" s="1" t="n">
        <v>45350</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23096-2021</t>
        </is>
      </c>
      <c r="B1655" s="1" t="n">
        <v>44330</v>
      </c>
      <c r="C1655" s="1" t="n">
        <v>45350</v>
      </c>
      <c r="D1655" t="inlineStr">
        <is>
          <t>STOCKHOLMS LÄN</t>
        </is>
      </c>
      <c r="E1655" t="inlineStr">
        <is>
          <t>NORRTÄLJE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23122-2021</t>
        </is>
      </c>
      <c r="B1656" s="1" t="n">
        <v>44330</v>
      </c>
      <c r="C1656" s="1" t="n">
        <v>45350</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23152-2021</t>
        </is>
      </c>
      <c r="B1657" s="1" t="n">
        <v>44332</v>
      </c>
      <c r="C1657" s="1" t="n">
        <v>45350</v>
      </c>
      <c r="D1657" t="inlineStr">
        <is>
          <t>STOCKHOLMS LÄN</t>
        </is>
      </c>
      <c r="E1657" t="inlineStr">
        <is>
          <t>NYKVARN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23339-2021</t>
        </is>
      </c>
      <c r="B1658" s="1" t="n">
        <v>44333</v>
      </c>
      <c r="C1658" s="1" t="n">
        <v>45350</v>
      </c>
      <c r="D1658" t="inlineStr">
        <is>
          <t>STOCKHOLMS LÄN</t>
        </is>
      </c>
      <c r="E1658" t="inlineStr">
        <is>
          <t>NYNÄSHAMN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23453-2021</t>
        </is>
      </c>
      <c r="B1659" s="1" t="n">
        <v>44333</v>
      </c>
      <c r="C1659" s="1" t="n">
        <v>45350</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24082-2021</t>
        </is>
      </c>
      <c r="B1660" s="1" t="n">
        <v>44336</v>
      </c>
      <c r="C1660" s="1" t="n">
        <v>45350</v>
      </c>
      <c r="D1660" t="inlineStr">
        <is>
          <t>STOCKHOLMS LÄN</t>
        </is>
      </c>
      <c r="E1660" t="inlineStr">
        <is>
          <t>NORRTÄLJE</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24221-2021</t>
        </is>
      </c>
      <c r="B1661" s="1" t="n">
        <v>44336</v>
      </c>
      <c r="C1661" s="1" t="n">
        <v>45350</v>
      </c>
      <c r="D1661" t="inlineStr">
        <is>
          <t>STOCKHOLMS LÄN</t>
        </is>
      </c>
      <c r="E1661" t="inlineStr">
        <is>
          <t>UPPLANDS VÄSBY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24308-2021</t>
        </is>
      </c>
      <c r="B1662" s="1" t="n">
        <v>44336</v>
      </c>
      <c r="C1662" s="1" t="n">
        <v>45350</v>
      </c>
      <c r="D1662" t="inlineStr">
        <is>
          <t>STOCKHOLMS LÄN</t>
        </is>
      </c>
      <c r="E1662" t="inlineStr">
        <is>
          <t>UPPLANDS-BRO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24805-2021</t>
        </is>
      </c>
      <c r="B1663" s="1" t="n">
        <v>44340</v>
      </c>
      <c r="C1663" s="1" t="n">
        <v>45350</v>
      </c>
      <c r="D1663" t="inlineStr">
        <is>
          <t>STOCKHOLMS LÄN</t>
        </is>
      </c>
      <c r="E1663" t="inlineStr">
        <is>
          <t>NYNÄSHAMN</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24994-2021</t>
        </is>
      </c>
      <c r="B1664" s="1" t="n">
        <v>44341</v>
      </c>
      <c r="C1664" s="1" t="n">
        <v>45350</v>
      </c>
      <c r="D1664" t="inlineStr">
        <is>
          <t>STOCKHOLMS LÄN</t>
        </is>
      </c>
      <c r="E1664" t="inlineStr">
        <is>
          <t>VALLENTUNA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25334-2021</t>
        </is>
      </c>
      <c r="B1665" s="1" t="n">
        <v>44342</v>
      </c>
      <c r="C1665" s="1" t="n">
        <v>45350</v>
      </c>
      <c r="D1665" t="inlineStr">
        <is>
          <t>STOCKHOLMS LÄN</t>
        </is>
      </c>
      <c r="E1665" t="inlineStr">
        <is>
          <t>NYNÄSHAMN</t>
        </is>
      </c>
      <c r="F1665" t="inlineStr">
        <is>
          <t>Kommuner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25463-2021</t>
        </is>
      </c>
      <c r="B1666" s="1" t="n">
        <v>44342</v>
      </c>
      <c r="C1666" s="1" t="n">
        <v>45350</v>
      </c>
      <c r="D1666" t="inlineStr">
        <is>
          <t>STOCKHOLMS LÄN</t>
        </is>
      </c>
      <c r="E1666" t="inlineStr">
        <is>
          <t>NORRTÄLJE</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25871-2021</t>
        </is>
      </c>
      <c r="B1667" s="1" t="n">
        <v>44344</v>
      </c>
      <c r="C1667" s="1" t="n">
        <v>45350</v>
      </c>
      <c r="D1667" t="inlineStr">
        <is>
          <t>STOCKHOLMS LÄN</t>
        </is>
      </c>
      <c r="E1667" t="inlineStr">
        <is>
          <t>SÖDERTÄLJE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25873-2021</t>
        </is>
      </c>
      <c r="B1668" s="1" t="n">
        <v>44344</v>
      </c>
      <c r="C1668" s="1" t="n">
        <v>45350</v>
      </c>
      <c r="D1668" t="inlineStr">
        <is>
          <t>STOCKHOLMS LÄN</t>
        </is>
      </c>
      <c r="E1668" t="inlineStr">
        <is>
          <t>SÖDERTÄLJE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26757-2021</t>
        </is>
      </c>
      <c r="B1669" s="1" t="n">
        <v>44349</v>
      </c>
      <c r="C1669" s="1" t="n">
        <v>45350</v>
      </c>
      <c r="D1669" t="inlineStr">
        <is>
          <t>STOCKHOLMS LÄN</t>
        </is>
      </c>
      <c r="E1669" t="inlineStr">
        <is>
          <t>NYNÄSHAMN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26750-2021</t>
        </is>
      </c>
      <c r="B1670" s="1" t="n">
        <v>44349</v>
      </c>
      <c r="C1670" s="1" t="n">
        <v>45350</v>
      </c>
      <c r="D1670" t="inlineStr">
        <is>
          <t>STOCKHOLMS LÄN</t>
        </is>
      </c>
      <c r="E1670" t="inlineStr">
        <is>
          <t>NYNÄSHAMN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26767-2021</t>
        </is>
      </c>
      <c r="B1671" s="1" t="n">
        <v>44349</v>
      </c>
      <c r="C1671" s="1" t="n">
        <v>45350</v>
      </c>
      <c r="D1671" t="inlineStr">
        <is>
          <t>STOCKHOLMS LÄN</t>
        </is>
      </c>
      <c r="E1671" t="inlineStr">
        <is>
          <t>NYNÄSHAMN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27217-2021</t>
        </is>
      </c>
      <c r="B1672" s="1" t="n">
        <v>44350</v>
      </c>
      <c r="C1672" s="1" t="n">
        <v>45350</v>
      </c>
      <c r="D1672" t="inlineStr">
        <is>
          <t>STOCKHOLMS LÄN</t>
        </is>
      </c>
      <c r="E1672" t="inlineStr">
        <is>
          <t>NORRTÄLJE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27214-2021</t>
        </is>
      </c>
      <c r="B1673" s="1" t="n">
        <v>44350</v>
      </c>
      <c r="C1673" s="1" t="n">
        <v>45350</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27706-2021</t>
        </is>
      </c>
      <c r="B1674" s="1" t="n">
        <v>44354</v>
      </c>
      <c r="C1674" s="1" t="n">
        <v>45350</v>
      </c>
      <c r="D1674" t="inlineStr">
        <is>
          <t>STOCKHOLMS LÄN</t>
        </is>
      </c>
      <c r="E1674" t="inlineStr">
        <is>
          <t>SÖDERTÄLJE</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27715-2021</t>
        </is>
      </c>
      <c r="B1675" s="1" t="n">
        <v>44354</v>
      </c>
      <c r="C1675" s="1" t="n">
        <v>45350</v>
      </c>
      <c r="D1675" t="inlineStr">
        <is>
          <t>STOCKHOLMS LÄN</t>
        </is>
      </c>
      <c r="E1675" t="inlineStr">
        <is>
          <t>SÖDERTÄLJE</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27747-2021</t>
        </is>
      </c>
      <c r="B1676" s="1" t="n">
        <v>44354</v>
      </c>
      <c r="C1676" s="1" t="n">
        <v>45350</v>
      </c>
      <c r="D1676" t="inlineStr">
        <is>
          <t>STOCKHOLMS LÄN</t>
        </is>
      </c>
      <c r="E1676" t="inlineStr">
        <is>
          <t>SÖDERTÄLJE</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27739-2021</t>
        </is>
      </c>
      <c r="B1677" s="1" t="n">
        <v>44354</v>
      </c>
      <c r="C1677" s="1" t="n">
        <v>45350</v>
      </c>
      <c r="D1677" t="inlineStr">
        <is>
          <t>STOCKHOLMS LÄN</t>
        </is>
      </c>
      <c r="E1677" t="inlineStr">
        <is>
          <t>SÖDERTÄLJE</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27750-2021</t>
        </is>
      </c>
      <c r="B1678" s="1" t="n">
        <v>44354</v>
      </c>
      <c r="C1678" s="1" t="n">
        <v>45350</v>
      </c>
      <c r="D1678" t="inlineStr">
        <is>
          <t>STOCKHOLMS LÄN</t>
        </is>
      </c>
      <c r="E1678" t="inlineStr">
        <is>
          <t>SÖDERTÄLJE</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27769-2021</t>
        </is>
      </c>
      <c r="B1679" s="1" t="n">
        <v>44354</v>
      </c>
      <c r="C1679" s="1" t="n">
        <v>45350</v>
      </c>
      <c r="D1679" t="inlineStr">
        <is>
          <t>STOCKHOLMS LÄN</t>
        </is>
      </c>
      <c r="E1679" t="inlineStr">
        <is>
          <t>SÖDERTÄLJE</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27740-2021</t>
        </is>
      </c>
      <c r="B1680" s="1" t="n">
        <v>44354</v>
      </c>
      <c r="C1680" s="1" t="n">
        <v>45350</v>
      </c>
      <c r="D1680" t="inlineStr">
        <is>
          <t>STOCKHOLMS LÄN</t>
        </is>
      </c>
      <c r="E1680" t="inlineStr">
        <is>
          <t>SÖDERTÄLJE</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27753-2021</t>
        </is>
      </c>
      <c r="B1681" s="1" t="n">
        <v>44354</v>
      </c>
      <c r="C1681" s="1" t="n">
        <v>45350</v>
      </c>
      <c r="D1681" t="inlineStr">
        <is>
          <t>STOCKHOLMS LÄN</t>
        </is>
      </c>
      <c r="E1681" t="inlineStr">
        <is>
          <t>SÖDERTÄLJE</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27771-2021</t>
        </is>
      </c>
      <c r="B1682" s="1" t="n">
        <v>44354</v>
      </c>
      <c r="C1682" s="1" t="n">
        <v>45350</v>
      </c>
      <c r="D1682" t="inlineStr">
        <is>
          <t>STOCKHOLMS LÄN</t>
        </is>
      </c>
      <c r="E1682" t="inlineStr">
        <is>
          <t>SÖDERTÄLJE</t>
        </is>
      </c>
      <c r="F1682" t="inlineStr">
        <is>
          <t>Sveaskog</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27805-2021</t>
        </is>
      </c>
      <c r="B1683" s="1" t="n">
        <v>44354</v>
      </c>
      <c r="C1683" s="1" t="n">
        <v>45350</v>
      </c>
      <c r="D1683" t="inlineStr">
        <is>
          <t>STOCKHOLMS LÄN</t>
        </is>
      </c>
      <c r="E1683" t="inlineStr">
        <is>
          <t>UPPLANDS-BRO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27791-2021</t>
        </is>
      </c>
      <c r="B1684" s="1" t="n">
        <v>44354</v>
      </c>
      <c r="C1684" s="1" t="n">
        <v>45350</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28136-2021</t>
        </is>
      </c>
      <c r="B1685" s="1" t="n">
        <v>44355</v>
      </c>
      <c r="C1685" s="1" t="n">
        <v>45350</v>
      </c>
      <c r="D1685" t="inlineStr">
        <is>
          <t>STOCKHOLMS LÄN</t>
        </is>
      </c>
      <c r="E1685" t="inlineStr">
        <is>
          <t>SÖDERTÄLJE</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28838-2021</t>
        </is>
      </c>
      <c r="B1686" s="1" t="n">
        <v>44357</v>
      </c>
      <c r="C1686" s="1" t="n">
        <v>45350</v>
      </c>
      <c r="D1686" t="inlineStr">
        <is>
          <t>STOCKHOLMS LÄN</t>
        </is>
      </c>
      <c r="E1686" t="inlineStr">
        <is>
          <t>SALEM</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28843-2021</t>
        </is>
      </c>
      <c r="B1687" s="1" t="n">
        <v>44357</v>
      </c>
      <c r="C1687" s="1" t="n">
        <v>45350</v>
      </c>
      <c r="D1687" t="inlineStr">
        <is>
          <t>STOCKHOLMS LÄN</t>
        </is>
      </c>
      <c r="E1687" t="inlineStr">
        <is>
          <t>SALEM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29357-2021</t>
        </is>
      </c>
      <c r="B1688" s="1" t="n">
        <v>44361</v>
      </c>
      <c r="C1688" s="1" t="n">
        <v>45350</v>
      </c>
      <c r="D1688" t="inlineStr">
        <is>
          <t>STOCKHOLMS LÄN</t>
        </is>
      </c>
      <c r="E1688" t="inlineStr">
        <is>
          <t>NORRTÄLJE</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29533-2021</t>
        </is>
      </c>
      <c r="B1689" s="1" t="n">
        <v>44361</v>
      </c>
      <c r="C1689" s="1" t="n">
        <v>45350</v>
      </c>
      <c r="D1689" t="inlineStr">
        <is>
          <t>STOCKHOLMS LÄN</t>
        </is>
      </c>
      <c r="E1689" t="inlineStr">
        <is>
          <t>EKERÖ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29680-2021</t>
        </is>
      </c>
      <c r="B1690" s="1" t="n">
        <v>44362</v>
      </c>
      <c r="C1690" s="1" t="n">
        <v>45350</v>
      </c>
      <c r="D1690" t="inlineStr">
        <is>
          <t>STOCKHOLMS LÄN</t>
        </is>
      </c>
      <c r="E1690" t="inlineStr">
        <is>
          <t>NORRTÄLJE</t>
        </is>
      </c>
      <c r="F1690" t="inlineStr">
        <is>
          <t>Holmen skog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29684-2021</t>
        </is>
      </c>
      <c r="B1691" s="1" t="n">
        <v>44362</v>
      </c>
      <c r="C1691" s="1" t="n">
        <v>45350</v>
      </c>
      <c r="D1691" t="inlineStr">
        <is>
          <t>STOCKHOLMS LÄN</t>
        </is>
      </c>
      <c r="E1691" t="inlineStr">
        <is>
          <t>NORRTÄLJE</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30129-2021</t>
        </is>
      </c>
      <c r="B1692" s="1" t="n">
        <v>44363</v>
      </c>
      <c r="C1692" s="1" t="n">
        <v>45350</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30138-2021</t>
        </is>
      </c>
      <c r="B1693" s="1" t="n">
        <v>44363</v>
      </c>
      <c r="C1693" s="1" t="n">
        <v>45350</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30913-2021</t>
        </is>
      </c>
      <c r="B1694" s="1" t="n">
        <v>44365</v>
      </c>
      <c r="C1694" s="1" t="n">
        <v>45350</v>
      </c>
      <c r="D1694" t="inlineStr">
        <is>
          <t>STOCKHOLMS LÄN</t>
        </is>
      </c>
      <c r="E1694" t="inlineStr">
        <is>
          <t>VALLENTUNA</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31370-2021</t>
        </is>
      </c>
      <c r="B1695" s="1" t="n">
        <v>44368</v>
      </c>
      <c r="C1695" s="1" t="n">
        <v>45350</v>
      </c>
      <c r="D1695" t="inlineStr">
        <is>
          <t>STOCKHOLMS LÄN</t>
        </is>
      </c>
      <c r="E1695" t="inlineStr">
        <is>
          <t>UPPLANDS-BRO</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31075-2021</t>
        </is>
      </c>
      <c r="B1696" s="1" t="n">
        <v>44368</v>
      </c>
      <c r="C1696" s="1" t="n">
        <v>45350</v>
      </c>
      <c r="D1696" t="inlineStr">
        <is>
          <t>STOCKHOLMS LÄN</t>
        </is>
      </c>
      <c r="E1696" t="inlineStr">
        <is>
          <t>ÖSTERÅKER</t>
        </is>
      </c>
      <c r="F1696" t="inlineStr">
        <is>
          <t>Övriga Aktiebolag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31688-2021</t>
        </is>
      </c>
      <c r="B1697" s="1" t="n">
        <v>44369</v>
      </c>
      <c r="C1697" s="1" t="n">
        <v>45350</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31780-2021</t>
        </is>
      </c>
      <c r="B1698" s="1" t="n">
        <v>44369</v>
      </c>
      <c r="C1698" s="1" t="n">
        <v>45350</v>
      </c>
      <c r="D1698" t="inlineStr">
        <is>
          <t>STOCKHOLMS LÄN</t>
        </is>
      </c>
      <c r="E1698" t="inlineStr">
        <is>
          <t>HANINGE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32002-2021</t>
        </is>
      </c>
      <c r="B1699" s="1" t="n">
        <v>44370</v>
      </c>
      <c r="C1699" s="1" t="n">
        <v>45350</v>
      </c>
      <c r="D1699" t="inlineStr">
        <is>
          <t>STOCKHOLMS LÄN</t>
        </is>
      </c>
      <c r="E1699" t="inlineStr">
        <is>
          <t>NORRTÄLJE</t>
        </is>
      </c>
      <c r="F1699" t="inlineStr">
        <is>
          <t>Övriga Aktiebolag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32051-2021</t>
        </is>
      </c>
      <c r="B1700" s="1" t="n">
        <v>44370</v>
      </c>
      <c r="C1700" s="1" t="n">
        <v>45350</v>
      </c>
      <c r="D1700" t="inlineStr">
        <is>
          <t>STOCKHOLMS LÄN</t>
        </is>
      </c>
      <c r="E1700" t="inlineStr">
        <is>
          <t>NORRTÄLJE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32055-2021</t>
        </is>
      </c>
      <c r="B1701" s="1" t="n">
        <v>44370</v>
      </c>
      <c r="C1701" s="1" t="n">
        <v>45350</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32561-2021</t>
        </is>
      </c>
      <c r="B1702" s="1" t="n">
        <v>44375</v>
      </c>
      <c r="C1702" s="1" t="n">
        <v>45350</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32857-2021</t>
        </is>
      </c>
      <c r="B1703" s="1" t="n">
        <v>44375</v>
      </c>
      <c r="C1703" s="1" t="n">
        <v>45350</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33016-2021</t>
        </is>
      </c>
      <c r="B1704" s="1" t="n">
        <v>44376</v>
      </c>
      <c r="C1704" s="1" t="n">
        <v>45350</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33053-2021</t>
        </is>
      </c>
      <c r="B1705" s="1" t="n">
        <v>44376</v>
      </c>
      <c r="C1705" s="1" t="n">
        <v>45350</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33046-2021</t>
        </is>
      </c>
      <c r="B1706" s="1" t="n">
        <v>44376</v>
      </c>
      <c r="C1706" s="1" t="n">
        <v>45350</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33015-2021</t>
        </is>
      </c>
      <c r="B1707" s="1" t="n">
        <v>44376</v>
      </c>
      <c r="C1707" s="1" t="n">
        <v>45350</v>
      </c>
      <c r="D1707" t="inlineStr">
        <is>
          <t>STOCKHOLMS LÄN</t>
        </is>
      </c>
      <c r="E1707" t="inlineStr">
        <is>
          <t>BOTKYRKA</t>
        </is>
      </c>
      <c r="G1707" t="n">
        <v>48.7</v>
      </c>
      <c r="H1707" t="n">
        <v>0</v>
      </c>
      <c r="I1707" t="n">
        <v>0</v>
      </c>
      <c r="J1707" t="n">
        <v>0</v>
      </c>
      <c r="K1707" t="n">
        <v>0</v>
      </c>
      <c r="L1707" t="n">
        <v>0</v>
      </c>
      <c r="M1707" t="n">
        <v>0</v>
      </c>
      <c r="N1707" t="n">
        <v>0</v>
      </c>
      <c r="O1707" t="n">
        <v>0</v>
      </c>
      <c r="P1707" t="n">
        <v>0</v>
      </c>
      <c r="Q1707" t="n">
        <v>0</v>
      </c>
      <c r="R1707" s="2" t="inlineStr"/>
    </row>
    <row r="1708" ht="15" customHeight="1">
      <c r="A1708" t="inlineStr">
        <is>
          <t>A 33040-2021</t>
        </is>
      </c>
      <c r="B1708" s="1" t="n">
        <v>44376</v>
      </c>
      <c r="C1708" s="1" t="n">
        <v>45350</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33246-2021</t>
        </is>
      </c>
      <c r="B1709" s="1" t="n">
        <v>44377</v>
      </c>
      <c r="C1709" s="1" t="n">
        <v>45350</v>
      </c>
      <c r="D1709" t="inlineStr">
        <is>
          <t>STOCKHOLMS LÄN</t>
        </is>
      </c>
      <c r="E1709" t="inlineStr">
        <is>
          <t>SALEM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33262-2021</t>
        </is>
      </c>
      <c r="B1710" s="1" t="n">
        <v>44377</v>
      </c>
      <c r="C1710" s="1" t="n">
        <v>45350</v>
      </c>
      <c r="D1710" t="inlineStr">
        <is>
          <t>STOCKHOLMS LÄN</t>
        </is>
      </c>
      <c r="E1710" t="inlineStr">
        <is>
          <t>SALEM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33729-2021</t>
        </is>
      </c>
      <c r="B1711" s="1" t="n">
        <v>44378</v>
      </c>
      <c r="C1711" s="1" t="n">
        <v>45350</v>
      </c>
      <c r="D1711" t="inlineStr">
        <is>
          <t>STOCKHOLMS LÄN</t>
        </is>
      </c>
      <c r="E1711" t="inlineStr">
        <is>
          <t>SALEM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34520-2021</t>
        </is>
      </c>
      <c r="B1712" s="1" t="n">
        <v>44379</v>
      </c>
      <c r="C1712" s="1" t="n">
        <v>45350</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34432-2021</t>
        </is>
      </c>
      <c r="B1713" s="1" t="n">
        <v>44380</v>
      </c>
      <c r="C1713" s="1" t="n">
        <v>45350</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34431-2021</t>
        </is>
      </c>
      <c r="B1714" s="1" t="n">
        <v>44380</v>
      </c>
      <c r="C1714" s="1" t="n">
        <v>45350</v>
      </c>
      <c r="D1714" t="inlineStr">
        <is>
          <t>STOCKHOLMS LÄN</t>
        </is>
      </c>
      <c r="E1714" t="inlineStr">
        <is>
          <t>NORRTÄLJE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34436-2021</t>
        </is>
      </c>
      <c r="B1715" s="1" t="n">
        <v>44380</v>
      </c>
      <c r="C1715" s="1" t="n">
        <v>45350</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34449-2021</t>
        </is>
      </c>
      <c r="B1716" s="1" t="n">
        <v>44381</v>
      </c>
      <c r="C1716" s="1" t="n">
        <v>45350</v>
      </c>
      <c r="D1716" t="inlineStr">
        <is>
          <t>STOCKHOLMS LÄN</t>
        </is>
      </c>
      <c r="E1716" t="inlineStr">
        <is>
          <t>SÖDERTÄLJE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34452-2021</t>
        </is>
      </c>
      <c r="B1717" s="1" t="n">
        <v>44381</v>
      </c>
      <c r="C1717" s="1" t="n">
        <v>45350</v>
      </c>
      <c r="D1717" t="inlineStr">
        <is>
          <t>STOCKHOLMS LÄN</t>
        </is>
      </c>
      <c r="E1717" t="inlineStr">
        <is>
          <t>VALLENTUNA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34450-2021</t>
        </is>
      </c>
      <c r="B1718" s="1" t="n">
        <v>44381</v>
      </c>
      <c r="C1718" s="1" t="n">
        <v>45350</v>
      </c>
      <c r="D1718" t="inlineStr">
        <is>
          <t>STOCKHOLMS LÄN</t>
        </is>
      </c>
      <c r="E1718" t="inlineStr">
        <is>
          <t>SÖDERTÄLJE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34731-2021</t>
        </is>
      </c>
      <c r="B1719" s="1" t="n">
        <v>44382</v>
      </c>
      <c r="C1719" s="1" t="n">
        <v>45350</v>
      </c>
      <c r="D1719" t="inlineStr">
        <is>
          <t>STOCKHOLMS LÄN</t>
        </is>
      </c>
      <c r="E1719" t="inlineStr">
        <is>
          <t>NORRTÄLJE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34792-2021</t>
        </is>
      </c>
      <c r="B1720" s="1" t="n">
        <v>44383</v>
      </c>
      <c r="C1720" s="1" t="n">
        <v>45350</v>
      </c>
      <c r="D1720" t="inlineStr">
        <is>
          <t>STOCKHOLMS LÄN</t>
        </is>
      </c>
      <c r="E1720" t="inlineStr">
        <is>
          <t>NORRTÄLJE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34818-2021</t>
        </is>
      </c>
      <c r="B1721" s="1" t="n">
        <v>44383</v>
      </c>
      <c r="C1721" s="1" t="n">
        <v>45350</v>
      </c>
      <c r="D1721" t="inlineStr">
        <is>
          <t>STOCKHOLMS LÄN</t>
        </is>
      </c>
      <c r="E1721" t="inlineStr">
        <is>
          <t>NYNÄSHAMN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35492-2021</t>
        </is>
      </c>
      <c r="B1722" s="1" t="n">
        <v>44385</v>
      </c>
      <c r="C1722" s="1" t="n">
        <v>45350</v>
      </c>
      <c r="D1722" t="inlineStr">
        <is>
          <t>STOCKHOLMS LÄN</t>
        </is>
      </c>
      <c r="E1722" t="inlineStr">
        <is>
          <t>BOTKYRKA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35953-2021</t>
        </is>
      </c>
      <c r="B1723" s="1" t="n">
        <v>44385</v>
      </c>
      <c r="C1723" s="1" t="n">
        <v>45350</v>
      </c>
      <c r="D1723" t="inlineStr">
        <is>
          <t>STOCKHOLMS LÄN</t>
        </is>
      </c>
      <c r="E1723" t="inlineStr">
        <is>
          <t>SIGTUNA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36097-2021</t>
        </is>
      </c>
      <c r="B1724" s="1" t="n">
        <v>44389</v>
      </c>
      <c r="C1724" s="1" t="n">
        <v>45350</v>
      </c>
      <c r="D1724" t="inlineStr">
        <is>
          <t>STOCKHOLMS LÄN</t>
        </is>
      </c>
      <c r="E1724" t="inlineStr">
        <is>
          <t>BOTKYRKA</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36111-2021</t>
        </is>
      </c>
      <c r="B1725" s="1" t="n">
        <v>44389</v>
      </c>
      <c r="C1725" s="1" t="n">
        <v>45350</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36246-2021</t>
        </is>
      </c>
      <c r="B1726" s="1" t="n">
        <v>44390</v>
      </c>
      <c r="C1726" s="1" t="n">
        <v>45350</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36565-2021</t>
        </is>
      </c>
      <c r="B1727" s="1" t="n">
        <v>44391</v>
      </c>
      <c r="C1727" s="1" t="n">
        <v>45350</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37085-2021</t>
        </is>
      </c>
      <c r="B1728" s="1" t="n">
        <v>44395</v>
      </c>
      <c r="C1728" s="1" t="n">
        <v>45350</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37095-2021</t>
        </is>
      </c>
      <c r="B1729" s="1" t="n">
        <v>44395</v>
      </c>
      <c r="C1729" s="1" t="n">
        <v>45350</v>
      </c>
      <c r="D1729" t="inlineStr">
        <is>
          <t>STOCKHOLMS LÄN</t>
        </is>
      </c>
      <c r="E1729" t="inlineStr">
        <is>
          <t>BOTKYRKA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37097-2021</t>
        </is>
      </c>
      <c r="B1730" s="1" t="n">
        <v>44395</v>
      </c>
      <c r="C1730" s="1" t="n">
        <v>45350</v>
      </c>
      <c r="D1730" t="inlineStr">
        <is>
          <t>STOCKHOLMS LÄN</t>
        </is>
      </c>
      <c r="E1730" t="inlineStr">
        <is>
          <t>NYNÄSHAMN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37098-2021</t>
        </is>
      </c>
      <c r="B1731" s="1" t="n">
        <v>44396</v>
      </c>
      <c r="C1731" s="1" t="n">
        <v>45350</v>
      </c>
      <c r="D1731" t="inlineStr">
        <is>
          <t>STOCKHOLMS LÄN</t>
        </is>
      </c>
      <c r="E1731" t="inlineStr">
        <is>
          <t>NYNÄSHAMN</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37103-2021</t>
        </is>
      </c>
      <c r="B1732" s="1" t="n">
        <v>44396</v>
      </c>
      <c r="C1732" s="1" t="n">
        <v>45350</v>
      </c>
      <c r="D1732" t="inlineStr">
        <is>
          <t>STOCKHOLMS LÄN</t>
        </is>
      </c>
      <c r="E1732" t="inlineStr">
        <is>
          <t>NYNÄSHAMN</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37101-2021</t>
        </is>
      </c>
      <c r="B1733" s="1" t="n">
        <v>44396</v>
      </c>
      <c r="C1733" s="1" t="n">
        <v>45350</v>
      </c>
      <c r="D1733" t="inlineStr">
        <is>
          <t>STOCKHOLMS LÄN</t>
        </is>
      </c>
      <c r="E1733" t="inlineStr">
        <is>
          <t>NYNÄSHAMN</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37099-2021</t>
        </is>
      </c>
      <c r="B1734" s="1" t="n">
        <v>44396</v>
      </c>
      <c r="C1734" s="1" t="n">
        <v>45350</v>
      </c>
      <c r="D1734" t="inlineStr">
        <is>
          <t>STOCKHOLMS LÄN</t>
        </is>
      </c>
      <c r="E1734" t="inlineStr">
        <is>
          <t>NYNÄSHAMN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37104-2021</t>
        </is>
      </c>
      <c r="B1735" s="1" t="n">
        <v>44396</v>
      </c>
      <c r="C1735" s="1" t="n">
        <v>45350</v>
      </c>
      <c r="D1735" t="inlineStr">
        <is>
          <t>STOCKHOLMS LÄN</t>
        </is>
      </c>
      <c r="E1735" t="inlineStr">
        <is>
          <t>NYNÄSHAMN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37335-2021</t>
        </is>
      </c>
      <c r="B1736" s="1" t="n">
        <v>44397</v>
      </c>
      <c r="C1736" s="1" t="n">
        <v>45350</v>
      </c>
      <c r="D1736" t="inlineStr">
        <is>
          <t>STOCKHOLMS LÄN</t>
        </is>
      </c>
      <c r="E1736" t="inlineStr">
        <is>
          <t>UPPLANDS-BRO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37344-2021</t>
        </is>
      </c>
      <c r="B1737" s="1" t="n">
        <v>44397</v>
      </c>
      <c r="C1737" s="1" t="n">
        <v>45350</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37421-2021</t>
        </is>
      </c>
      <c r="B1738" s="1" t="n">
        <v>44397</v>
      </c>
      <c r="C1738" s="1" t="n">
        <v>45350</v>
      </c>
      <c r="D1738" t="inlineStr">
        <is>
          <t>STOCKHOLMS LÄN</t>
        </is>
      </c>
      <c r="E1738" t="inlineStr">
        <is>
          <t>UPPLANDS-BRO</t>
        </is>
      </c>
      <c r="F1738" t="inlineStr">
        <is>
          <t>Allmännings- och besparingsskogar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37415-2021</t>
        </is>
      </c>
      <c r="B1739" s="1" t="n">
        <v>44397</v>
      </c>
      <c r="C1739" s="1" t="n">
        <v>45350</v>
      </c>
      <c r="D1739" t="inlineStr">
        <is>
          <t>STOCKHOLMS LÄN</t>
        </is>
      </c>
      <c r="E1739" t="inlineStr">
        <is>
          <t>NORRTÄLJE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37444-2021</t>
        </is>
      </c>
      <c r="B1740" s="1" t="n">
        <v>44398</v>
      </c>
      <c r="C1740" s="1" t="n">
        <v>45350</v>
      </c>
      <c r="D1740" t="inlineStr">
        <is>
          <t>STOCKHOLMS LÄN</t>
        </is>
      </c>
      <c r="E1740" t="inlineStr">
        <is>
          <t>NORRTÄLJE</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37462-2021</t>
        </is>
      </c>
      <c r="B1741" s="1" t="n">
        <v>44398</v>
      </c>
      <c r="C1741" s="1" t="n">
        <v>45350</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37422-2021</t>
        </is>
      </c>
      <c r="B1742" s="1" t="n">
        <v>44398</v>
      </c>
      <c r="C1742" s="1" t="n">
        <v>45350</v>
      </c>
      <c r="D1742" t="inlineStr">
        <is>
          <t>STOCKHOLMS LÄN</t>
        </is>
      </c>
      <c r="E1742" t="inlineStr">
        <is>
          <t>NYNÄSHAMN</t>
        </is>
      </c>
      <c r="G1742" t="n">
        <v>25.8</v>
      </c>
      <c r="H1742" t="n">
        <v>0</v>
      </c>
      <c r="I1742" t="n">
        <v>0</v>
      </c>
      <c r="J1742" t="n">
        <v>0</v>
      </c>
      <c r="K1742" t="n">
        <v>0</v>
      </c>
      <c r="L1742" t="n">
        <v>0</v>
      </c>
      <c r="M1742" t="n">
        <v>0</v>
      </c>
      <c r="N1742" t="n">
        <v>0</v>
      </c>
      <c r="O1742" t="n">
        <v>0</v>
      </c>
      <c r="P1742" t="n">
        <v>0</v>
      </c>
      <c r="Q1742" t="n">
        <v>0</v>
      </c>
      <c r="R1742" s="2" t="inlineStr"/>
    </row>
    <row r="1743" ht="15" customHeight="1">
      <c r="A1743" t="inlineStr">
        <is>
          <t>A 37530-2021</t>
        </is>
      </c>
      <c r="B1743" s="1" t="n">
        <v>44399</v>
      </c>
      <c r="C1743" s="1" t="n">
        <v>45350</v>
      </c>
      <c r="D1743" t="inlineStr">
        <is>
          <t>STOCKHOLMS LÄN</t>
        </is>
      </c>
      <c r="E1743" t="inlineStr">
        <is>
          <t>NORRTÄLJE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37522-2021</t>
        </is>
      </c>
      <c r="B1744" s="1" t="n">
        <v>44399</v>
      </c>
      <c r="C1744" s="1" t="n">
        <v>45350</v>
      </c>
      <c r="D1744" t="inlineStr">
        <is>
          <t>STOCKHOLMS LÄN</t>
        </is>
      </c>
      <c r="E1744" t="inlineStr">
        <is>
          <t>NORRTÄLJE</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37525-2021</t>
        </is>
      </c>
      <c r="B1745" s="1" t="n">
        <v>44399</v>
      </c>
      <c r="C1745" s="1" t="n">
        <v>45350</v>
      </c>
      <c r="D1745" t="inlineStr">
        <is>
          <t>STOCKHOLMS LÄN</t>
        </is>
      </c>
      <c r="E1745" t="inlineStr">
        <is>
          <t>NORRTÄLJE</t>
        </is>
      </c>
      <c r="F1745" t="inlineStr">
        <is>
          <t>Holmen skog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37676-2021</t>
        </is>
      </c>
      <c r="B1746" s="1" t="n">
        <v>44400</v>
      </c>
      <c r="C1746" s="1" t="n">
        <v>45350</v>
      </c>
      <c r="D1746" t="inlineStr">
        <is>
          <t>STOCKHOLMS LÄN</t>
        </is>
      </c>
      <c r="E1746" t="inlineStr">
        <is>
          <t>SÖDERTÄLJE</t>
        </is>
      </c>
      <c r="F1746" t="inlineStr">
        <is>
          <t>Sveaskog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37657-2021</t>
        </is>
      </c>
      <c r="B1747" s="1" t="n">
        <v>44400</v>
      </c>
      <c r="C1747" s="1" t="n">
        <v>45350</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37681-2021</t>
        </is>
      </c>
      <c r="B1748" s="1" t="n">
        <v>44400</v>
      </c>
      <c r="C1748" s="1" t="n">
        <v>45350</v>
      </c>
      <c r="D1748" t="inlineStr">
        <is>
          <t>STOCKHOLMS LÄN</t>
        </is>
      </c>
      <c r="E1748" t="inlineStr">
        <is>
          <t>SÖDERTÄLJE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37712-2021</t>
        </is>
      </c>
      <c r="B1749" s="1" t="n">
        <v>44400</v>
      </c>
      <c r="C1749" s="1" t="n">
        <v>45350</v>
      </c>
      <c r="D1749" t="inlineStr">
        <is>
          <t>STOCKHOLMS LÄN</t>
        </is>
      </c>
      <c r="E1749" t="inlineStr">
        <is>
          <t>NORRTÄLJE</t>
        </is>
      </c>
      <c r="G1749" t="n">
        <v>22.9</v>
      </c>
      <c r="H1749" t="n">
        <v>0</v>
      </c>
      <c r="I1749" t="n">
        <v>0</v>
      </c>
      <c r="J1749" t="n">
        <v>0</v>
      </c>
      <c r="K1749" t="n">
        <v>0</v>
      </c>
      <c r="L1749" t="n">
        <v>0</v>
      </c>
      <c r="M1749" t="n">
        <v>0</v>
      </c>
      <c r="N1749" t="n">
        <v>0</v>
      </c>
      <c r="O1749" t="n">
        <v>0</v>
      </c>
      <c r="P1749" t="n">
        <v>0</v>
      </c>
      <c r="Q1749" t="n">
        <v>0</v>
      </c>
      <c r="R1749" s="2" t="inlineStr"/>
    </row>
    <row r="1750" ht="15" customHeight="1">
      <c r="A1750" t="inlineStr">
        <is>
          <t>A 37967-2021</t>
        </is>
      </c>
      <c r="B1750" s="1" t="n">
        <v>44403</v>
      </c>
      <c r="C1750" s="1" t="n">
        <v>45350</v>
      </c>
      <c r="D1750" t="inlineStr">
        <is>
          <t>STOCKHOLMS LÄN</t>
        </is>
      </c>
      <c r="E1750" t="inlineStr">
        <is>
          <t>NYKVARN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37859-2021</t>
        </is>
      </c>
      <c r="B1751" s="1" t="n">
        <v>44403</v>
      </c>
      <c r="C1751" s="1" t="n">
        <v>45350</v>
      </c>
      <c r="D1751" t="inlineStr">
        <is>
          <t>STOCKHOLMS LÄN</t>
        </is>
      </c>
      <c r="E1751" t="inlineStr">
        <is>
          <t>NORRTÄLJE</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38595-2021</t>
        </is>
      </c>
      <c r="B1752" s="1" t="n">
        <v>44407</v>
      </c>
      <c r="C1752" s="1" t="n">
        <v>45350</v>
      </c>
      <c r="D1752" t="inlineStr">
        <is>
          <t>STOCKHOLMS LÄN</t>
        </is>
      </c>
      <c r="E1752" t="inlineStr">
        <is>
          <t>HANINGE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38771-2021</t>
        </is>
      </c>
      <c r="B1753" s="1" t="n">
        <v>44410</v>
      </c>
      <c r="C1753" s="1" t="n">
        <v>45350</v>
      </c>
      <c r="D1753" t="inlineStr">
        <is>
          <t>STOCKHOLMS LÄN</t>
        </is>
      </c>
      <c r="E1753" t="inlineStr">
        <is>
          <t>NYNÄSHAMN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38752-2021</t>
        </is>
      </c>
      <c r="B1754" s="1" t="n">
        <v>44410</v>
      </c>
      <c r="C1754" s="1" t="n">
        <v>45350</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39133-2021</t>
        </is>
      </c>
      <c r="B1755" s="1" t="n">
        <v>44412</v>
      </c>
      <c r="C1755" s="1" t="n">
        <v>45350</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39073-2021</t>
        </is>
      </c>
      <c r="B1756" s="1" t="n">
        <v>44412</v>
      </c>
      <c r="C1756" s="1" t="n">
        <v>45350</v>
      </c>
      <c r="D1756" t="inlineStr">
        <is>
          <t>STOCKHOLMS LÄN</t>
        </is>
      </c>
      <c r="E1756" t="inlineStr">
        <is>
          <t>VÄRMDÖ</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39109-2021</t>
        </is>
      </c>
      <c r="B1757" s="1" t="n">
        <v>44412</v>
      </c>
      <c r="C1757" s="1" t="n">
        <v>45350</v>
      </c>
      <c r="D1757" t="inlineStr">
        <is>
          <t>STOCKHOLMS LÄN</t>
        </is>
      </c>
      <c r="E1757" t="inlineStr">
        <is>
          <t>VÄRMDÖ</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39082-2021</t>
        </is>
      </c>
      <c r="B1758" s="1" t="n">
        <v>44412</v>
      </c>
      <c r="C1758" s="1" t="n">
        <v>45350</v>
      </c>
      <c r="D1758" t="inlineStr">
        <is>
          <t>STOCKHOLMS LÄN</t>
        </is>
      </c>
      <c r="E1758" t="inlineStr">
        <is>
          <t>VÄRMDÖ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39070-2021</t>
        </is>
      </c>
      <c r="B1759" s="1" t="n">
        <v>44412</v>
      </c>
      <c r="C1759" s="1" t="n">
        <v>45350</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39157-2021</t>
        </is>
      </c>
      <c r="B1760" s="1" t="n">
        <v>44412</v>
      </c>
      <c r="C1760" s="1" t="n">
        <v>45350</v>
      </c>
      <c r="D1760" t="inlineStr">
        <is>
          <t>STOCKHOLMS LÄN</t>
        </is>
      </c>
      <c r="E1760" t="inlineStr">
        <is>
          <t>NORRTÄLJE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39496-2021</t>
        </is>
      </c>
      <c r="B1761" s="1" t="n">
        <v>44414</v>
      </c>
      <c r="C1761" s="1" t="n">
        <v>45350</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39497-2021</t>
        </is>
      </c>
      <c r="B1762" s="1" t="n">
        <v>44414</v>
      </c>
      <c r="C1762" s="1" t="n">
        <v>45350</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39651-2021</t>
        </is>
      </c>
      <c r="B1763" s="1" t="n">
        <v>44417</v>
      </c>
      <c r="C1763" s="1" t="n">
        <v>45350</v>
      </c>
      <c r="D1763" t="inlineStr">
        <is>
          <t>STOCKHOLMS LÄN</t>
        </is>
      </c>
      <c r="E1763" t="inlineStr">
        <is>
          <t>HANINGE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40158-2021</t>
        </is>
      </c>
      <c r="B1764" s="1" t="n">
        <v>44418</v>
      </c>
      <c r="C1764" s="1" t="n">
        <v>45350</v>
      </c>
      <c r="D1764" t="inlineStr">
        <is>
          <t>STOCKHOLMS LÄN</t>
        </is>
      </c>
      <c r="E1764" t="inlineStr">
        <is>
          <t>NYNÄSHAMN</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40183-2021</t>
        </is>
      </c>
      <c r="B1765" s="1" t="n">
        <v>44418</v>
      </c>
      <c r="C1765" s="1" t="n">
        <v>45350</v>
      </c>
      <c r="D1765" t="inlineStr">
        <is>
          <t>STOCKHOLMS LÄN</t>
        </is>
      </c>
      <c r="E1765" t="inlineStr">
        <is>
          <t>NYNÄSHAMN</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40143-2021</t>
        </is>
      </c>
      <c r="B1766" s="1" t="n">
        <v>44418</v>
      </c>
      <c r="C1766" s="1" t="n">
        <v>45350</v>
      </c>
      <c r="D1766" t="inlineStr">
        <is>
          <t>STOCKHOLMS LÄN</t>
        </is>
      </c>
      <c r="E1766" t="inlineStr">
        <is>
          <t>NYNÄSHAMN</t>
        </is>
      </c>
      <c r="F1766" t="inlineStr">
        <is>
          <t>Kommuner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40425-2021</t>
        </is>
      </c>
      <c r="B1767" s="1" t="n">
        <v>44419</v>
      </c>
      <c r="C1767" s="1" t="n">
        <v>45350</v>
      </c>
      <c r="D1767" t="inlineStr">
        <is>
          <t>STOCKHOLMS LÄN</t>
        </is>
      </c>
      <c r="E1767" t="inlineStr">
        <is>
          <t>NORRTÄLJE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40514-2021</t>
        </is>
      </c>
      <c r="B1768" s="1" t="n">
        <v>44420</v>
      </c>
      <c r="C1768" s="1" t="n">
        <v>45350</v>
      </c>
      <c r="D1768" t="inlineStr">
        <is>
          <t>STOCKHOLMS LÄN</t>
        </is>
      </c>
      <c r="E1768" t="inlineStr">
        <is>
          <t>UPPLANDS-BRO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40542-2021</t>
        </is>
      </c>
      <c r="B1769" s="1" t="n">
        <v>44420</v>
      </c>
      <c r="C1769" s="1" t="n">
        <v>45350</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40510-2021</t>
        </is>
      </c>
      <c r="B1770" s="1" t="n">
        <v>44420</v>
      </c>
      <c r="C1770" s="1" t="n">
        <v>45350</v>
      </c>
      <c r="D1770" t="inlineStr">
        <is>
          <t>STOCKHOLMS LÄN</t>
        </is>
      </c>
      <c r="E1770" t="inlineStr">
        <is>
          <t>UPPLANDS-BRO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40546-2021</t>
        </is>
      </c>
      <c r="B1771" s="1" t="n">
        <v>44420</v>
      </c>
      <c r="C1771" s="1" t="n">
        <v>45350</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40751-2021</t>
        </is>
      </c>
      <c r="B1772" s="1" t="n">
        <v>44420</v>
      </c>
      <c r="C1772" s="1" t="n">
        <v>45350</v>
      </c>
      <c r="D1772" t="inlineStr">
        <is>
          <t>STOCKHOLMS LÄN</t>
        </is>
      </c>
      <c r="E1772" t="inlineStr">
        <is>
          <t>SÖDERTÄLJE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40753-2021</t>
        </is>
      </c>
      <c r="B1773" s="1" t="n">
        <v>44420</v>
      </c>
      <c r="C1773" s="1" t="n">
        <v>45350</v>
      </c>
      <c r="D1773" t="inlineStr">
        <is>
          <t>STOCKHOLMS LÄN</t>
        </is>
      </c>
      <c r="E1773" t="inlineStr">
        <is>
          <t>NYNÄSHAMN</t>
        </is>
      </c>
      <c r="F1773" t="inlineStr">
        <is>
          <t>Kommuner</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41378-2021</t>
        </is>
      </c>
      <c r="B1774" s="1" t="n">
        <v>44424</v>
      </c>
      <c r="C1774" s="1" t="n">
        <v>45350</v>
      </c>
      <c r="D1774" t="inlineStr">
        <is>
          <t>STOCKHOLMS LÄN</t>
        </is>
      </c>
      <c r="E1774" t="inlineStr">
        <is>
          <t>NYNÄSHAMN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41281-2021</t>
        </is>
      </c>
      <c r="B1775" s="1" t="n">
        <v>44424</v>
      </c>
      <c r="C1775" s="1" t="n">
        <v>45350</v>
      </c>
      <c r="D1775" t="inlineStr">
        <is>
          <t>STOCKHOLMS LÄN</t>
        </is>
      </c>
      <c r="E1775" t="inlineStr">
        <is>
          <t>NYNÄSHAMN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41465-2021</t>
        </is>
      </c>
      <c r="B1776" s="1" t="n">
        <v>44424</v>
      </c>
      <c r="C1776" s="1" t="n">
        <v>45350</v>
      </c>
      <c r="D1776" t="inlineStr">
        <is>
          <t>STOCKHOLMS LÄN</t>
        </is>
      </c>
      <c r="E1776" t="inlineStr">
        <is>
          <t>UPPLANDS-BRO</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41463-2021</t>
        </is>
      </c>
      <c r="B1777" s="1" t="n">
        <v>44424</v>
      </c>
      <c r="C1777" s="1" t="n">
        <v>45350</v>
      </c>
      <c r="D1777" t="inlineStr">
        <is>
          <t>STOCKHOLMS LÄN</t>
        </is>
      </c>
      <c r="E1777" t="inlineStr">
        <is>
          <t>UPPLANDS-BRO</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41595-2021</t>
        </is>
      </c>
      <c r="B1778" s="1" t="n">
        <v>44425</v>
      </c>
      <c r="C1778" s="1" t="n">
        <v>45350</v>
      </c>
      <c r="D1778" t="inlineStr">
        <is>
          <t>STOCKHOLMS LÄN</t>
        </is>
      </c>
      <c r="E1778" t="inlineStr">
        <is>
          <t>NORRTÄLJE</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41823-2021</t>
        </is>
      </c>
      <c r="B1779" s="1" t="n">
        <v>44425</v>
      </c>
      <c r="C1779" s="1" t="n">
        <v>45350</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41809-2021</t>
        </is>
      </c>
      <c r="B1780" s="1" t="n">
        <v>44425</v>
      </c>
      <c r="C1780" s="1" t="n">
        <v>45350</v>
      </c>
      <c r="D1780" t="inlineStr">
        <is>
          <t>STOCKHOLMS LÄN</t>
        </is>
      </c>
      <c r="E1780" t="inlineStr">
        <is>
          <t>HANINGE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41822-2021</t>
        </is>
      </c>
      <c r="B1781" s="1" t="n">
        <v>44425</v>
      </c>
      <c r="C1781" s="1" t="n">
        <v>45350</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42396-2021</t>
        </is>
      </c>
      <c r="B1782" s="1" t="n">
        <v>44427</v>
      </c>
      <c r="C1782" s="1" t="n">
        <v>45350</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42624-2021</t>
        </is>
      </c>
      <c r="B1783" s="1" t="n">
        <v>44428</v>
      </c>
      <c r="C1783" s="1" t="n">
        <v>45350</v>
      </c>
      <c r="D1783" t="inlineStr">
        <is>
          <t>STOCKHOLMS LÄN</t>
        </is>
      </c>
      <c r="E1783" t="inlineStr">
        <is>
          <t>VALLENTUNA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43478-2021</t>
        </is>
      </c>
      <c r="B1784" s="1" t="n">
        <v>44432</v>
      </c>
      <c r="C1784" s="1" t="n">
        <v>45350</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43709-2021</t>
        </is>
      </c>
      <c r="B1785" s="1" t="n">
        <v>44433</v>
      </c>
      <c r="C1785" s="1" t="n">
        <v>45350</v>
      </c>
      <c r="D1785" t="inlineStr">
        <is>
          <t>STOCKHOLMS LÄN</t>
        </is>
      </c>
      <c r="E1785" t="inlineStr">
        <is>
          <t>HANINGE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43717-2021</t>
        </is>
      </c>
      <c r="B1786" s="1" t="n">
        <v>44433</v>
      </c>
      <c r="C1786" s="1" t="n">
        <v>45350</v>
      </c>
      <c r="D1786" t="inlineStr">
        <is>
          <t>STOCKHOLMS LÄN</t>
        </is>
      </c>
      <c r="E1786" t="inlineStr">
        <is>
          <t>BOTKYRKA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43893-2021</t>
        </is>
      </c>
      <c r="B1787" s="1" t="n">
        <v>44434</v>
      </c>
      <c r="C1787" s="1" t="n">
        <v>45350</v>
      </c>
      <c r="D1787" t="inlineStr">
        <is>
          <t>STOCKHOLMS LÄN</t>
        </is>
      </c>
      <c r="E1787" t="inlineStr">
        <is>
          <t>SALEM</t>
        </is>
      </c>
      <c r="F1787" t="inlineStr">
        <is>
          <t>Kommuner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43922-2021</t>
        </is>
      </c>
      <c r="B1788" s="1" t="n">
        <v>44434</v>
      </c>
      <c r="C1788" s="1" t="n">
        <v>45350</v>
      </c>
      <c r="D1788" t="inlineStr">
        <is>
          <t>STOCKHOLMS LÄN</t>
        </is>
      </c>
      <c r="E1788" t="inlineStr">
        <is>
          <t>NYKVARN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44346-2021</t>
        </is>
      </c>
      <c r="B1789" s="1" t="n">
        <v>44434</v>
      </c>
      <c r="C1789" s="1" t="n">
        <v>45350</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44274-2021</t>
        </is>
      </c>
      <c r="B1790" s="1" t="n">
        <v>44435</v>
      </c>
      <c r="C1790" s="1" t="n">
        <v>45350</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44650-2021</t>
        </is>
      </c>
      <c r="B1791" s="1" t="n">
        <v>44437</v>
      </c>
      <c r="C1791" s="1" t="n">
        <v>45350</v>
      </c>
      <c r="D1791" t="inlineStr">
        <is>
          <t>STOCKHOLMS LÄN</t>
        </is>
      </c>
      <c r="E1791" t="inlineStr">
        <is>
          <t>SÖDERTÄLJE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44947-2021</t>
        </is>
      </c>
      <c r="B1792" s="1" t="n">
        <v>44438</v>
      </c>
      <c r="C1792" s="1" t="n">
        <v>45350</v>
      </c>
      <c r="D1792" t="inlineStr">
        <is>
          <t>STOCKHOLMS LÄN</t>
        </is>
      </c>
      <c r="E1792" t="inlineStr">
        <is>
          <t>NYKVARN</t>
        </is>
      </c>
      <c r="F1792" t="inlineStr">
        <is>
          <t>Allmännings- och besparingsskogar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45395-2021</t>
        </is>
      </c>
      <c r="B1793" s="1" t="n">
        <v>44440</v>
      </c>
      <c r="C1793" s="1" t="n">
        <v>45350</v>
      </c>
      <c r="D1793" t="inlineStr">
        <is>
          <t>STOCKHOLMS LÄN</t>
        </is>
      </c>
      <c r="E1793" t="inlineStr">
        <is>
          <t>HANINGE</t>
        </is>
      </c>
      <c r="F1793" t="inlineStr">
        <is>
          <t>Övriga statliga verk och myndigheter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45572-2021</t>
        </is>
      </c>
      <c r="B1794" s="1" t="n">
        <v>44440</v>
      </c>
      <c r="C1794" s="1" t="n">
        <v>45350</v>
      </c>
      <c r="D1794" t="inlineStr">
        <is>
          <t>STOCKHOLMS LÄN</t>
        </is>
      </c>
      <c r="E1794" t="inlineStr">
        <is>
          <t>VÄRMDÖ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45674-2021</t>
        </is>
      </c>
      <c r="B1795" s="1" t="n">
        <v>44441</v>
      </c>
      <c r="C1795" s="1" t="n">
        <v>45350</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46244-2021</t>
        </is>
      </c>
      <c r="B1796" s="1" t="n">
        <v>44442</v>
      </c>
      <c r="C1796" s="1" t="n">
        <v>45350</v>
      </c>
      <c r="D1796" t="inlineStr">
        <is>
          <t>STOCKHOLMS LÄN</t>
        </is>
      </c>
      <c r="E1796" t="inlineStr">
        <is>
          <t>UPPLANDS-BRO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46688-2021</t>
        </is>
      </c>
      <c r="B1797" s="1" t="n">
        <v>44445</v>
      </c>
      <c r="C1797" s="1" t="n">
        <v>45350</v>
      </c>
      <c r="D1797" t="inlineStr">
        <is>
          <t>STOCKHOLMS LÄN</t>
        </is>
      </c>
      <c r="E1797" t="inlineStr">
        <is>
          <t>SÖDERTÄLJE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46671-2021</t>
        </is>
      </c>
      <c r="B1798" s="1" t="n">
        <v>44445</v>
      </c>
      <c r="C1798" s="1" t="n">
        <v>45350</v>
      </c>
      <c r="D1798" t="inlineStr">
        <is>
          <t>STOCKHOLMS LÄN</t>
        </is>
      </c>
      <c r="E1798" t="inlineStr">
        <is>
          <t>SÖDERTÄLJE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46935-2021</t>
        </is>
      </c>
      <c r="B1799" s="1" t="n">
        <v>44446</v>
      </c>
      <c r="C1799" s="1" t="n">
        <v>45350</v>
      </c>
      <c r="D1799" t="inlineStr">
        <is>
          <t>STOCKHOLMS LÄN</t>
        </is>
      </c>
      <c r="E1799" t="inlineStr">
        <is>
          <t>VALLENTUNA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46924-2021</t>
        </is>
      </c>
      <c r="B1800" s="1" t="n">
        <v>44446</v>
      </c>
      <c r="C1800" s="1" t="n">
        <v>45350</v>
      </c>
      <c r="D1800" t="inlineStr">
        <is>
          <t>STOCKHOLMS LÄN</t>
        </is>
      </c>
      <c r="E1800" t="inlineStr">
        <is>
          <t>VALLENTUNA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47344-2021</t>
        </is>
      </c>
      <c r="B1801" s="1" t="n">
        <v>44447</v>
      </c>
      <c r="C1801" s="1" t="n">
        <v>45350</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47349-2021</t>
        </is>
      </c>
      <c r="B1802" s="1" t="n">
        <v>44447</v>
      </c>
      <c r="C1802" s="1" t="n">
        <v>45350</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47691-2021</t>
        </is>
      </c>
      <c r="B1803" s="1" t="n">
        <v>44448</v>
      </c>
      <c r="C1803" s="1" t="n">
        <v>45350</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48068-2021</t>
        </is>
      </c>
      <c r="B1804" s="1" t="n">
        <v>44449</v>
      </c>
      <c r="C1804" s="1" t="n">
        <v>45350</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48078-2021</t>
        </is>
      </c>
      <c r="B1805" s="1" t="n">
        <v>44449</v>
      </c>
      <c r="C1805" s="1" t="n">
        <v>45350</v>
      </c>
      <c r="D1805" t="inlineStr">
        <is>
          <t>STOCKHOLMS LÄN</t>
        </is>
      </c>
      <c r="E1805" t="inlineStr">
        <is>
          <t>VALLENTUNA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48384-2021</t>
        </is>
      </c>
      <c r="B1806" s="1" t="n">
        <v>44451</v>
      </c>
      <c r="C1806" s="1" t="n">
        <v>45350</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48387-2021</t>
        </is>
      </c>
      <c r="B1807" s="1" t="n">
        <v>44451</v>
      </c>
      <c r="C1807" s="1" t="n">
        <v>45350</v>
      </c>
      <c r="D1807" t="inlineStr">
        <is>
          <t>STOCKHOLMS LÄN</t>
        </is>
      </c>
      <c r="E1807" t="inlineStr">
        <is>
          <t>SÖDERTÄLJE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48798-2021</t>
        </is>
      </c>
      <c r="B1808" s="1" t="n">
        <v>44452</v>
      </c>
      <c r="C1808" s="1" t="n">
        <v>45350</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48932-2021</t>
        </is>
      </c>
      <c r="B1809" s="1" t="n">
        <v>44453</v>
      </c>
      <c r="C1809" s="1" t="n">
        <v>45350</v>
      </c>
      <c r="D1809" t="inlineStr">
        <is>
          <t>STOCKHOLMS LÄN</t>
        </is>
      </c>
      <c r="E1809" t="inlineStr">
        <is>
          <t>NORRTÄLJE</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49123-2021</t>
        </is>
      </c>
      <c r="B1810" s="1" t="n">
        <v>44453</v>
      </c>
      <c r="C1810" s="1" t="n">
        <v>45350</v>
      </c>
      <c r="D1810" t="inlineStr">
        <is>
          <t>STOCKHOLMS LÄN</t>
        </is>
      </c>
      <c r="E1810" t="inlineStr">
        <is>
          <t>VÄRMDÖ</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44454</v>
      </c>
      <c r="C1811" s="1" t="n">
        <v>45350</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49113-2021</t>
        </is>
      </c>
      <c r="B1812" s="1" t="n">
        <v>44453</v>
      </c>
      <c r="C1812" s="1" t="n">
        <v>45350</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49622-2021</t>
        </is>
      </c>
      <c r="B1813" s="1" t="n">
        <v>44455</v>
      </c>
      <c r="C1813" s="1" t="n">
        <v>45350</v>
      </c>
      <c r="D1813" t="inlineStr">
        <is>
          <t>STOCKHOLMS LÄN</t>
        </is>
      </c>
      <c r="E1813" t="inlineStr">
        <is>
          <t>UPPLANDS-BRO</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49657-2021</t>
        </is>
      </c>
      <c r="B1814" s="1" t="n">
        <v>44455</v>
      </c>
      <c r="C1814" s="1" t="n">
        <v>45350</v>
      </c>
      <c r="D1814" t="inlineStr">
        <is>
          <t>STOCKHOLMS LÄN</t>
        </is>
      </c>
      <c r="E1814" t="inlineStr">
        <is>
          <t>NYNÄSHAMN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50059-2021</t>
        </is>
      </c>
      <c r="B1815" s="1" t="n">
        <v>44455</v>
      </c>
      <c r="C1815" s="1" t="n">
        <v>45350</v>
      </c>
      <c r="D1815" t="inlineStr">
        <is>
          <t>STOCKHOLMS LÄN</t>
        </is>
      </c>
      <c r="E1815" t="inlineStr">
        <is>
          <t>SÖDERTÄLJE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50038-2021</t>
        </is>
      </c>
      <c r="B1816" s="1" t="n">
        <v>44456</v>
      </c>
      <c r="C1816" s="1" t="n">
        <v>45350</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50117-2021</t>
        </is>
      </c>
      <c r="B1817" s="1" t="n">
        <v>44456</v>
      </c>
      <c r="C1817" s="1" t="n">
        <v>45350</v>
      </c>
      <c r="D1817" t="inlineStr">
        <is>
          <t>STOCKHOLMS LÄN</t>
        </is>
      </c>
      <c r="E1817" t="inlineStr">
        <is>
          <t>SÖDERTÄLJE</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50108-2021</t>
        </is>
      </c>
      <c r="B1818" s="1" t="n">
        <v>44456</v>
      </c>
      <c r="C1818" s="1" t="n">
        <v>45350</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50252-2021</t>
        </is>
      </c>
      <c r="B1819" s="1" t="n">
        <v>44458</v>
      </c>
      <c r="C1819" s="1" t="n">
        <v>45350</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50602-2021</t>
        </is>
      </c>
      <c r="B1820" s="1" t="n">
        <v>44459</v>
      </c>
      <c r="C1820" s="1" t="n">
        <v>45350</v>
      </c>
      <c r="D1820" t="inlineStr">
        <is>
          <t>STOCKHOLMS LÄN</t>
        </is>
      </c>
      <c r="E1820" t="inlineStr">
        <is>
          <t>NORRTÄLJE</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50692-2021</t>
        </is>
      </c>
      <c r="B1821" s="1" t="n">
        <v>44460</v>
      </c>
      <c r="C1821" s="1" t="n">
        <v>45350</v>
      </c>
      <c r="D1821" t="inlineStr">
        <is>
          <t>STOCKHOLMS LÄN</t>
        </is>
      </c>
      <c r="E1821" t="inlineStr">
        <is>
          <t>SALEM</t>
        </is>
      </c>
      <c r="F1821" t="inlineStr">
        <is>
          <t>Kommuner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50903-2021</t>
        </is>
      </c>
      <c r="B1822" s="1" t="n">
        <v>44460</v>
      </c>
      <c r="C1822" s="1" t="n">
        <v>45350</v>
      </c>
      <c r="D1822" t="inlineStr">
        <is>
          <t>STOCKHOLMS LÄN</t>
        </is>
      </c>
      <c r="E1822" t="inlineStr">
        <is>
          <t>HANINGE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51482-2021</t>
        </is>
      </c>
      <c r="B1823" s="1" t="n">
        <v>44460</v>
      </c>
      <c r="C1823" s="1" t="n">
        <v>45350</v>
      </c>
      <c r="D1823" t="inlineStr">
        <is>
          <t>STOCKHOLMS LÄN</t>
        </is>
      </c>
      <c r="E1823" t="inlineStr">
        <is>
          <t>SÖDERTÄLJE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51454-2021</t>
        </is>
      </c>
      <c r="B1824" s="1" t="n">
        <v>44460</v>
      </c>
      <c r="C1824" s="1" t="n">
        <v>45350</v>
      </c>
      <c r="D1824" t="inlineStr">
        <is>
          <t>STOCKHOLMS LÄN</t>
        </is>
      </c>
      <c r="E1824" t="inlineStr">
        <is>
          <t>SÖDERTÄLJE</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51279-2021</t>
        </is>
      </c>
      <c r="B1825" s="1" t="n">
        <v>44461</v>
      </c>
      <c r="C1825" s="1" t="n">
        <v>45350</v>
      </c>
      <c r="D1825" t="inlineStr">
        <is>
          <t>STOCKHOLMS LÄN</t>
        </is>
      </c>
      <c r="E1825" t="inlineStr">
        <is>
          <t>NORRTÄLJE</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51315-2021</t>
        </is>
      </c>
      <c r="B1826" s="1" t="n">
        <v>44461</v>
      </c>
      <c r="C1826" s="1" t="n">
        <v>45350</v>
      </c>
      <c r="D1826" t="inlineStr">
        <is>
          <t>STOCKHOLMS LÄN</t>
        </is>
      </c>
      <c r="E1826" t="inlineStr">
        <is>
          <t>NORRTÄLJE</t>
        </is>
      </c>
      <c r="F1826" t="inlineStr">
        <is>
          <t>Holmen skog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51787-2021</t>
        </is>
      </c>
      <c r="B1827" s="1" t="n">
        <v>44462</v>
      </c>
      <c r="C1827" s="1" t="n">
        <v>45350</v>
      </c>
      <c r="D1827" t="inlineStr">
        <is>
          <t>STOCKHOLMS LÄN</t>
        </is>
      </c>
      <c r="E1827" t="inlineStr">
        <is>
          <t>NYKVARN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52214-2021</t>
        </is>
      </c>
      <c r="B1828" s="1" t="n">
        <v>44462</v>
      </c>
      <c r="C1828" s="1" t="n">
        <v>45350</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52090-2021</t>
        </is>
      </c>
      <c r="B1829" s="1" t="n">
        <v>44463</v>
      </c>
      <c r="C1829" s="1" t="n">
        <v>45350</v>
      </c>
      <c r="D1829" t="inlineStr">
        <is>
          <t>STOCKHOLMS LÄN</t>
        </is>
      </c>
      <c r="E1829" t="inlineStr">
        <is>
          <t>NORRTÄLJE</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52035-2021</t>
        </is>
      </c>
      <c r="B1830" s="1" t="n">
        <v>44463</v>
      </c>
      <c r="C1830" s="1" t="n">
        <v>45350</v>
      </c>
      <c r="D1830" t="inlineStr">
        <is>
          <t>STOCKHOLMS LÄN</t>
        </is>
      </c>
      <c r="E1830" t="inlineStr">
        <is>
          <t>BOTKYRKA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52377-2021</t>
        </is>
      </c>
      <c r="B1831" s="1" t="n">
        <v>44465</v>
      </c>
      <c r="C1831" s="1" t="n">
        <v>45350</v>
      </c>
      <c r="D1831" t="inlineStr">
        <is>
          <t>STOCKHOLMS LÄN</t>
        </is>
      </c>
      <c r="E1831" t="inlineStr">
        <is>
          <t>VALLENTUNA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52449-2021</t>
        </is>
      </c>
      <c r="B1832" s="1" t="n">
        <v>44466</v>
      </c>
      <c r="C1832" s="1" t="n">
        <v>45350</v>
      </c>
      <c r="D1832" t="inlineStr">
        <is>
          <t>STOCKHOLMS LÄN</t>
        </is>
      </c>
      <c r="E1832" t="inlineStr">
        <is>
          <t>NORRTÄLJE</t>
        </is>
      </c>
      <c r="F1832" t="inlineStr">
        <is>
          <t>Holmen skog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53042-2021</t>
        </is>
      </c>
      <c r="B1833" s="1" t="n">
        <v>44467</v>
      </c>
      <c r="C1833" s="1" t="n">
        <v>45350</v>
      </c>
      <c r="D1833" t="inlineStr">
        <is>
          <t>STOCKHOLMS LÄN</t>
        </is>
      </c>
      <c r="E1833" t="inlineStr">
        <is>
          <t>SÖDERTÄLJE</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53090-2021</t>
        </is>
      </c>
      <c r="B1834" s="1" t="n">
        <v>44467</v>
      </c>
      <c r="C1834" s="1" t="n">
        <v>45350</v>
      </c>
      <c r="D1834" t="inlineStr">
        <is>
          <t>STOCKHOLMS LÄN</t>
        </is>
      </c>
      <c r="E1834" t="inlineStr">
        <is>
          <t>SIGTUNA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53462-2021</t>
        </is>
      </c>
      <c r="B1835" s="1" t="n">
        <v>44468</v>
      </c>
      <c r="C1835" s="1" t="n">
        <v>45350</v>
      </c>
      <c r="D1835" t="inlineStr">
        <is>
          <t>STOCKHOLMS LÄN</t>
        </is>
      </c>
      <c r="E1835" t="inlineStr">
        <is>
          <t>SIGTUNA</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54276-2021</t>
        </is>
      </c>
      <c r="B1836" s="1" t="n">
        <v>44470</v>
      </c>
      <c r="C1836" s="1" t="n">
        <v>45350</v>
      </c>
      <c r="D1836" t="inlineStr">
        <is>
          <t>STOCKHOLMS LÄN</t>
        </is>
      </c>
      <c r="E1836" t="inlineStr">
        <is>
          <t>NORRTÄLJE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54273-2021</t>
        </is>
      </c>
      <c r="B1837" s="1" t="n">
        <v>44470</v>
      </c>
      <c r="C1837" s="1" t="n">
        <v>45350</v>
      </c>
      <c r="D1837" t="inlineStr">
        <is>
          <t>STOCKHOLMS LÄN</t>
        </is>
      </c>
      <c r="E1837" t="inlineStr">
        <is>
          <t>NORRTÄLJE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54272-2021</t>
        </is>
      </c>
      <c r="B1838" s="1" t="n">
        <v>44470</v>
      </c>
      <c r="C1838" s="1" t="n">
        <v>45350</v>
      </c>
      <c r="D1838" t="inlineStr">
        <is>
          <t>STOCKHOLMS LÄN</t>
        </is>
      </c>
      <c r="E1838" t="inlineStr">
        <is>
          <t>NORRTÄLJE</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54396-2021</t>
        </is>
      </c>
      <c r="B1839" s="1" t="n">
        <v>44472</v>
      </c>
      <c r="C1839" s="1" t="n">
        <v>45350</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54418-2021</t>
        </is>
      </c>
      <c r="B1840" s="1" t="n">
        <v>44473</v>
      </c>
      <c r="C1840" s="1" t="n">
        <v>45350</v>
      </c>
      <c r="D1840" t="inlineStr">
        <is>
          <t>STOCKHOLMS LÄN</t>
        </is>
      </c>
      <c r="E1840" t="inlineStr">
        <is>
          <t>NYKVARN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55058-2021</t>
        </is>
      </c>
      <c r="B1841" s="1" t="n">
        <v>44474</v>
      </c>
      <c r="C1841" s="1" t="n">
        <v>45350</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55112-2021</t>
        </is>
      </c>
      <c r="B1842" s="1" t="n">
        <v>44474</v>
      </c>
      <c r="C1842" s="1" t="n">
        <v>45350</v>
      </c>
      <c r="D1842" t="inlineStr">
        <is>
          <t>STOCKHOLMS LÄN</t>
        </is>
      </c>
      <c r="E1842" t="inlineStr">
        <is>
          <t>SIGTUNA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55861-2021</t>
        </is>
      </c>
      <c r="B1843" s="1" t="n">
        <v>44476</v>
      </c>
      <c r="C1843" s="1" t="n">
        <v>45350</v>
      </c>
      <c r="D1843" t="inlineStr">
        <is>
          <t>STOCKHOLMS LÄN</t>
        </is>
      </c>
      <c r="E1843" t="inlineStr">
        <is>
          <t>HANINGE</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55857-2021</t>
        </is>
      </c>
      <c r="B1844" s="1" t="n">
        <v>44476</v>
      </c>
      <c r="C1844" s="1" t="n">
        <v>45350</v>
      </c>
      <c r="D1844" t="inlineStr">
        <is>
          <t>STOCKHOLMS LÄN</t>
        </is>
      </c>
      <c r="E1844" t="inlineStr">
        <is>
          <t>HANINGE</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55853-2021</t>
        </is>
      </c>
      <c r="B1845" s="1" t="n">
        <v>44476</v>
      </c>
      <c r="C1845" s="1" t="n">
        <v>45350</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56219-2021</t>
        </is>
      </c>
      <c r="B1846" s="1" t="n">
        <v>44477</v>
      </c>
      <c r="C1846" s="1" t="n">
        <v>45350</v>
      </c>
      <c r="D1846" t="inlineStr">
        <is>
          <t>STOCKHOLMS LÄN</t>
        </is>
      </c>
      <c r="E1846" t="inlineStr">
        <is>
          <t>NORRTÄLJE</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56225-2021</t>
        </is>
      </c>
      <c r="B1847" s="1" t="n">
        <v>44478</v>
      </c>
      <c r="C1847" s="1" t="n">
        <v>45350</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56724-2021</t>
        </is>
      </c>
      <c r="B1848" s="1" t="n">
        <v>44480</v>
      </c>
      <c r="C1848" s="1" t="n">
        <v>45350</v>
      </c>
      <c r="D1848" t="inlineStr">
        <is>
          <t>STOCKHOLMS LÄN</t>
        </is>
      </c>
      <c r="E1848" t="inlineStr">
        <is>
          <t>SIGTUNA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56756-2021</t>
        </is>
      </c>
      <c r="B1849" s="1" t="n">
        <v>44481</v>
      </c>
      <c r="C1849" s="1" t="n">
        <v>45350</v>
      </c>
      <c r="D1849" t="inlineStr">
        <is>
          <t>STOCKHOLMS LÄN</t>
        </is>
      </c>
      <c r="E1849" t="inlineStr">
        <is>
          <t>UPPLANDS-BRO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56878-2021</t>
        </is>
      </c>
      <c r="B1850" s="1" t="n">
        <v>44481</v>
      </c>
      <c r="C1850" s="1" t="n">
        <v>45350</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56816-2021</t>
        </is>
      </c>
      <c r="B1851" s="1" t="n">
        <v>44481</v>
      </c>
      <c r="C1851" s="1" t="n">
        <v>45350</v>
      </c>
      <c r="D1851" t="inlineStr">
        <is>
          <t>STOCKHOLMS LÄN</t>
        </is>
      </c>
      <c r="E1851" t="inlineStr">
        <is>
          <t>BOTKYRKA</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57039-2021</t>
        </is>
      </c>
      <c r="B1852" s="1" t="n">
        <v>44482</v>
      </c>
      <c r="C1852" s="1" t="n">
        <v>45350</v>
      </c>
      <c r="D1852" t="inlineStr">
        <is>
          <t>STOCKHOLMS LÄN</t>
        </is>
      </c>
      <c r="E1852" t="inlineStr">
        <is>
          <t>SÖDERTÄLJE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57442-2021</t>
        </is>
      </c>
      <c r="B1853" s="1" t="n">
        <v>44483</v>
      </c>
      <c r="C1853" s="1" t="n">
        <v>45350</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57507-2021</t>
        </is>
      </c>
      <c r="B1854" s="1" t="n">
        <v>44483</v>
      </c>
      <c r="C1854" s="1" t="n">
        <v>45350</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57884-2021</t>
        </is>
      </c>
      <c r="B1855" s="1" t="n">
        <v>44485</v>
      </c>
      <c r="C1855" s="1" t="n">
        <v>45350</v>
      </c>
      <c r="D1855" t="inlineStr">
        <is>
          <t>STOCKHOLMS LÄN</t>
        </is>
      </c>
      <c r="E1855" t="inlineStr">
        <is>
          <t>SÖDERTÄLJE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57993-2021</t>
        </is>
      </c>
      <c r="B1856" s="1" t="n">
        <v>44487</v>
      </c>
      <c r="C1856" s="1" t="n">
        <v>45350</v>
      </c>
      <c r="D1856" t="inlineStr">
        <is>
          <t>STOCKHOLMS LÄN</t>
        </is>
      </c>
      <c r="E1856" t="inlineStr">
        <is>
          <t>UPPLANDS-BRO</t>
        </is>
      </c>
      <c r="F1856" t="inlineStr">
        <is>
          <t>Övriga statliga verk och myndigheter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58011-2021</t>
        </is>
      </c>
      <c r="B1857" s="1" t="n">
        <v>44487</v>
      </c>
      <c r="C1857" s="1" t="n">
        <v>45350</v>
      </c>
      <c r="D1857" t="inlineStr">
        <is>
          <t>STOCKHOLMS LÄN</t>
        </is>
      </c>
      <c r="E1857" t="inlineStr">
        <is>
          <t>UPPLANDS-BRO</t>
        </is>
      </c>
      <c r="F1857" t="inlineStr">
        <is>
          <t>Övriga statliga verk och myndigheter</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58669-2021</t>
        </is>
      </c>
      <c r="B1858" s="1" t="n">
        <v>44489</v>
      </c>
      <c r="C1858" s="1" t="n">
        <v>45350</v>
      </c>
      <c r="D1858" t="inlineStr">
        <is>
          <t>STOCKHOLMS LÄN</t>
        </is>
      </c>
      <c r="E1858" t="inlineStr">
        <is>
          <t>UPPLANDS-BRO</t>
        </is>
      </c>
      <c r="F1858" t="inlineStr">
        <is>
          <t>Övriga statliga verk och myndigheter</t>
        </is>
      </c>
      <c r="G1858" t="n">
        <v>20.7</v>
      </c>
      <c r="H1858" t="n">
        <v>0</v>
      </c>
      <c r="I1858" t="n">
        <v>0</v>
      </c>
      <c r="J1858" t="n">
        <v>0</v>
      </c>
      <c r="K1858" t="n">
        <v>0</v>
      </c>
      <c r="L1858" t="n">
        <v>0</v>
      </c>
      <c r="M1858" t="n">
        <v>0</v>
      </c>
      <c r="N1858" t="n">
        <v>0</v>
      </c>
      <c r="O1858" t="n">
        <v>0</v>
      </c>
      <c r="P1858" t="n">
        <v>0</v>
      </c>
      <c r="Q1858" t="n">
        <v>0</v>
      </c>
      <c r="R1858" s="2" t="inlineStr"/>
    </row>
    <row r="1859" ht="15" customHeight="1">
      <c r="A1859" t="inlineStr">
        <is>
          <t>A 58663-2021</t>
        </is>
      </c>
      <c r="B1859" s="1" t="n">
        <v>44489</v>
      </c>
      <c r="C1859" s="1" t="n">
        <v>45350</v>
      </c>
      <c r="D1859" t="inlineStr">
        <is>
          <t>STOCKHOLMS LÄN</t>
        </is>
      </c>
      <c r="E1859" t="inlineStr">
        <is>
          <t>UPPLANDS-BRO</t>
        </is>
      </c>
      <c r="F1859" t="inlineStr">
        <is>
          <t>Övriga statliga verk och myndigheter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v>
      </c>
      <c r="C1860" s="1" t="n">
        <v>45350</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v>
      </c>
      <c r="C1861" s="1" t="n">
        <v>45350</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59235-2021</t>
        </is>
      </c>
      <c r="B1862" s="1" t="n">
        <v>44490</v>
      </c>
      <c r="C1862" s="1" t="n">
        <v>45350</v>
      </c>
      <c r="D1862" t="inlineStr">
        <is>
          <t>STOCKHOLMS LÄN</t>
        </is>
      </c>
      <c r="E1862" t="inlineStr">
        <is>
          <t>SÖDERTÄLJE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59732-2021</t>
        </is>
      </c>
      <c r="B1863" s="1" t="n">
        <v>44494</v>
      </c>
      <c r="C1863" s="1" t="n">
        <v>45350</v>
      </c>
      <c r="D1863" t="inlineStr">
        <is>
          <t>STOCKHOLMS LÄN</t>
        </is>
      </c>
      <c r="E1863" t="inlineStr">
        <is>
          <t>UPPLANDS-BRO</t>
        </is>
      </c>
      <c r="F1863" t="inlineStr">
        <is>
          <t>Övriga statliga verk och myndigheter</t>
        </is>
      </c>
      <c r="G1863" t="n">
        <v>17.2</v>
      </c>
      <c r="H1863" t="n">
        <v>0</v>
      </c>
      <c r="I1863" t="n">
        <v>0</v>
      </c>
      <c r="J1863" t="n">
        <v>0</v>
      </c>
      <c r="K1863" t="n">
        <v>0</v>
      </c>
      <c r="L1863" t="n">
        <v>0</v>
      </c>
      <c r="M1863" t="n">
        <v>0</v>
      </c>
      <c r="N1863" t="n">
        <v>0</v>
      </c>
      <c r="O1863" t="n">
        <v>0</v>
      </c>
      <c r="P1863" t="n">
        <v>0</v>
      </c>
      <c r="Q1863" t="n">
        <v>0</v>
      </c>
      <c r="R1863" s="2" t="inlineStr"/>
    </row>
    <row r="1864" ht="15" customHeight="1">
      <c r="A1864" t="inlineStr">
        <is>
          <t>A 59700-2021</t>
        </is>
      </c>
      <c r="B1864" s="1" t="n">
        <v>44494</v>
      </c>
      <c r="C1864" s="1" t="n">
        <v>45350</v>
      </c>
      <c r="D1864" t="inlineStr">
        <is>
          <t>STOCKHOLMS LÄN</t>
        </is>
      </c>
      <c r="E1864" t="inlineStr">
        <is>
          <t>UPPLANDS-BRO</t>
        </is>
      </c>
      <c r="F1864" t="inlineStr">
        <is>
          <t>Övriga statliga verk och myndigheter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60217-2021</t>
        </is>
      </c>
      <c r="B1865" s="1" t="n">
        <v>44495</v>
      </c>
      <c r="C1865" s="1" t="n">
        <v>45350</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60184-2021</t>
        </is>
      </c>
      <c r="B1866" s="1" t="n">
        <v>44495</v>
      </c>
      <c r="C1866" s="1" t="n">
        <v>45350</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60186-2021</t>
        </is>
      </c>
      <c r="B1867" s="1" t="n">
        <v>44495</v>
      </c>
      <c r="C1867" s="1" t="n">
        <v>45350</v>
      </c>
      <c r="D1867" t="inlineStr">
        <is>
          <t>STOCKHOLMS LÄN</t>
        </is>
      </c>
      <c r="E1867" t="inlineStr">
        <is>
          <t>NORRTÄLJE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60209-2021</t>
        </is>
      </c>
      <c r="B1868" s="1" t="n">
        <v>44495</v>
      </c>
      <c r="C1868" s="1" t="n">
        <v>45350</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60671-2021</t>
        </is>
      </c>
      <c r="B1869" s="1" t="n">
        <v>44496</v>
      </c>
      <c r="C1869" s="1" t="n">
        <v>45350</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60733-2021</t>
        </is>
      </c>
      <c r="B1870" s="1" t="n">
        <v>44496</v>
      </c>
      <c r="C1870" s="1" t="n">
        <v>45350</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60813-2021</t>
        </is>
      </c>
      <c r="B1871" s="1" t="n">
        <v>44496</v>
      </c>
      <c r="C1871" s="1" t="n">
        <v>45350</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60822-2021</t>
        </is>
      </c>
      <c r="B1872" s="1" t="n">
        <v>44496</v>
      </c>
      <c r="C1872" s="1" t="n">
        <v>45350</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61196-2021</t>
        </is>
      </c>
      <c r="B1873" s="1" t="n">
        <v>44498</v>
      </c>
      <c r="C1873" s="1" t="n">
        <v>45350</v>
      </c>
      <c r="D1873" t="inlineStr">
        <is>
          <t>STOCKHOLMS LÄN</t>
        </is>
      </c>
      <c r="E1873" t="inlineStr">
        <is>
          <t>EKERÖ</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61937-2021</t>
        </is>
      </c>
      <c r="B1874" s="1" t="n">
        <v>44502</v>
      </c>
      <c r="C1874" s="1" t="n">
        <v>45350</v>
      </c>
      <c r="D1874" t="inlineStr">
        <is>
          <t>STOCKHOLMS LÄN</t>
        </is>
      </c>
      <c r="E1874" t="inlineStr">
        <is>
          <t>SIGTUNA</t>
        </is>
      </c>
      <c r="G1874" t="n">
        <v>14.7</v>
      </c>
      <c r="H1874" t="n">
        <v>0</v>
      </c>
      <c r="I1874" t="n">
        <v>0</v>
      </c>
      <c r="J1874" t="n">
        <v>0</v>
      </c>
      <c r="K1874" t="n">
        <v>0</v>
      </c>
      <c r="L1874" t="n">
        <v>0</v>
      </c>
      <c r="M1874" t="n">
        <v>0</v>
      </c>
      <c r="N1874" t="n">
        <v>0</v>
      </c>
      <c r="O1874" t="n">
        <v>0</v>
      </c>
      <c r="P1874" t="n">
        <v>0</v>
      </c>
      <c r="Q1874" t="n">
        <v>0</v>
      </c>
      <c r="R1874" s="2" t="inlineStr"/>
    </row>
    <row r="1875" ht="15" customHeight="1">
      <c r="A1875" t="inlineStr">
        <is>
          <t>A 61919-2021</t>
        </is>
      </c>
      <c r="B1875" s="1" t="n">
        <v>44502</v>
      </c>
      <c r="C1875" s="1" t="n">
        <v>45350</v>
      </c>
      <c r="D1875" t="inlineStr">
        <is>
          <t>STOCKHOLMS LÄN</t>
        </is>
      </c>
      <c r="E1875" t="inlineStr">
        <is>
          <t>SIGTUNA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62030-2021</t>
        </is>
      </c>
      <c r="B1876" s="1" t="n">
        <v>44502</v>
      </c>
      <c r="C1876" s="1" t="n">
        <v>45350</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63530-2021</t>
        </is>
      </c>
      <c r="B1877" s="1" t="n">
        <v>44508</v>
      </c>
      <c r="C1877" s="1" t="n">
        <v>45350</v>
      </c>
      <c r="D1877" t="inlineStr">
        <is>
          <t>STOCKHOLMS LÄN</t>
        </is>
      </c>
      <c r="E1877" t="inlineStr">
        <is>
          <t>NORRTÄLJE</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63644-2021</t>
        </is>
      </c>
      <c r="B1878" s="1" t="n">
        <v>44508</v>
      </c>
      <c r="C1878" s="1" t="n">
        <v>45350</v>
      </c>
      <c r="D1878" t="inlineStr">
        <is>
          <t>STOCKHOLMS LÄN</t>
        </is>
      </c>
      <c r="E1878" t="inlineStr">
        <is>
          <t>SÖDERTÄLJE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64111-2021</t>
        </is>
      </c>
      <c r="B1879" s="1" t="n">
        <v>44509</v>
      </c>
      <c r="C1879" s="1" t="n">
        <v>45350</v>
      </c>
      <c r="D1879" t="inlineStr">
        <is>
          <t>STOCKHOLMS LÄN</t>
        </is>
      </c>
      <c r="E1879" t="inlineStr">
        <is>
          <t>SÖDERTÄLJE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63931-2021</t>
        </is>
      </c>
      <c r="B1880" s="1" t="n">
        <v>44509</v>
      </c>
      <c r="C1880" s="1" t="n">
        <v>45350</v>
      </c>
      <c r="D1880" t="inlineStr">
        <is>
          <t>STOCKHOLMS LÄN</t>
        </is>
      </c>
      <c r="E1880" t="inlineStr">
        <is>
          <t>NYNÄSHAMN</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64137-2021</t>
        </is>
      </c>
      <c r="B1881" s="1" t="n">
        <v>44510</v>
      </c>
      <c r="C1881" s="1" t="n">
        <v>45350</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64212-2021</t>
        </is>
      </c>
      <c r="B1882" s="1" t="n">
        <v>44510</v>
      </c>
      <c r="C1882" s="1" t="n">
        <v>45350</v>
      </c>
      <c r="D1882" t="inlineStr">
        <is>
          <t>STOCKHOLMS LÄN</t>
        </is>
      </c>
      <c r="E1882" t="inlineStr">
        <is>
          <t>NORRTÄLJE</t>
        </is>
      </c>
      <c r="G1882" t="n">
        <v>28.7</v>
      </c>
      <c r="H1882" t="n">
        <v>0</v>
      </c>
      <c r="I1882" t="n">
        <v>0</v>
      </c>
      <c r="J1882" t="n">
        <v>0</v>
      </c>
      <c r="K1882" t="n">
        <v>0</v>
      </c>
      <c r="L1882" t="n">
        <v>0</v>
      </c>
      <c r="M1882" t="n">
        <v>0</v>
      </c>
      <c r="N1882" t="n">
        <v>0</v>
      </c>
      <c r="O1882" t="n">
        <v>0</v>
      </c>
      <c r="P1882" t="n">
        <v>0</v>
      </c>
      <c r="Q1882" t="n">
        <v>0</v>
      </c>
      <c r="R1882" s="2" t="inlineStr"/>
    </row>
    <row r="1883" ht="15" customHeight="1">
      <c r="A1883" t="inlineStr">
        <is>
          <t>A 64074-2021</t>
        </is>
      </c>
      <c r="B1883" s="1" t="n">
        <v>44510</v>
      </c>
      <c r="C1883" s="1" t="n">
        <v>45350</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64145-2021</t>
        </is>
      </c>
      <c r="B1884" s="1" t="n">
        <v>44510</v>
      </c>
      <c r="C1884" s="1" t="n">
        <v>45350</v>
      </c>
      <c r="D1884" t="inlineStr">
        <is>
          <t>STOCKHOLMS LÄN</t>
        </is>
      </c>
      <c r="E1884" t="inlineStr">
        <is>
          <t>NORRTÄLJE</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64600-2021</t>
        </is>
      </c>
      <c r="B1885" s="1" t="n">
        <v>44511</v>
      </c>
      <c r="C1885" s="1" t="n">
        <v>45350</v>
      </c>
      <c r="D1885" t="inlineStr">
        <is>
          <t>STOCKHOLMS LÄN</t>
        </is>
      </c>
      <c r="E1885" t="inlineStr">
        <is>
          <t>NORRTÄLJE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64599-2021</t>
        </is>
      </c>
      <c r="B1886" s="1" t="n">
        <v>44511</v>
      </c>
      <c r="C1886" s="1" t="n">
        <v>45350</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64628-2021</t>
        </is>
      </c>
      <c r="B1887" s="1" t="n">
        <v>44511</v>
      </c>
      <c r="C1887" s="1" t="n">
        <v>45350</v>
      </c>
      <c r="D1887" t="inlineStr">
        <is>
          <t>STOCKHOLMS LÄN</t>
        </is>
      </c>
      <c r="E1887" t="inlineStr">
        <is>
          <t>NORRTÄLJE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64915-2021</t>
        </is>
      </c>
      <c r="B1888" s="1" t="n">
        <v>44512</v>
      </c>
      <c r="C1888" s="1" t="n">
        <v>45350</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65129-2021</t>
        </is>
      </c>
      <c r="B1889" s="1" t="n">
        <v>44515</v>
      </c>
      <c r="C1889" s="1" t="n">
        <v>45350</v>
      </c>
      <c r="D1889" t="inlineStr">
        <is>
          <t>STOCKHOLMS LÄN</t>
        </is>
      </c>
      <c r="E1889" t="inlineStr">
        <is>
          <t>EKERÖ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65340-2021</t>
        </is>
      </c>
      <c r="B1890" s="1" t="n">
        <v>44515</v>
      </c>
      <c r="C1890" s="1" t="n">
        <v>45350</v>
      </c>
      <c r="D1890" t="inlineStr">
        <is>
          <t>STOCKHOLMS LÄN</t>
        </is>
      </c>
      <c r="E1890" t="inlineStr">
        <is>
          <t>SIGTUNA</t>
        </is>
      </c>
      <c r="F1890" t="inlineStr">
        <is>
          <t>Kyrkan</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65359-2021</t>
        </is>
      </c>
      <c r="B1891" s="1" t="n">
        <v>44515</v>
      </c>
      <c r="C1891" s="1" t="n">
        <v>45350</v>
      </c>
      <c r="D1891" t="inlineStr">
        <is>
          <t>STOCKHOLMS LÄN</t>
        </is>
      </c>
      <c r="E1891" t="inlineStr">
        <is>
          <t>NORRTÄLJE</t>
        </is>
      </c>
      <c r="F1891" t="inlineStr">
        <is>
          <t>Kyrkan</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65499-2021</t>
        </is>
      </c>
      <c r="B1892" s="1" t="n">
        <v>44516</v>
      </c>
      <c r="C1892" s="1" t="n">
        <v>45350</v>
      </c>
      <c r="D1892" t="inlineStr">
        <is>
          <t>STOCKHOLMS LÄN</t>
        </is>
      </c>
      <c r="E1892" t="inlineStr">
        <is>
          <t>NORRTÄLJE</t>
        </is>
      </c>
      <c r="F1892" t="inlineStr">
        <is>
          <t>Kommuner</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65513-2021</t>
        </is>
      </c>
      <c r="B1893" s="1" t="n">
        <v>44516</v>
      </c>
      <c r="C1893" s="1" t="n">
        <v>45350</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65511-2021</t>
        </is>
      </c>
      <c r="B1894" s="1" t="n">
        <v>44516</v>
      </c>
      <c r="C1894" s="1" t="n">
        <v>45350</v>
      </c>
      <c r="D1894" t="inlineStr">
        <is>
          <t>STOCKHOLMS LÄN</t>
        </is>
      </c>
      <c r="E1894" t="inlineStr">
        <is>
          <t>NORRTÄLJE</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65501-2021</t>
        </is>
      </c>
      <c r="B1895" s="1" t="n">
        <v>44516</v>
      </c>
      <c r="C1895" s="1" t="n">
        <v>45350</v>
      </c>
      <c r="D1895" t="inlineStr">
        <is>
          <t>STOCKHOLMS LÄN</t>
        </is>
      </c>
      <c r="E1895" t="inlineStr">
        <is>
          <t>NORRTÄLJE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65509-2021</t>
        </is>
      </c>
      <c r="B1896" s="1" t="n">
        <v>44516</v>
      </c>
      <c r="C1896" s="1" t="n">
        <v>45350</v>
      </c>
      <c r="D1896" t="inlineStr">
        <is>
          <t>STOCKHOLMS LÄN</t>
        </is>
      </c>
      <c r="E1896" t="inlineStr">
        <is>
          <t>NORRTÄLJE</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65611-2021</t>
        </is>
      </c>
      <c r="B1897" s="1" t="n">
        <v>44516</v>
      </c>
      <c r="C1897" s="1" t="n">
        <v>45350</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65737-2021</t>
        </is>
      </c>
      <c r="B1898" s="1" t="n">
        <v>44516</v>
      </c>
      <c r="C1898" s="1" t="n">
        <v>45350</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66450-2021</t>
        </is>
      </c>
      <c r="B1899" s="1" t="n">
        <v>44518</v>
      </c>
      <c r="C1899" s="1" t="n">
        <v>45350</v>
      </c>
      <c r="D1899" t="inlineStr">
        <is>
          <t>STOCKHOLMS LÄN</t>
        </is>
      </c>
      <c r="E1899" t="inlineStr">
        <is>
          <t>NORRTÄLJE</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66608-2021</t>
        </is>
      </c>
      <c r="B1900" s="1" t="n">
        <v>44519</v>
      </c>
      <c r="C1900" s="1" t="n">
        <v>45350</v>
      </c>
      <c r="D1900" t="inlineStr">
        <is>
          <t>STOCKHOLMS LÄN</t>
        </is>
      </c>
      <c r="E1900" t="inlineStr">
        <is>
          <t>NORRTÄLJE</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66592-2021</t>
        </is>
      </c>
      <c r="B1901" s="1" t="n">
        <v>44519</v>
      </c>
      <c r="C1901" s="1" t="n">
        <v>45350</v>
      </c>
      <c r="D1901" t="inlineStr">
        <is>
          <t>STOCKHOLMS LÄN</t>
        </is>
      </c>
      <c r="E1901" t="inlineStr">
        <is>
          <t>NORRTÄLJE</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66769-2021</t>
        </is>
      </c>
      <c r="B1902" s="1" t="n">
        <v>44521</v>
      </c>
      <c r="C1902" s="1" t="n">
        <v>45350</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67244-2021</t>
        </is>
      </c>
      <c r="B1903" s="1" t="n">
        <v>44523</v>
      </c>
      <c r="C1903" s="1" t="n">
        <v>45350</v>
      </c>
      <c r="D1903" t="inlineStr">
        <is>
          <t>STOCKHOLMS LÄN</t>
        </is>
      </c>
      <c r="E1903" t="inlineStr">
        <is>
          <t>ÖSTERÅKER</t>
        </is>
      </c>
      <c r="F1903" t="inlineStr">
        <is>
          <t>Kommuner</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67220-2021</t>
        </is>
      </c>
      <c r="B1904" s="1" t="n">
        <v>44523</v>
      </c>
      <c r="C1904" s="1" t="n">
        <v>45350</v>
      </c>
      <c r="D1904" t="inlineStr">
        <is>
          <t>STOCKHOLMS LÄN</t>
        </is>
      </c>
      <c r="E1904" t="inlineStr">
        <is>
          <t>NYKVARN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67265-2021</t>
        </is>
      </c>
      <c r="B1905" s="1" t="n">
        <v>44523</v>
      </c>
      <c r="C1905" s="1" t="n">
        <v>45350</v>
      </c>
      <c r="D1905" t="inlineStr">
        <is>
          <t>STOCKHOLMS LÄN</t>
        </is>
      </c>
      <c r="E1905" t="inlineStr">
        <is>
          <t>ÖSTERÅKER</t>
        </is>
      </c>
      <c r="F1905" t="inlineStr">
        <is>
          <t>Kommuner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67285-2021</t>
        </is>
      </c>
      <c r="B1906" s="1" t="n">
        <v>44523</v>
      </c>
      <c r="C1906" s="1" t="n">
        <v>45350</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67525-2021</t>
        </is>
      </c>
      <c r="B1907" s="1" t="n">
        <v>44524</v>
      </c>
      <c r="C1907" s="1" t="n">
        <v>45350</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67598-2021</t>
        </is>
      </c>
      <c r="B1908" s="1" t="n">
        <v>44524</v>
      </c>
      <c r="C1908" s="1" t="n">
        <v>45350</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67756-2021</t>
        </is>
      </c>
      <c r="B1909" s="1" t="n">
        <v>44524</v>
      </c>
      <c r="C1909" s="1" t="n">
        <v>45350</v>
      </c>
      <c r="D1909" t="inlineStr">
        <is>
          <t>STOCKHOLMS LÄN</t>
        </is>
      </c>
      <c r="E1909" t="inlineStr">
        <is>
          <t>VAXHOLM</t>
        </is>
      </c>
      <c r="F1909" t="inlineStr">
        <is>
          <t>Övriga statliga verk och myndigheter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45350</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67990-2021</t>
        </is>
      </c>
      <c r="B1911" s="1" t="n">
        <v>44525</v>
      </c>
      <c r="C1911" s="1" t="n">
        <v>45350</v>
      </c>
      <c r="D1911" t="inlineStr">
        <is>
          <t>STOCKHOLMS LÄN</t>
        </is>
      </c>
      <c r="E1911" t="inlineStr">
        <is>
          <t>NORRTÄLJE</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67992-2021</t>
        </is>
      </c>
      <c r="B1912" s="1" t="n">
        <v>44525</v>
      </c>
      <c r="C1912" s="1" t="n">
        <v>45350</v>
      </c>
      <c r="D1912" t="inlineStr">
        <is>
          <t>STOCKHOLMS LÄN</t>
        </is>
      </c>
      <c r="E1912" t="inlineStr">
        <is>
          <t>NORRTÄLJE</t>
        </is>
      </c>
      <c r="F1912" t="inlineStr">
        <is>
          <t>Sveaskog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67993-2021</t>
        </is>
      </c>
      <c r="B1913" s="1" t="n">
        <v>44525</v>
      </c>
      <c r="C1913" s="1" t="n">
        <v>45350</v>
      </c>
      <c r="D1913" t="inlineStr">
        <is>
          <t>STOCKHOLMS LÄN</t>
        </is>
      </c>
      <c r="E1913" t="inlineStr">
        <is>
          <t>NORRTÄLJE</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68896-2021</t>
        </is>
      </c>
      <c r="B1914" s="1" t="n">
        <v>44526</v>
      </c>
      <c r="C1914" s="1" t="n">
        <v>45350</v>
      </c>
      <c r="D1914" t="inlineStr">
        <is>
          <t>STOCKHOLMS LÄN</t>
        </is>
      </c>
      <c r="E1914" t="inlineStr">
        <is>
          <t>HANINGE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68894-2021</t>
        </is>
      </c>
      <c r="B1915" s="1" t="n">
        <v>44526</v>
      </c>
      <c r="C1915" s="1" t="n">
        <v>45350</v>
      </c>
      <c r="D1915" t="inlineStr">
        <is>
          <t>STOCKHOLMS LÄN</t>
        </is>
      </c>
      <c r="E1915" t="inlineStr">
        <is>
          <t>HANINGE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68273-2021</t>
        </is>
      </c>
      <c r="B1916" s="1" t="n">
        <v>44526</v>
      </c>
      <c r="C1916" s="1" t="n">
        <v>45350</v>
      </c>
      <c r="D1916" t="inlineStr">
        <is>
          <t>STOCKHOLMS LÄN</t>
        </is>
      </c>
      <c r="E1916" t="inlineStr">
        <is>
          <t>NORRTÄLJE</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68904-2021</t>
        </is>
      </c>
      <c r="B1917" s="1" t="n">
        <v>44526</v>
      </c>
      <c r="C1917" s="1" t="n">
        <v>45350</v>
      </c>
      <c r="D1917" t="inlineStr">
        <is>
          <t>STOCKHOLMS LÄN</t>
        </is>
      </c>
      <c r="E1917" t="inlineStr">
        <is>
          <t>HANINGE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68361-2021</t>
        </is>
      </c>
      <c r="B1918" s="1" t="n">
        <v>44528</v>
      </c>
      <c r="C1918" s="1" t="n">
        <v>45350</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68700-2021</t>
        </is>
      </c>
      <c r="B1919" s="1" t="n">
        <v>44529</v>
      </c>
      <c r="C1919" s="1" t="n">
        <v>45350</v>
      </c>
      <c r="D1919" t="inlineStr">
        <is>
          <t>STOCKHOLMS LÄN</t>
        </is>
      </c>
      <c r="E1919" t="inlineStr">
        <is>
          <t>SALEM</t>
        </is>
      </c>
      <c r="F1919" t="inlineStr">
        <is>
          <t>Kommuner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68554-2021</t>
        </is>
      </c>
      <c r="B1920" s="1" t="n">
        <v>44529</v>
      </c>
      <c r="C1920" s="1" t="n">
        <v>45350</v>
      </c>
      <c r="D1920" t="inlineStr">
        <is>
          <t>STOCKHOLMS LÄN</t>
        </is>
      </c>
      <c r="E1920" t="inlineStr">
        <is>
          <t>UPPLANDS-BRO</t>
        </is>
      </c>
      <c r="F1920" t="inlineStr">
        <is>
          <t>Övriga statliga verk och myndigheter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68564-2021</t>
        </is>
      </c>
      <c r="B1921" s="1" t="n">
        <v>44529</v>
      </c>
      <c r="C1921" s="1" t="n">
        <v>45350</v>
      </c>
      <c r="D1921" t="inlineStr">
        <is>
          <t>STOCKHOLMS LÄN</t>
        </is>
      </c>
      <c r="E1921" t="inlineStr">
        <is>
          <t>UPPLANDS-BRO</t>
        </is>
      </c>
      <c r="F1921" t="inlineStr">
        <is>
          <t>Övriga statliga verk och myndigheter</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69034-2021</t>
        </is>
      </c>
      <c r="B1922" s="1" t="n">
        <v>44529</v>
      </c>
      <c r="C1922" s="1" t="n">
        <v>45350</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69539-2021</t>
        </is>
      </c>
      <c r="B1923" s="1" t="n">
        <v>44531</v>
      </c>
      <c r="C1923" s="1" t="n">
        <v>45350</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69723-2021</t>
        </is>
      </c>
      <c r="B1924" s="1" t="n">
        <v>44532</v>
      </c>
      <c r="C1924" s="1" t="n">
        <v>45350</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69816-2021</t>
        </is>
      </c>
      <c r="B1925" s="1" t="n">
        <v>44532</v>
      </c>
      <c r="C1925" s="1" t="n">
        <v>45350</v>
      </c>
      <c r="D1925" t="inlineStr">
        <is>
          <t>STOCKHOLMS LÄN</t>
        </is>
      </c>
      <c r="E1925" t="inlineStr">
        <is>
          <t>NORRTÄLJE</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70170-2021</t>
        </is>
      </c>
      <c r="B1926" s="1" t="n">
        <v>44533</v>
      </c>
      <c r="C1926" s="1" t="n">
        <v>45350</v>
      </c>
      <c r="D1926" t="inlineStr">
        <is>
          <t>STOCKHOLMS LÄN</t>
        </is>
      </c>
      <c r="E1926" t="inlineStr">
        <is>
          <t>NORRTÄLJE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69988-2021</t>
        </is>
      </c>
      <c r="B1927" s="1" t="n">
        <v>44533</v>
      </c>
      <c r="C1927" s="1" t="n">
        <v>45350</v>
      </c>
      <c r="D1927" t="inlineStr">
        <is>
          <t>STOCKHOLMS LÄN</t>
        </is>
      </c>
      <c r="E1927" t="inlineStr">
        <is>
          <t>NORRTÄLJE</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70201-2021</t>
        </is>
      </c>
      <c r="B1928" s="1" t="n">
        <v>44534</v>
      </c>
      <c r="C1928" s="1" t="n">
        <v>45350</v>
      </c>
      <c r="D1928" t="inlineStr">
        <is>
          <t>STOCKHOLMS LÄN</t>
        </is>
      </c>
      <c r="E1928" t="inlineStr">
        <is>
          <t>SÖDERTÄLJE</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70469-2021</t>
        </is>
      </c>
      <c r="B1929" s="1" t="n">
        <v>44536</v>
      </c>
      <c r="C1929" s="1" t="n">
        <v>45350</v>
      </c>
      <c r="D1929" t="inlineStr">
        <is>
          <t>STOCKHOLMS LÄN</t>
        </is>
      </c>
      <c r="E1929" t="inlineStr">
        <is>
          <t>NORRTÄLJE</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70608-2021</t>
        </is>
      </c>
      <c r="B1930" s="1" t="n">
        <v>44536</v>
      </c>
      <c r="C1930" s="1" t="n">
        <v>45350</v>
      </c>
      <c r="D1930" t="inlineStr">
        <is>
          <t>STOCKHOLMS LÄN</t>
        </is>
      </c>
      <c r="E1930" t="inlineStr">
        <is>
          <t>VALLENTUNA</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70850-2021</t>
        </is>
      </c>
      <c r="B1931" s="1" t="n">
        <v>44538</v>
      </c>
      <c r="C1931" s="1" t="n">
        <v>45350</v>
      </c>
      <c r="D1931" t="inlineStr">
        <is>
          <t>STOCKHOLMS LÄN</t>
        </is>
      </c>
      <c r="E1931" t="inlineStr">
        <is>
          <t>NYNÄSHAMN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71325-2021</t>
        </is>
      </c>
      <c r="B1932" s="1" t="n">
        <v>44539</v>
      </c>
      <c r="C1932" s="1" t="n">
        <v>45350</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71317-2021</t>
        </is>
      </c>
      <c r="B1933" s="1" t="n">
        <v>44539</v>
      </c>
      <c r="C1933" s="1" t="n">
        <v>45350</v>
      </c>
      <c r="D1933" t="inlineStr">
        <is>
          <t>STOCKHOLMS LÄN</t>
        </is>
      </c>
      <c r="E1933" t="inlineStr">
        <is>
          <t>VÄRMDÖ</t>
        </is>
      </c>
      <c r="F1933" t="inlineStr">
        <is>
          <t>Övriga Aktiebolag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71318-2021</t>
        </is>
      </c>
      <c r="B1934" s="1" t="n">
        <v>44539</v>
      </c>
      <c r="C1934" s="1" t="n">
        <v>45350</v>
      </c>
      <c r="D1934" t="inlineStr">
        <is>
          <t>STOCKHOLMS LÄN</t>
        </is>
      </c>
      <c r="E1934" t="inlineStr">
        <is>
          <t>VÄRMDÖ</t>
        </is>
      </c>
      <c r="F1934" t="inlineStr">
        <is>
          <t>Övriga Aktiebolag</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71540-2021</t>
        </is>
      </c>
      <c r="B1935" s="1" t="n">
        <v>44540</v>
      </c>
      <c r="C1935" s="1" t="n">
        <v>45350</v>
      </c>
      <c r="D1935" t="inlineStr">
        <is>
          <t>STOCKHOLMS LÄN</t>
        </is>
      </c>
      <c r="E1935" t="inlineStr">
        <is>
          <t>NYKVARN</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71552-2021</t>
        </is>
      </c>
      <c r="B1936" s="1" t="n">
        <v>44540</v>
      </c>
      <c r="C1936" s="1" t="n">
        <v>45350</v>
      </c>
      <c r="D1936" t="inlineStr">
        <is>
          <t>STOCKHOLMS LÄN</t>
        </is>
      </c>
      <c r="E1936" t="inlineStr">
        <is>
          <t>NORRTÄLJE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71479-2021</t>
        </is>
      </c>
      <c r="B1937" s="1" t="n">
        <v>44540</v>
      </c>
      <c r="C1937" s="1" t="n">
        <v>45350</v>
      </c>
      <c r="D1937" t="inlineStr">
        <is>
          <t>STOCKHOLMS LÄN</t>
        </is>
      </c>
      <c r="E1937" t="inlineStr">
        <is>
          <t>NORRTÄLJE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71543-2021</t>
        </is>
      </c>
      <c r="B1938" s="1" t="n">
        <v>44540</v>
      </c>
      <c r="C1938" s="1" t="n">
        <v>45350</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71873-2021</t>
        </is>
      </c>
      <c r="B1939" s="1" t="n">
        <v>44543</v>
      </c>
      <c r="C1939" s="1" t="n">
        <v>45350</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71876-2021</t>
        </is>
      </c>
      <c r="B1940" s="1" t="n">
        <v>44543</v>
      </c>
      <c r="C1940" s="1" t="n">
        <v>45350</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71880-2021</t>
        </is>
      </c>
      <c r="B1941" s="1" t="n">
        <v>44543</v>
      </c>
      <c r="C1941" s="1" t="n">
        <v>45350</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71871-2021</t>
        </is>
      </c>
      <c r="B1942" s="1" t="n">
        <v>44543</v>
      </c>
      <c r="C1942" s="1" t="n">
        <v>45350</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71878-2021</t>
        </is>
      </c>
      <c r="B1943" s="1" t="n">
        <v>44543</v>
      </c>
      <c r="C1943" s="1" t="n">
        <v>45350</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72097-2021</t>
        </is>
      </c>
      <c r="B1944" s="1" t="n">
        <v>44544</v>
      </c>
      <c r="C1944" s="1" t="n">
        <v>45350</v>
      </c>
      <c r="D1944" t="inlineStr">
        <is>
          <t>STOCKHOLMS LÄN</t>
        </is>
      </c>
      <c r="E1944" t="inlineStr">
        <is>
          <t>VÄRMDÖ</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72085-2021</t>
        </is>
      </c>
      <c r="B1945" s="1" t="n">
        <v>44544</v>
      </c>
      <c r="C1945" s="1" t="n">
        <v>45350</v>
      </c>
      <c r="D1945" t="inlineStr">
        <is>
          <t>STOCKHOLMS LÄN</t>
        </is>
      </c>
      <c r="E1945" t="inlineStr">
        <is>
          <t>NORRTÄLJE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72108-2021</t>
        </is>
      </c>
      <c r="B1946" s="1" t="n">
        <v>44544</v>
      </c>
      <c r="C1946" s="1" t="n">
        <v>45350</v>
      </c>
      <c r="D1946" t="inlineStr">
        <is>
          <t>STOCKHOLMS LÄN</t>
        </is>
      </c>
      <c r="E1946" t="inlineStr">
        <is>
          <t>VÄRMDÖ</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72176-2021</t>
        </is>
      </c>
      <c r="B1947" s="1" t="n">
        <v>44544</v>
      </c>
      <c r="C1947" s="1" t="n">
        <v>45350</v>
      </c>
      <c r="D1947" t="inlineStr">
        <is>
          <t>STOCKHOLMS LÄN</t>
        </is>
      </c>
      <c r="E1947" t="inlineStr">
        <is>
          <t>VÄRMDÖ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72202-2021</t>
        </is>
      </c>
      <c r="B1948" s="1" t="n">
        <v>44544</v>
      </c>
      <c r="C1948" s="1" t="n">
        <v>45350</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72218-2021</t>
        </is>
      </c>
      <c r="B1949" s="1" t="n">
        <v>44544</v>
      </c>
      <c r="C1949" s="1" t="n">
        <v>45350</v>
      </c>
      <c r="D1949" t="inlineStr">
        <is>
          <t>STOCKHOLMS LÄN</t>
        </is>
      </c>
      <c r="E1949" t="inlineStr">
        <is>
          <t>SÖDERTÄLJE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72508-2021</t>
        </is>
      </c>
      <c r="B1950" s="1" t="n">
        <v>44544</v>
      </c>
      <c r="C1950" s="1" t="n">
        <v>45350</v>
      </c>
      <c r="D1950" t="inlineStr">
        <is>
          <t>STOCKHOLMS LÄN</t>
        </is>
      </c>
      <c r="E1950" t="inlineStr">
        <is>
          <t>ÖSTERÅKER</t>
        </is>
      </c>
      <c r="F1950" t="inlineStr">
        <is>
          <t>Övriga Aktiebolag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72308-2021</t>
        </is>
      </c>
      <c r="B1951" s="1" t="n">
        <v>44545</v>
      </c>
      <c r="C1951" s="1" t="n">
        <v>45350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72343-2021</t>
        </is>
      </c>
      <c r="B1952" s="1" t="n">
        <v>44545</v>
      </c>
      <c r="C1952" s="1" t="n">
        <v>45350</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72357-2021</t>
        </is>
      </c>
      <c r="B1953" s="1" t="n">
        <v>44545</v>
      </c>
      <c r="C1953" s="1" t="n">
        <v>45350</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72355-2021</t>
        </is>
      </c>
      <c r="B1954" s="1" t="n">
        <v>44545</v>
      </c>
      <c r="C1954" s="1" t="n">
        <v>45350</v>
      </c>
      <c r="D1954" t="inlineStr">
        <is>
          <t>STOCKHOLMS LÄN</t>
        </is>
      </c>
      <c r="E1954" t="inlineStr">
        <is>
          <t>NORRTÄLJE</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72353-2021</t>
        </is>
      </c>
      <c r="B1955" s="1" t="n">
        <v>44545</v>
      </c>
      <c r="C1955" s="1" t="n">
        <v>45350</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72515-2021</t>
        </is>
      </c>
      <c r="B1956" s="1" t="n">
        <v>44546</v>
      </c>
      <c r="C1956" s="1" t="n">
        <v>45350</v>
      </c>
      <c r="D1956" t="inlineStr">
        <is>
          <t>STOCKHOLMS LÄN</t>
        </is>
      </c>
      <c r="E1956" t="inlineStr">
        <is>
          <t>ÖSTERÅKER</t>
        </is>
      </c>
      <c r="F1956" t="inlineStr">
        <is>
          <t>Övriga Aktiebolag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72523-2021</t>
        </is>
      </c>
      <c r="B1957" s="1" t="n">
        <v>44546</v>
      </c>
      <c r="C1957" s="1" t="n">
        <v>45350</v>
      </c>
      <c r="D1957" t="inlineStr">
        <is>
          <t>STOCKHOLMS LÄN</t>
        </is>
      </c>
      <c r="E1957" t="inlineStr">
        <is>
          <t>UPPLANDS-BRO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72530-2021</t>
        </is>
      </c>
      <c r="B1958" s="1" t="n">
        <v>44546</v>
      </c>
      <c r="C1958" s="1" t="n">
        <v>45350</v>
      </c>
      <c r="D1958" t="inlineStr">
        <is>
          <t>STOCKHOLMS LÄN</t>
        </is>
      </c>
      <c r="E1958" t="inlineStr">
        <is>
          <t>SIGTUNA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72524-2021</t>
        </is>
      </c>
      <c r="B1959" s="1" t="n">
        <v>44546</v>
      </c>
      <c r="C1959" s="1" t="n">
        <v>45350</v>
      </c>
      <c r="D1959" t="inlineStr">
        <is>
          <t>STOCKHOLMS LÄN</t>
        </is>
      </c>
      <c r="E1959" t="inlineStr">
        <is>
          <t>UPPLANDS-BRO</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72747-2021</t>
        </is>
      </c>
      <c r="B1960" s="1" t="n">
        <v>44546</v>
      </c>
      <c r="C1960" s="1" t="n">
        <v>45350</v>
      </c>
      <c r="D1960" t="inlineStr">
        <is>
          <t>STOCKHOLMS LÄN</t>
        </is>
      </c>
      <c r="E1960" t="inlineStr">
        <is>
          <t>NORRTÄLJE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72704-2021</t>
        </is>
      </c>
      <c r="B1961" s="1" t="n">
        <v>44546</v>
      </c>
      <c r="C1961" s="1" t="n">
        <v>45350</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72890-2021</t>
        </is>
      </c>
      <c r="B1962" s="1" t="n">
        <v>44547</v>
      </c>
      <c r="C1962" s="1" t="n">
        <v>45350</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73300-2021</t>
        </is>
      </c>
      <c r="B1963" s="1" t="n">
        <v>44547</v>
      </c>
      <c r="C1963" s="1" t="n">
        <v>45350</v>
      </c>
      <c r="D1963" t="inlineStr">
        <is>
          <t>STOCKHOLMS LÄN</t>
        </is>
      </c>
      <c r="E1963" t="inlineStr">
        <is>
          <t>VAXHOLM</t>
        </is>
      </c>
      <c r="F1963" t="inlineStr">
        <is>
          <t>Övriga statliga verk och myndigheter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73311-2021</t>
        </is>
      </c>
      <c r="B1964" s="1" t="n">
        <v>44549</v>
      </c>
      <c r="C1964" s="1" t="n">
        <v>45350</v>
      </c>
      <c r="D1964" t="inlineStr">
        <is>
          <t>STOCKHOLMS LÄN</t>
        </is>
      </c>
      <c r="E1964" t="inlineStr">
        <is>
          <t>NORRTÄLJE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73307-2021</t>
        </is>
      </c>
      <c r="B1965" s="1" t="n">
        <v>44549</v>
      </c>
      <c r="C1965" s="1" t="n">
        <v>45350</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73151-2021</t>
        </is>
      </c>
      <c r="B1966" s="1" t="n">
        <v>44550</v>
      </c>
      <c r="C1966" s="1" t="n">
        <v>45350</v>
      </c>
      <c r="D1966" t="inlineStr">
        <is>
          <t>STOCKHOLMS LÄN</t>
        </is>
      </c>
      <c r="E1966" t="inlineStr">
        <is>
          <t>BOTKYRKA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73155-2021</t>
        </is>
      </c>
      <c r="B1967" s="1" t="n">
        <v>44550</v>
      </c>
      <c r="C1967" s="1" t="n">
        <v>45350</v>
      </c>
      <c r="D1967" t="inlineStr">
        <is>
          <t>STOCKHOLMS LÄN</t>
        </is>
      </c>
      <c r="E1967" t="inlineStr">
        <is>
          <t>BOTKYRKA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73212-2021</t>
        </is>
      </c>
      <c r="B1968" s="1" t="n">
        <v>44550</v>
      </c>
      <c r="C1968" s="1" t="n">
        <v>45350</v>
      </c>
      <c r="D1968" t="inlineStr">
        <is>
          <t>STOCKHOLMS LÄN</t>
        </is>
      </c>
      <c r="E1968" t="inlineStr">
        <is>
          <t>NYKVARN</t>
        </is>
      </c>
      <c r="F1968" t="inlineStr">
        <is>
          <t>Allmännings- och besparingsskogar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73271-2021</t>
        </is>
      </c>
      <c r="B1969" s="1" t="n">
        <v>44550</v>
      </c>
      <c r="C1969" s="1" t="n">
        <v>45350</v>
      </c>
      <c r="D1969" t="inlineStr">
        <is>
          <t>STOCKHOLMS LÄN</t>
        </is>
      </c>
      <c r="E1969" t="inlineStr">
        <is>
          <t>NORRTÄLJE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73194-2021</t>
        </is>
      </c>
      <c r="B1970" s="1" t="n">
        <v>44550</v>
      </c>
      <c r="C1970" s="1" t="n">
        <v>45350</v>
      </c>
      <c r="D1970" t="inlineStr">
        <is>
          <t>STOCKHOLMS LÄN</t>
        </is>
      </c>
      <c r="E1970" t="inlineStr">
        <is>
          <t>BOTKYRKA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73504-2021</t>
        </is>
      </c>
      <c r="B1971" s="1" t="n">
        <v>44551</v>
      </c>
      <c r="C1971" s="1" t="n">
        <v>45350</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73772-2021</t>
        </is>
      </c>
      <c r="B1972" s="1" t="n">
        <v>44552</v>
      </c>
      <c r="C1972" s="1" t="n">
        <v>45350</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73802-2021</t>
        </is>
      </c>
      <c r="B1973" s="1" t="n">
        <v>44552</v>
      </c>
      <c r="C1973" s="1" t="n">
        <v>45350</v>
      </c>
      <c r="D1973" t="inlineStr">
        <is>
          <t>STOCKHOLMS LÄN</t>
        </is>
      </c>
      <c r="E1973" t="inlineStr">
        <is>
          <t>VALLENTUNA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73855-2021</t>
        </is>
      </c>
      <c r="B1974" s="1" t="n">
        <v>44552</v>
      </c>
      <c r="C1974" s="1" t="n">
        <v>45350</v>
      </c>
      <c r="D1974" t="inlineStr">
        <is>
          <t>STOCKHOLMS LÄN</t>
        </is>
      </c>
      <c r="E1974" t="inlineStr">
        <is>
          <t>NORRTÄLJE</t>
        </is>
      </c>
      <c r="F1974" t="inlineStr">
        <is>
          <t>Övriga Aktiebolag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73963-2021</t>
        </is>
      </c>
      <c r="B1975" s="1" t="n">
        <v>44553</v>
      </c>
      <c r="C1975" s="1" t="n">
        <v>45350</v>
      </c>
      <c r="D1975" t="inlineStr">
        <is>
          <t>STOCKHOLMS LÄN</t>
        </is>
      </c>
      <c r="E1975" t="inlineStr">
        <is>
          <t>NYNÄSHAMN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73967-2021</t>
        </is>
      </c>
      <c r="B1976" s="1" t="n">
        <v>44553</v>
      </c>
      <c r="C1976" s="1" t="n">
        <v>45350</v>
      </c>
      <c r="D1976" t="inlineStr">
        <is>
          <t>STOCKHOLMS LÄN</t>
        </is>
      </c>
      <c r="E1976" t="inlineStr">
        <is>
          <t>NYNÄSHAMN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73966-2021</t>
        </is>
      </c>
      <c r="B1977" s="1" t="n">
        <v>44553</v>
      </c>
      <c r="C1977" s="1" t="n">
        <v>45350</v>
      </c>
      <c r="D1977" t="inlineStr">
        <is>
          <t>STOCKHOLMS LÄN</t>
        </is>
      </c>
      <c r="E1977" t="inlineStr">
        <is>
          <t>NYNÄSHAMN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73992-2021</t>
        </is>
      </c>
      <c r="B1978" s="1" t="n">
        <v>44556</v>
      </c>
      <c r="C1978" s="1" t="n">
        <v>45350</v>
      </c>
      <c r="D1978" t="inlineStr">
        <is>
          <t>STOCKHOLMS LÄN</t>
        </is>
      </c>
      <c r="E1978" t="inlineStr">
        <is>
          <t>NORRTÄLJE</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73993-2021</t>
        </is>
      </c>
      <c r="B1979" s="1" t="n">
        <v>44556</v>
      </c>
      <c r="C1979" s="1" t="n">
        <v>45350</v>
      </c>
      <c r="D1979" t="inlineStr">
        <is>
          <t>STOCKHOLMS LÄN</t>
        </is>
      </c>
      <c r="E1979" t="inlineStr">
        <is>
          <t>NORRTÄLJE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74170-2021</t>
        </is>
      </c>
      <c r="B1980" s="1" t="n">
        <v>44557</v>
      </c>
      <c r="C1980" s="1" t="n">
        <v>45350</v>
      </c>
      <c r="D1980" t="inlineStr">
        <is>
          <t>STOCKHOLMS LÄN</t>
        </is>
      </c>
      <c r="E1980" t="inlineStr">
        <is>
          <t>SIGTUNA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74167-2021</t>
        </is>
      </c>
      <c r="B1981" s="1" t="n">
        <v>44557</v>
      </c>
      <c r="C1981" s="1" t="n">
        <v>45350</v>
      </c>
      <c r="D1981" t="inlineStr">
        <is>
          <t>STOCKHOLMS LÄN</t>
        </is>
      </c>
      <c r="E1981" t="inlineStr">
        <is>
          <t>SIGTUNA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74173-2021</t>
        </is>
      </c>
      <c r="B1982" s="1" t="n">
        <v>44558</v>
      </c>
      <c r="C1982" s="1" t="n">
        <v>45350</v>
      </c>
      <c r="D1982" t="inlineStr">
        <is>
          <t>STOCKHOLMS LÄN</t>
        </is>
      </c>
      <c r="E1982" t="inlineStr">
        <is>
          <t>NYKVARN</t>
        </is>
      </c>
      <c r="F1982" t="inlineStr">
        <is>
          <t>Allmännings- och besparingsskogar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236-2022</t>
        </is>
      </c>
      <c r="B1983" s="1" t="n">
        <v>44560</v>
      </c>
      <c r="C1983" s="1" t="n">
        <v>45350</v>
      </c>
      <c r="D1983" t="inlineStr">
        <is>
          <t>STOCKHOLMS LÄN</t>
        </is>
      </c>
      <c r="E1983" t="inlineStr">
        <is>
          <t>VALLENTUNA</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178-2022</t>
        </is>
      </c>
      <c r="B1984" s="1" t="n">
        <v>44560</v>
      </c>
      <c r="C1984" s="1" t="n">
        <v>45350</v>
      </c>
      <c r="D1984" t="inlineStr">
        <is>
          <t>STOCKHOLMS LÄN</t>
        </is>
      </c>
      <c r="E1984" t="inlineStr">
        <is>
          <t>VALLENTUNA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242-2022</t>
        </is>
      </c>
      <c r="B1985" s="1" t="n">
        <v>44560</v>
      </c>
      <c r="C1985" s="1" t="n">
        <v>45350</v>
      </c>
      <c r="D1985" t="inlineStr">
        <is>
          <t>STOCKHOLMS LÄN</t>
        </is>
      </c>
      <c r="E1985" t="inlineStr">
        <is>
          <t>VALLENTUNA</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74468-2021</t>
        </is>
      </c>
      <c r="B1986" s="1" t="n">
        <v>44560</v>
      </c>
      <c r="C1986" s="1" t="n">
        <v>45350</v>
      </c>
      <c r="D1986" t="inlineStr">
        <is>
          <t>STOCKHOLMS LÄN</t>
        </is>
      </c>
      <c r="E1986" t="inlineStr">
        <is>
          <t>NORRTÄLJE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185-2022</t>
        </is>
      </c>
      <c r="B1987" s="1" t="n">
        <v>44564</v>
      </c>
      <c r="C1987" s="1" t="n">
        <v>45350</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190-2022</t>
        </is>
      </c>
      <c r="B1988" s="1" t="n">
        <v>44564</v>
      </c>
      <c r="C1988" s="1" t="n">
        <v>45350</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187-2022</t>
        </is>
      </c>
      <c r="B1989" s="1" t="n">
        <v>44564</v>
      </c>
      <c r="C1989" s="1" t="n">
        <v>45350</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314-2022</t>
        </is>
      </c>
      <c r="B1990" s="1" t="n">
        <v>44564</v>
      </c>
      <c r="C1990" s="1" t="n">
        <v>45350</v>
      </c>
      <c r="D1990" t="inlineStr">
        <is>
          <t>STOCKHOLMS LÄN</t>
        </is>
      </c>
      <c r="E1990" t="inlineStr">
        <is>
          <t>SÖDERTÄLJE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77-2022</t>
        </is>
      </c>
      <c r="B1991" s="1" t="n">
        <v>44564</v>
      </c>
      <c r="C1991" s="1" t="n">
        <v>45350</v>
      </c>
      <c r="D1991" t="inlineStr">
        <is>
          <t>STOCKHOLMS LÄN</t>
        </is>
      </c>
      <c r="E1991" t="inlineStr">
        <is>
          <t>NORRTÄLJE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386-2022</t>
        </is>
      </c>
      <c r="B1992" s="1" t="n">
        <v>44565</v>
      </c>
      <c r="C1992" s="1" t="n">
        <v>45350</v>
      </c>
      <c r="D1992" t="inlineStr">
        <is>
          <t>STOCKHOLMS LÄN</t>
        </is>
      </c>
      <c r="E1992" t="inlineStr">
        <is>
          <t>SÖDERTÄLJE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459-2022</t>
        </is>
      </c>
      <c r="B1993" s="1" t="n">
        <v>44565</v>
      </c>
      <c r="C1993" s="1" t="n">
        <v>45350</v>
      </c>
      <c r="D1993" t="inlineStr">
        <is>
          <t>STOCKHOLMS LÄN</t>
        </is>
      </c>
      <c r="E1993" t="inlineStr">
        <is>
          <t>NORRTÄLJE</t>
        </is>
      </c>
      <c r="F1993" t="inlineStr">
        <is>
          <t>Övriga Aktiebolag</t>
        </is>
      </c>
      <c r="G1993" t="n">
        <v>17.3</v>
      </c>
      <c r="H1993" t="n">
        <v>0</v>
      </c>
      <c r="I1993" t="n">
        <v>0</v>
      </c>
      <c r="J1993" t="n">
        <v>0</v>
      </c>
      <c r="K1993" t="n">
        <v>0</v>
      </c>
      <c r="L1993" t="n">
        <v>0</v>
      </c>
      <c r="M1993" t="n">
        <v>0</v>
      </c>
      <c r="N1993" t="n">
        <v>0</v>
      </c>
      <c r="O1993" t="n">
        <v>0</v>
      </c>
      <c r="P1993" t="n">
        <v>0</v>
      </c>
      <c r="Q1993" t="n">
        <v>0</v>
      </c>
      <c r="R1993" s="2" t="inlineStr"/>
    </row>
    <row r="1994" ht="15" customHeight="1">
      <c r="A1994" t="inlineStr">
        <is>
          <t>A 456-2022</t>
        </is>
      </c>
      <c r="B1994" s="1" t="n">
        <v>44565</v>
      </c>
      <c r="C1994" s="1" t="n">
        <v>45350</v>
      </c>
      <c r="D1994" t="inlineStr">
        <is>
          <t>STOCKHOLMS LÄN</t>
        </is>
      </c>
      <c r="E1994" t="inlineStr">
        <is>
          <t>ÖSTERÅKER</t>
        </is>
      </c>
      <c r="F1994" t="inlineStr">
        <is>
          <t>Övriga Aktiebolag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470-2022</t>
        </is>
      </c>
      <c r="B1995" s="1" t="n">
        <v>44565</v>
      </c>
      <c r="C1995" s="1" t="n">
        <v>45350</v>
      </c>
      <c r="D1995" t="inlineStr">
        <is>
          <t>STOCKHOLMS LÄN</t>
        </is>
      </c>
      <c r="E1995" t="inlineStr">
        <is>
          <t>ÖSTERÅKER</t>
        </is>
      </c>
      <c r="F1995" t="inlineStr">
        <is>
          <t>Övriga Aktiebolag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45350</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838-2022</t>
        </is>
      </c>
      <c r="B1997" s="1" t="n">
        <v>44569</v>
      </c>
      <c r="C1997" s="1" t="n">
        <v>45350</v>
      </c>
      <c r="D1997" t="inlineStr">
        <is>
          <t>STOCKHOLMS LÄN</t>
        </is>
      </c>
      <c r="E1997" t="inlineStr">
        <is>
          <t>ÖSTERÅKER</t>
        </is>
      </c>
      <c r="F1997" t="inlineStr">
        <is>
          <t>Övriga Aktiebolag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865-2022</t>
        </is>
      </c>
      <c r="B1998" s="1" t="n">
        <v>44569</v>
      </c>
      <c r="C1998" s="1" t="n">
        <v>45350</v>
      </c>
      <c r="D1998" t="inlineStr">
        <is>
          <t>STOCKHOLMS LÄN</t>
        </is>
      </c>
      <c r="E1998" t="inlineStr">
        <is>
          <t>ÖSTERÅKER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848-2022</t>
        </is>
      </c>
      <c r="B1999" s="1" t="n">
        <v>44569</v>
      </c>
      <c r="C1999" s="1" t="n">
        <v>45350</v>
      </c>
      <c r="D1999" t="inlineStr">
        <is>
          <t>STOCKHOLMS LÄN</t>
        </is>
      </c>
      <c r="E1999" t="inlineStr">
        <is>
          <t>ÖSTERÅKER</t>
        </is>
      </c>
      <c r="F1999" t="inlineStr">
        <is>
          <t>Övriga Aktiebolag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844-2022</t>
        </is>
      </c>
      <c r="B2000" s="1" t="n">
        <v>44569</v>
      </c>
      <c r="C2000" s="1" t="n">
        <v>45350</v>
      </c>
      <c r="D2000" t="inlineStr">
        <is>
          <t>STOCKHOLMS LÄN</t>
        </is>
      </c>
      <c r="E2000" t="inlineStr">
        <is>
          <t>ÖSTERÅKER</t>
        </is>
      </c>
      <c r="F2000" t="inlineStr">
        <is>
          <t>Övriga Aktiebolag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1016-2022</t>
        </is>
      </c>
      <c r="B2001" s="1" t="n">
        <v>44571</v>
      </c>
      <c r="C2001" s="1" t="n">
        <v>45350</v>
      </c>
      <c r="D2001" t="inlineStr">
        <is>
          <t>STOCKHOLMS LÄN</t>
        </is>
      </c>
      <c r="E2001" t="inlineStr">
        <is>
          <t>SÖDERTÄLJE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862-2022</t>
        </is>
      </c>
      <c r="B2002" s="1" t="n">
        <v>44571</v>
      </c>
      <c r="C2002" s="1" t="n">
        <v>45350</v>
      </c>
      <c r="D2002" t="inlineStr">
        <is>
          <t>STOCKHOLMS LÄN</t>
        </is>
      </c>
      <c r="E2002" t="inlineStr">
        <is>
          <t>SIGTUNA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1058-2022</t>
        </is>
      </c>
      <c r="B2003" s="1" t="n">
        <v>44571</v>
      </c>
      <c r="C2003" s="1" t="n">
        <v>45350</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1051-2022</t>
        </is>
      </c>
      <c r="B2004" s="1" t="n">
        <v>44571</v>
      </c>
      <c r="C2004" s="1" t="n">
        <v>45350</v>
      </c>
      <c r="D2004" t="inlineStr">
        <is>
          <t>STOCKHOLMS LÄN</t>
        </is>
      </c>
      <c r="E2004" t="inlineStr">
        <is>
          <t>NORRTÄLJE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1057-2022</t>
        </is>
      </c>
      <c r="B2005" s="1" t="n">
        <v>44571</v>
      </c>
      <c r="C2005" s="1" t="n">
        <v>45350</v>
      </c>
      <c r="D2005" t="inlineStr">
        <is>
          <t>STOCKHOLMS LÄN</t>
        </is>
      </c>
      <c r="E2005" t="inlineStr">
        <is>
          <t>UPPLANDS VÄSBY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1053-2022</t>
        </is>
      </c>
      <c r="B2006" s="1" t="n">
        <v>44571</v>
      </c>
      <c r="C2006" s="1" t="n">
        <v>45350</v>
      </c>
      <c r="D2006" t="inlineStr">
        <is>
          <t>STOCKHOLMS LÄN</t>
        </is>
      </c>
      <c r="E2006" t="inlineStr">
        <is>
          <t>UPPLANDS VÄSBY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1054-2022</t>
        </is>
      </c>
      <c r="B2007" s="1" t="n">
        <v>44571</v>
      </c>
      <c r="C2007" s="1" t="n">
        <v>45350</v>
      </c>
      <c r="D2007" t="inlineStr">
        <is>
          <t>STOCKHOLMS LÄN</t>
        </is>
      </c>
      <c r="E2007" t="inlineStr">
        <is>
          <t>NORRTÄLJE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1062-2022</t>
        </is>
      </c>
      <c r="B2008" s="1" t="n">
        <v>44571</v>
      </c>
      <c r="C2008" s="1" t="n">
        <v>45350</v>
      </c>
      <c r="D2008" t="inlineStr">
        <is>
          <t>STOCKHOLMS LÄN</t>
        </is>
      </c>
      <c r="E2008" t="inlineStr">
        <is>
          <t>UPPLANDS VÄSBY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1229-2022</t>
        </is>
      </c>
      <c r="B2009" s="1" t="n">
        <v>44572</v>
      </c>
      <c r="C2009" s="1" t="n">
        <v>45350</v>
      </c>
      <c r="D2009" t="inlineStr">
        <is>
          <t>STOCKHOLMS LÄN</t>
        </is>
      </c>
      <c r="E2009" t="inlineStr">
        <is>
          <t>NORRTÄLJE</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1353-2022</t>
        </is>
      </c>
      <c r="B2010" s="1" t="n">
        <v>44572</v>
      </c>
      <c r="C2010" s="1" t="n">
        <v>45350</v>
      </c>
      <c r="D2010" t="inlineStr">
        <is>
          <t>STOCKHOLMS LÄN</t>
        </is>
      </c>
      <c r="E2010" t="inlineStr">
        <is>
          <t>ÖSTERÅKER</t>
        </is>
      </c>
      <c r="F2010" t="inlineStr">
        <is>
          <t>Övriga Aktiebolag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1658-2022</t>
        </is>
      </c>
      <c r="B2011" s="1" t="n">
        <v>44574</v>
      </c>
      <c r="C2011" s="1" t="n">
        <v>45350</v>
      </c>
      <c r="D2011" t="inlineStr">
        <is>
          <t>STOCKHOLMS LÄN</t>
        </is>
      </c>
      <c r="E2011" t="inlineStr">
        <is>
          <t>NYNÄSHAMN</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1704-2022</t>
        </is>
      </c>
      <c r="B2012" s="1" t="n">
        <v>44574</v>
      </c>
      <c r="C2012" s="1" t="n">
        <v>45350</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1968-2022</t>
        </is>
      </c>
      <c r="B2013" s="1" t="n">
        <v>44575</v>
      </c>
      <c r="C2013" s="1" t="n">
        <v>45350</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1910-2022</t>
        </is>
      </c>
      <c r="B2014" s="1" t="n">
        <v>44575</v>
      </c>
      <c r="C2014" s="1" t="n">
        <v>45350</v>
      </c>
      <c r="D2014" t="inlineStr">
        <is>
          <t>STOCKHOLMS LÄN</t>
        </is>
      </c>
      <c r="E2014" t="inlineStr">
        <is>
          <t>ÖSTERÅKER</t>
        </is>
      </c>
      <c r="F2014" t="inlineStr">
        <is>
          <t>Övriga Aktiebolag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1939-2022</t>
        </is>
      </c>
      <c r="B2015" s="1" t="n">
        <v>44575</v>
      </c>
      <c r="C2015" s="1" t="n">
        <v>45350</v>
      </c>
      <c r="D2015" t="inlineStr">
        <is>
          <t>STOCKHOLMS LÄN</t>
        </is>
      </c>
      <c r="E2015" t="inlineStr">
        <is>
          <t>SÖDERTÄLJE</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2148-2022</t>
        </is>
      </c>
      <c r="B2016" s="1" t="n">
        <v>44575</v>
      </c>
      <c r="C2016" s="1" t="n">
        <v>45350</v>
      </c>
      <c r="D2016" t="inlineStr">
        <is>
          <t>STOCKHOLMS LÄN</t>
        </is>
      </c>
      <c r="E2016" t="inlineStr">
        <is>
          <t>ÖSTERÅKER</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2180-2022</t>
        </is>
      </c>
      <c r="B2017" s="1" t="n">
        <v>44578</v>
      </c>
      <c r="C2017" s="1" t="n">
        <v>45350</v>
      </c>
      <c r="D2017" t="inlineStr">
        <is>
          <t>STOCKHOLMS LÄN</t>
        </is>
      </c>
      <c r="E2017" t="inlineStr">
        <is>
          <t>VALLENTUNA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2182-2022</t>
        </is>
      </c>
      <c r="B2018" s="1" t="n">
        <v>44578</v>
      </c>
      <c r="C2018" s="1" t="n">
        <v>45350</v>
      </c>
      <c r="D2018" t="inlineStr">
        <is>
          <t>STOCKHOLMS LÄN</t>
        </is>
      </c>
      <c r="E2018" t="inlineStr">
        <is>
          <t>NORRTÄLJE</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2549-2022</t>
        </is>
      </c>
      <c r="B2019" s="1" t="n">
        <v>44580</v>
      </c>
      <c r="C2019" s="1" t="n">
        <v>45350</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2677-2022</t>
        </is>
      </c>
      <c r="B2020" s="1" t="n">
        <v>44580</v>
      </c>
      <c r="C2020" s="1" t="n">
        <v>45350</v>
      </c>
      <c r="D2020" t="inlineStr">
        <is>
          <t>STOCKHOLMS LÄN</t>
        </is>
      </c>
      <c r="E2020" t="inlineStr">
        <is>
          <t>NYNÄSHAMN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2688-2022</t>
        </is>
      </c>
      <c r="B2021" s="1" t="n">
        <v>44580</v>
      </c>
      <c r="C2021" s="1" t="n">
        <v>45350</v>
      </c>
      <c r="D2021" t="inlineStr">
        <is>
          <t>STOCKHOLMS LÄN</t>
        </is>
      </c>
      <c r="E2021" t="inlineStr">
        <is>
          <t>NYNÄSHAMN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2570-2022</t>
        </is>
      </c>
      <c r="B2022" s="1" t="n">
        <v>44580</v>
      </c>
      <c r="C2022" s="1" t="n">
        <v>45350</v>
      </c>
      <c r="D2022" t="inlineStr">
        <is>
          <t>STOCKHOLMS LÄN</t>
        </is>
      </c>
      <c r="E2022" t="inlineStr">
        <is>
          <t>ÖSTERÅKER</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2732-2022</t>
        </is>
      </c>
      <c r="B2023" s="1" t="n">
        <v>44580</v>
      </c>
      <c r="C2023" s="1" t="n">
        <v>45350</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2849-2022</t>
        </is>
      </c>
      <c r="B2024" s="1" t="n">
        <v>44581</v>
      </c>
      <c r="C2024" s="1" t="n">
        <v>45350</v>
      </c>
      <c r="D2024" t="inlineStr">
        <is>
          <t>STOCKHOLMS LÄN</t>
        </is>
      </c>
      <c r="E2024" t="inlineStr">
        <is>
          <t>SÖDERTÄLJE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2867-2022</t>
        </is>
      </c>
      <c r="B2025" s="1" t="n">
        <v>44581</v>
      </c>
      <c r="C2025" s="1" t="n">
        <v>45350</v>
      </c>
      <c r="D2025" t="inlineStr">
        <is>
          <t>STOCKHOLMS LÄN</t>
        </is>
      </c>
      <c r="E2025" t="inlineStr">
        <is>
          <t>VALLENTUNA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2888-2022</t>
        </is>
      </c>
      <c r="B2026" s="1" t="n">
        <v>44581</v>
      </c>
      <c r="C2026" s="1" t="n">
        <v>45350</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2977-2022</t>
        </is>
      </c>
      <c r="B2027" s="1" t="n">
        <v>44581</v>
      </c>
      <c r="C2027" s="1" t="n">
        <v>45350</v>
      </c>
      <c r="D2027" t="inlineStr">
        <is>
          <t>STOCKHOLMS LÄN</t>
        </is>
      </c>
      <c r="E2027" t="inlineStr">
        <is>
          <t>NORRTÄLJE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3057-2022</t>
        </is>
      </c>
      <c r="B2028" s="1" t="n">
        <v>44582</v>
      </c>
      <c r="C2028" s="1" t="n">
        <v>45350</v>
      </c>
      <c r="D2028" t="inlineStr">
        <is>
          <t>STOCKHOLMS LÄN</t>
        </is>
      </c>
      <c r="E2028" t="inlineStr">
        <is>
          <t>VÄRMDÖ</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3154-2022</t>
        </is>
      </c>
      <c r="B2029" s="1" t="n">
        <v>44582</v>
      </c>
      <c r="C2029" s="1" t="n">
        <v>45350</v>
      </c>
      <c r="D2029" t="inlineStr">
        <is>
          <t>STOCKHOLMS LÄN</t>
        </is>
      </c>
      <c r="E2029" t="inlineStr">
        <is>
          <t>ÖSTERÅKER</t>
        </is>
      </c>
      <c r="F2029" t="inlineStr">
        <is>
          <t>Övriga Aktiebolag</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3222-2022</t>
        </is>
      </c>
      <c r="B2030" s="1" t="n">
        <v>44582</v>
      </c>
      <c r="C2030" s="1" t="n">
        <v>45350</v>
      </c>
      <c r="D2030" t="inlineStr">
        <is>
          <t>STOCKHOLMS LÄN</t>
        </is>
      </c>
      <c r="E2030" t="inlineStr">
        <is>
          <t>EKERÖ</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3221-2022</t>
        </is>
      </c>
      <c r="B2031" s="1" t="n">
        <v>44582</v>
      </c>
      <c r="C2031" s="1" t="n">
        <v>45350</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3219-2022</t>
        </is>
      </c>
      <c r="B2032" s="1" t="n">
        <v>44582</v>
      </c>
      <c r="C2032" s="1" t="n">
        <v>45350</v>
      </c>
      <c r="D2032" t="inlineStr">
        <is>
          <t>STOCKHOLMS LÄN</t>
        </is>
      </c>
      <c r="E2032" t="inlineStr">
        <is>
          <t>EKERÖ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3326-2022</t>
        </is>
      </c>
      <c r="B2033" s="1" t="n">
        <v>44583</v>
      </c>
      <c r="C2033" s="1" t="n">
        <v>45350</v>
      </c>
      <c r="D2033" t="inlineStr">
        <is>
          <t>STOCKHOLMS LÄN</t>
        </is>
      </c>
      <c r="E2033" t="inlineStr">
        <is>
          <t>ÖSTERÅKER</t>
        </is>
      </c>
      <c r="F2033" t="inlineStr">
        <is>
          <t>Övriga Aktiebolag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3300-2022</t>
        </is>
      </c>
      <c r="B2034" s="1" t="n">
        <v>44584</v>
      </c>
      <c r="C2034" s="1" t="n">
        <v>45350</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3310-2022</t>
        </is>
      </c>
      <c r="B2035" s="1" t="n">
        <v>44584</v>
      </c>
      <c r="C2035" s="1" t="n">
        <v>45350</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3396-2022</t>
        </is>
      </c>
      <c r="B2036" s="1" t="n">
        <v>44585</v>
      </c>
      <c r="C2036" s="1" t="n">
        <v>45350</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3509-2022</t>
        </is>
      </c>
      <c r="B2037" s="1" t="n">
        <v>44585</v>
      </c>
      <c r="C2037" s="1" t="n">
        <v>45350</v>
      </c>
      <c r="D2037" t="inlineStr">
        <is>
          <t>STOCKHOLMS LÄN</t>
        </is>
      </c>
      <c r="E2037" t="inlineStr">
        <is>
          <t>NORRTÄLJE</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3596-2022</t>
        </is>
      </c>
      <c r="B2038" s="1" t="n">
        <v>44586</v>
      </c>
      <c r="C2038" s="1" t="n">
        <v>45350</v>
      </c>
      <c r="D2038" t="inlineStr">
        <is>
          <t>STOCKHOLMS LÄN</t>
        </is>
      </c>
      <c r="E2038" t="inlineStr">
        <is>
          <t>SÖDERTÄLJE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3681-2022</t>
        </is>
      </c>
      <c r="B2039" s="1" t="n">
        <v>44586</v>
      </c>
      <c r="C2039" s="1" t="n">
        <v>45350</v>
      </c>
      <c r="D2039" t="inlineStr">
        <is>
          <t>STOCKHOLMS LÄN</t>
        </is>
      </c>
      <c r="E2039" t="inlineStr">
        <is>
          <t>BOTKYRKA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v>
      </c>
      <c r="C2040" s="1" t="n">
        <v>45350</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3592-2022</t>
        </is>
      </c>
      <c r="B2041" s="1" t="n">
        <v>44586</v>
      </c>
      <c r="C2041" s="1" t="n">
        <v>45350</v>
      </c>
      <c r="D2041" t="inlineStr">
        <is>
          <t>STOCKHOLMS LÄN</t>
        </is>
      </c>
      <c r="E2041" t="inlineStr">
        <is>
          <t>SÖDERTÄLJE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3585-2022</t>
        </is>
      </c>
      <c r="B2042" s="1" t="n">
        <v>44586</v>
      </c>
      <c r="C2042" s="1" t="n">
        <v>45350</v>
      </c>
      <c r="D2042" t="inlineStr">
        <is>
          <t>STOCKHOLMS LÄN</t>
        </is>
      </c>
      <c r="E2042" t="inlineStr">
        <is>
          <t>SÖDERTÄLJE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3671-2022</t>
        </is>
      </c>
      <c r="B2043" s="1" t="n">
        <v>44586</v>
      </c>
      <c r="C2043" s="1" t="n">
        <v>45350</v>
      </c>
      <c r="D2043" t="inlineStr">
        <is>
          <t>STOCKHOLMS LÄN</t>
        </is>
      </c>
      <c r="E2043" t="inlineStr">
        <is>
          <t>BOTKYRKA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3698-2022</t>
        </is>
      </c>
      <c r="B2044" s="1" t="n">
        <v>44586</v>
      </c>
      <c r="C2044" s="1" t="n">
        <v>45350</v>
      </c>
      <c r="D2044" t="inlineStr">
        <is>
          <t>STOCKHOLMS LÄN</t>
        </is>
      </c>
      <c r="E2044" t="inlineStr">
        <is>
          <t>VALLENTUNA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3706-2022</t>
        </is>
      </c>
      <c r="B2045" s="1" t="n">
        <v>44586</v>
      </c>
      <c r="C2045" s="1" t="n">
        <v>45350</v>
      </c>
      <c r="D2045" t="inlineStr">
        <is>
          <t>STOCKHOLMS LÄN</t>
        </is>
      </c>
      <c r="E2045" t="inlineStr">
        <is>
          <t>HANINGE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3726-2022</t>
        </is>
      </c>
      <c r="B2046" s="1" t="n">
        <v>44586</v>
      </c>
      <c r="C2046" s="1" t="n">
        <v>45350</v>
      </c>
      <c r="D2046" t="inlineStr">
        <is>
          <t>STOCKHOLMS LÄN</t>
        </is>
      </c>
      <c r="E2046" t="inlineStr">
        <is>
          <t>BOTKYRKA</t>
        </is>
      </c>
      <c r="G2046" t="n">
        <v>17.1</v>
      </c>
      <c r="H2046" t="n">
        <v>0</v>
      </c>
      <c r="I2046" t="n">
        <v>0</v>
      </c>
      <c r="J2046" t="n">
        <v>0</v>
      </c>
      <c r="K2046" t="n">
        <v>0</v>
      </c>
      <c r="L2046" t="n">
        <v>0</v>
      </c>
      <c r="M2046" t="n">
        <v>0</v>
      </c>
      <c r="N2046" t="n">
        <v>0</v>
      </c>
      <c r="O2046" t="n">
        <v>0</v>
      </c>
      <c r="P2046" t="n">
        <v>0</v>
      </c>
      <c r="Q2046" t="n">
        <v>0</v>
      </c>
      <c r="R2046" s="2" t="inlineStr"/>
    </row>
    <row r="2047" ht="15" customHeight="1">
      <c r="A2047" t="inlineStr">
        <is>
          <t>A 3827-2022</t>
        </is>
      </c>
      <c r="B2047" s="1" t="n">
        <v>44587</v>
      </c>
      <c r="C2047" s="1" t="n">
        <v>45350</v>
      </c>
      <c r="D2047" t="inlineStr">
        <is>
          <t>STOCKHOLMS LÄN</t>
        </is>
      </c>
      <c r="E2047" t="inlineStr">
        <is>
          <t>VÄRMDÖ</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3838-2022</t>
        </is>
      </c>
      <c r="B2048" s="1" t="n">
        <v>44587</v>
      </c>
      <c r="C2048" s="1" t="n">
        <v>45350</v>
      </c>
      <c r="D2048" t="inlineStr">
        <is>
          <t>STOCKHOLMS LÄN</t>
        </is>
      </c>
      <c r="E2048" t="inlineStr">
        <is>
          <t>UPPLANDS-BRO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3937-2022</t>
        </is>
      </c>
      <c r="B2049" s="1" t="n">
        <v>44587</v>
      </c>
      <c r="C2049" s="1" t="n">
        <v>45350</v>
      </c>
      <c r="D2049" t="inlineStr">
        <is>
          <t>STOCKHOLMS LÄN</t>
        </is>
      </c>
      <c r="E2049" t="inlineStr">
        <is>
          <t>VALLENTUNA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4860-2022</t>
        </is>
      </c>
      <c r="B2050" s="1" t="n">
        <v>44592</v>
      </c>
      <c r="C2050" s="1" t="n">
        <v>45350</v>
      </c>
      <c r="D2050" t="inlineStr">
        <is>
          <t>STOCKHOLMS LÄN</t>
        </is>
      </c>
      <c r="E2050" t="inlineStr">
        <is>
          <t>NORRTÄLJE</t>
        </is>
      </c>
      <c r="G2050" t="n">
        <v>22.3</v>
      </c>
      <c r="H2050" t="n">
        <v>0</v>
      </c>
      <c r="I2050" t="n">
        <v>0</v>
      </c>
      <c r="J2050" t="n">
        <v>0</v>
      </c>
      <c r="K2050" t="n">
        <v>0</v>
      </c>
      <c r="L2050" t="n">
        <v>0</v>
      </c>
      <c r="M2050" t="n">
        <v>0</v>
      </c>
      <c r="N2050" t="n">
        <v>0</v>
      </c>
      <c r="O2050" t="n">
        <v>0</v>
      </c>
      <c r="P2050" t="n">
        <v>0</v>
      </c>
      <c r="Q2050" t="n">
        <v>0</v>
      </c>
      <c r="R2050" s="2" t="inlineStr"/>
    </row>
    <row r="2051" ht="15" customHeight="1">
      <c r="A2051" t="inlineStr">
        <is>
          <t>A 5351-2022</t>
        </is>
      </c>
      <c r="B2051" s="1" t="n">
        <v>44594</v>
      </c>
      <c r="C2051" s="1" t="n">
        <v>45350</v>
      </c>
      <c r="D2051" t="inlineStr">
        <is>
          <t>STOCKHOLMS LÄN</t>
        </is>
      </c>
      <c r="E2051" t="inlineStr">
        <is>
          <t>NORRTÄLJE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5513-2022</t>
        </is>
      </c>
      <c r="B2052" s="1" t="n">
        <v>44595</v>
      </c>
      <c r="C2052" s="1" t="n">
        <v>45350</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5611-2022</t>
        </is>
      </c>
      <c r="B2053" s="1" t="n">
        <v>44595</v>
      </c>
      <c r="C2053" s="1" t="n">
        <v>45350</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5831-2022</t>
        </is>
      </c>
      <c r="B2054" s="1" t="n">
        <v>44596</v>
      </c>
      <c r="C2054" s="1" t="n">
        <v>45350</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5867-2022</t>
        </is>
      </c>
      <c r="B2055" s="1" t="n">
        <v>44596</v>
      </c>
      <c r="C2055" s="1" t="n">
        <v>45350</v>
      </c>
      <c r="D2055" t="inlineStr">
        <is>
          <t>STOCKHOLMS LÄN</t>
        </is>
      </c>
      <c r="E2055" t="inlineStr">
        <is>
          <t>NORRTÄLJE</t>
        </is>
      </c>
      <c r="F2055" t="inlineStr">
        <is>
          <t>Naturvårdsverket</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5910-2022</t>
        </is>
      </c>
      <c r="B2056" s="1" t="n">
        <v>44597</v>
      </c>
      <c r="C2056" s="1" t="n">
        <v>45350</v>
      </c>
      <c r="D2056" t="inlineStr">
        <is>
          <t>STOCKHOLMS LÄN</t>
        </is>
      </c>
      <c r="E2056" t="inlineStr">
        <is>
          <t>VALLENTUNA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6059-2022</t>
        </is>
      </c>
      <c r="B2057" s="1" t="n">
        <v>44599</v>
      </c>
      <c r="C2057" s="1" t="n">
        <v>45350</v>
      </c>
      <c r="D2057" t="inlineStr">
        <is>
          <t>STOCKHOLMS LÄN</t>
        </is>
      </c>
      <c r="E2057" t="inlineStr">
        <is>
          <t>BOTKYRKA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6070-2022</t>
        </is>
      </c>
      <c r="B2058" s="1" t="n">
        <v>44599</v>
      </c>
      <c r="C2058" s="1" t="n">
        <v>45350</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6015-2022</t>
        </is>
      </c>
      <c r="B2059" s="1" t="n">
        <v>44599</v>
      </c>
      <c r="C2059" s="1" t="n">
        <v>45350</v>
      </c>
      <c r="D2059" t="inlineStr">
        <is>
          <t>STOCKHOLMS LÄN</t>
        </is>
      </c>
      <c r="E2059" t="inlineStr">
        <is>
          <t>VAXHOLM</t>
        </is>
      </c>
      <c r="F2059" t="inlineStr">
        <is>
          <t>Övriga statliga verk och myndigheter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6295-2022</t>
        </is>
      </c>
      <c r="B2060" s="1" t="n">
        <v>44600</v>
      </c>
      <c r="C2060" s="1" t="n">
        <v>45350</v>
      </c>
      <c r="D2060" t="inlineStr">
        <is>
          <t>STOCKHOLMS LÄN</t>
        </is>
      </c>
      <c r="E2060" t="inlineStr">
        <is>
          <t>SÖDERTÄLJE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6332-2022</t>
        </is>
      </c>
      <c r="B2061" s="1" t="n">
        <v>44600</v>
      </c>
      <c r="C2061" s="1" t="n">
        <v>45350</v>
      </c>
      <c r="D2061" t="inlineStr">
        <is>
          <t>STOCKHOLMS LÄN</t>
        </is>
      </c>
      <c r="E2061" t="inlineStr">
        <is>
          <t>NORRTÄLJE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6740-2022</t>
        </is>
      </c>
      <c r="B2062" s="1" t="n">
        <v>44602</v>
      </c>
      <c r="C2062" s="1" t="n">
        <v>45350</v>
      </c>
      <c r="D2062" t="inlineStr">
        <is>
          <t>STOCKHOLMS LÄN</t>
        </is>
      </c>
      <c r="E2062" t="inlineStr">
        <is>
          <t>SÖDERTÄLJE</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6775-2022</t>
        </is>
      </c>
      <c r="B2063" s="1" t="n">
        <v>44602</v>
      </c>
      <c r="C2063" s="1" t="n">
        <v>45350</v>
      </c>
      <c r="D2063" t="inlineStr">
        <is>
          <t>STOCKHOLMS LÄN</t>
        </is>
      </c>
      <c r="E2063" t="inlineStr">
        <is>
          <t>NYNÄSHAMN</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6846-2022</t>
        </is>
      </c>
      <c r="B2064" s="1" t="n">
        <v>44602</v>
      </c>
      <c r="C2064" s="1" t="n">
        <v>45350</v>
      </c>
      <c r="D2064" t="inlineStr">
        <is>
          <t>STOCKHOLMS LÄN</t>
        </is>
      </c>
      <c r="E2064" t="inlineStr">
        <is>
          <t>NYNÄSHAMN</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6876-2022</t>
        </is>
      </c>
      <c r="B2065" s="1" t="n">
        <v>44602</v>
      </c>
      <c r="C2065" s="1" t="n">
        <v>45350</v>
      </c>
      <c r="D2065" t="inlineStr">
        <is>
          <t>STOCKHOLMS LÄN</t>
        </is>
      </c>
      <c r="E2065" t="inlineStr">
        <is>
          <t>NYKVARN</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6854-2022</t>
        </is>
      </c>
      <c r="B2066" s="1" t="n">
        <v>44602</v>
      </c>
      <c r="C2066" s="1" t="n">
        <v>45350</v>
      </c>
      <c r="D2066" t="inlineStr">
        <is>
          <t>STOCKHOLMS LÄN</t>
        </is>
      </c>
      <c r="E2066" t="inlineStr">
        <is>
          <t>NYKVARN</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6867-2022</t>
        </is>
      </c>
      <c r="B2067" s="1" t="n">
        <v>44602</v>
      </c>
      <c r="C2067" s="1" t="n">
        <v>45350</v>
      </c>
      <c r="D2067" t="inlineStr">
        <is>
          <t>STOCKHOLMS LÄN</t>
        </is>
      </c>
      <c r="E2067" t="inlineStr">
        <is>
          <t>NYKVARN</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6857-2022</t>
        </is>
      </c>
      <c r="B2068" s="1" t="n">
        <v>44602</v>
      </c>
      <c r="C2068" s="1" t="n">
        <v>45350</v>
      </c>
      <c r="D2068" t="inlineStr">
        <is>
          <t>STOCKHOLMS LÄN</t>
        </is>
      </c>
      <c r="E2068" t="inlineStr">
        <is>
          <t>NYKVARN</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6861-2022</t>
        </is>
      </c>
      <c r="B2069" s="1" t="n">
        <v>44602</v>
      </c>
      <c r="C2069" s="1" t="n">
        <v>45350</v>
      </c>
      <c r="D2069" t="inlineStr">
        <is>
          <t>STOCKHOLMS LÄN</t>
        </is>
      </c>
      <c r="E2069" t="inlineStr">
        <is>
          <t>NYKVARN</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6886-2022</t>
        </is>
      </c>
      <c r="B2070" s="1" t="n">
        <v>44602</v>
      </c>
      <c r="C2070" s="1" t="n">
        <v>45350</v>
      </c>
      <c r="D2070" t="inlineStr">
        <is>
          <t>STOCKHOLMS LÄN</t>
        </is>
      </c>
      <c r="E2070" t="inlineStr">
        <is>
          <t>SÖDERTÄLJE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7073-2022</t>
        </is>
      </c>
      <c r="B2071" s="1" t="n">
        <v>44603</v>
      </c>
      <c r="C2071" s="1" t="n">
        <v>45350</v>
      </c>
      <c r="D2071" t="inlineStr">
        <is>
          <t>STOCKHOLMS LÄN</t>
        </is>
      </c>
      <c r="E2071" t="inlineStr">
        <is>
          <t>VALLENTUNA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6982-2022</t>
        </is>
      </c>
      <c r="B2072" s="1" t="n">
        <v>44603</v>
      </c>
      <c r="C2072" s="1" t="n">
        <v>45350</v>
      </c>
      <c r="D2072" t="inlineStr">
        <is>
          <t>STOCKHOLMS LÄN</t>
        </is>
      </c>
      <c r="E2072" t="inlineStr">
        <is>
          <t>UPPLANDS-BRO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7085-2022</t>
        </is>
      </c>
      <c r="B2073" s="1" t="n">
        <v>44603</v>
      </c>
      <c r="C2073" s="1" t="n">
        <v>45350</v>
      </c>
      <c r="D2073" t="inlineStr">
        <is>
          <t>STOCKHOLMS LÄN</t>
        </is>
      </c>
      <c r="E2073" t="inlineStr">
        <is>
          <t>VALLENTUNA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7214-2022</t>
        </is>
      </c>
      <c r="B2074" s="1" t="n">
        <v>44606</v>
      </c>
      <c r="C2074" s="1" t="n">
        <v>45350</v>
      </c>
      <c r="D2074" t="inlineStr">
        <is>
          <t>STOCKHOLMS LÄN</t>
        </is>
      </c>
      <c r="E2074" t="inlineStr">
        <is>
          <t>SIGTUNA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7264-2022</t>
        </is>
      </c>
      <c r="B2075" s="1" t="n">
        <v>44606</v>
      </c>
      <c r="C2075" s="1" t="n">
        <v>45350</v>
      </c>
      <c r="D2075" t="inlineStr">
        <is>
          <t>STOCKHOLMS LÄN</t>
        </is>
      </c>
      <c r="E2075" t="inlineStr">
        <is>
          <t>VALLENTUNA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7280-2022</t>
        </is>
      </c>
      <c r="B2076" s="1" t="n">
        <v>44606</v>
      </c>
      <c r="C2076" s="1" t="n">
        <v>45350</v>
      </c>
      <c r="D2076" t="inlineStr">
        <is>
          <t>STOCKHOLMS LÄN</t>
        </is>
      </c>
      <c r="E2076" t="inlineStr">
        <is>
          <t>SIGTUNA</t>
        </is>
      </c>
      <c r="F2076" t="inlineStr">
        <is>
          <t>Övriga statliga verk och myndigheter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7276-2022</t>
        </is>
      </c>
      <c r="B2077" s="1" t="n">
        <v>44606</v>
      </c>
      <c r="C2077" s="1" t="n">
        <v>45350</v>
      </c>
      <c r="D2077" t="inlineStr">
        <is>
          <t>STOCKHOLMS LÄN</t>
        </is>
      </c>
      <c r="E2077" t="inlineStr">
        <is>
          <t>VALLENTUNA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7301-2022</t>
        </is>
      </c>
      <c r="B2078" s="1" t="n">
        <v>44606</v>
      </c>
      <c r="C2078" s="1" t="n">
        <v>45350</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7275-2022</t>
        </is>
      </c>
      <c r="B2079" s="1" t="n">
        <v>44606</v>
      </c>
      <c r="C2079" s="1" t="n">
        <v>45350</v>
      </c>
      <c r="D2079" t="inlineStr">
        <is>
          <t>STOCKHOLMS LÄN</t>
        </is>
      </c>
      <c r="E2079" t="inlineStr">
        <is>
          <t>UPPLANDS-BRO</t>
        </is>
      </c>
      <c r="F2079" t="inlineStr">
        <is>
          <t>Övriga statliga verk och myndigheter</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7565-2022</t>
        </is>
      </c>
      <c r="B2080" s="1" t="n">
        <v>44607</v>
      </c>
      <c r="C2080" s="1" t="n">
        <v>45350</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7834-2022</t>
        </is>
      </c>
      <c r="B2081" s="1" t="n">
        <v>44608</v>
      </c>
      <c r="C2081" s="1" t="n">
        <v>45350</v>
      </c>
      <c r="D2081" t="inlineStr">
        <is>
          <t>STOCKHOLMS LÄN</t>
        </is>
      </c>
      <c r="E2081" t="inlineStr">
        <is>
          <t>ÖSTERÅKER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8024-2022</t>
        </is>
      </c>
      <c r="B2082" s="1" t="n">
        <v>44609</v>
      </c>
      <c r="C2082" s="1" t="n">
        <v>45350</v>
      </c>
      <c r="D2082" t="inlineStr">
        <is>
          <t>STOCKHOLMS LÄN</t>
        </is>
      </c>
      <c r="E2082" t="inlineStr">
        <is>
          <t>NORRTÄLJE</t>
        </is>
      </c>
      <c r="F2082" t="inlineStr">
        <is>
          <t>Kyrkan</t>
        </is>
      </c>
      <c r="G2082" t="n">
        <v>28.2</v>
      </c>
      <c r="H2082" t="n">
        <v>0</v>
      </c>
      <c r="I2082" t="n">
        <v>0</v>
      </c>
      <c r="J2082" t="n">
        <v>0</v>
      </c>
      <c r="K2082" t="n">
        <v>0</v>
      </c>
      <c r="L2082" t="n">
        <v>0</v>
      </c>
      <c r="M2082" t="n">
        <v>0</v>
      </c>
      <c r="N2082" t="n">
        <v>0</v>
      </c>
      <c r="O2082" t="n">
        <v>0</v>
      </c>
      <c r="P2082" t="n">
        <v>0</v>
      </c>
      <c r="Q2082" t="n">
        <v>0</v>
      </c>
      <c r="R2082" s="2" t="inlineStr"/>
    </row>
    <row r="2083" ht="15" customHeight="1">
      <c r="A2083" t="inlineStr">
        <is>
          <t>A 8049-2022</t>
        </is>
      </c>
      <c r="B2083" s="1" t="n">
        <v>44609</v>
      </c>
      <c r="C2083" s="1" t="n">
        <v>45350</v>
      </c>
      <c r="D2083" t="inlineStr">
        <is>
          <t>STOCKHOLMS LÄN</t>
        </is>
      </c>
      <c r="E2083" t="inlineStr">
        <is>
          <t>NORRTÄLJE</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8077-2022</t>
        </is>
      </c>
      <c r="B2084" s="1" t="n">
        <v>44609</v>
      </c>
      <c r="C2084" s="1" t="n">
        <v>45350</v>
      </c>
      <c r="D2084" t="inlineStr">
        <is>
          <t>STOCKHOLMS LÄN</t>
        </is>
      </c>
      <c r="E2084" t="inlineStr">
        <is>
          <t>VALLENTUNA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8089-2022</t>
        </is>
      </c>
      <c r="B2085" s="1" t="n">
        <v>44609</v>
      </c>
      <c r="C2085" s="1" t="n">
        <v>45350</v>
      </c>
      <c r="D2085" t="inlineStr">
        <is>
          <t>STOCKHOLMS LÄN</t>
        </is>
      </c>
      <c r="E2085" t="inlineStr">
        <is>
          <t>VALLENTUNA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8065-2022</t>
        </is>
      </c>
      <c r="B2086" s="1" t="n">
        <v>44609</v>
      </c>
      <c r="C2086" s="1" t="n">
        <v>45350</v>
      </c>
      <c r="D2086" t="inlineStr">
        <is>
          <t>STOCKHOLMS LÄN</t>
        </is>
      </c>
      <c r="E2086" t="inlineStr">
        <is>
          <t>VALLENTUNA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8160-2022</t>
        </is>
      </c>
      <c r="B2087" s="1" t="n">
        <v>44609</v>
      </c>
      <c r="C2087" s="1" t="n">
        <v>45350</v>
      </c>
      <c r="D2087" t="inlineStr">
        <is>
          <t>STOCKHOLMS LÄN</t>
        </is>
      </c>
      <c r="E2087" t="inlineStr">
        <is>
          <t>NORRTÄLJE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8261-2022</t>
        </is>
      </c>
      <c r="B2088" s="1" t="n">
        <v>44609</v>
      </c>
      <c r="C2088" s="1" t="n">
        <v>45350</v>
      </c>
      <c r="D2088" t="inlineStr">
        <is>
          <t>STOCKHOLMS LÄN</t>
        </is>
      </c>
      <c r="E2088" t="inlineStr">
        <is>
          <t>UPPLANDS-BRO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8295-2022</t>
        </is>
      </c>
      <c r="B2089" s="1" t="n">
        <v>44610</v>
      </c>
      <c r="C2089" s="1" t="n">
        <v>45350</v>
      </c>
      <c r="D2089" t="inlineStr">
        <is>
          <t>STOCKHOLMS LÄN</t>
        </is>
      </c>
      <c r="E2089" t="inlineStr">
        <is>
          <t>NYKVARN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8433-2022</t>
        </is>
      </c>
      <c r="B2090" s="1" t="n">
        <v>44611</v>
      </c>
      <c r="C2090" s="1" t="n">
        <v>45350</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8748-2022</t>
        </is>
      </c>
      <c r="B2091" s="1" t="n">
        <v>44613</v>
      </c>
      <c r="C2091" s="1" t="n">
        <v>45350</v>
      </c>
      <c r="D2091" t="inlineStr">
        <is>
          <t>STOCKHOLMS LÄN</t>
        </is>
      </c>
      <c r="E2091" t="inlineStr">
        <is>
          <t>UPPLANDS VÄSBY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8746-2022</t>
        </is>
      </c>
      <c r="B2092" s="1" t="n">
        <v>44613</v>
      </c>
      <c r="C2092" s="1" t="n">
        <v>45350</v>
      </c>
      <c r="D2092" t="inlineStr">
        <is>
          <t>STOCKHOLMS LÄN</t>
        </is>
      </c>
      <c r="E2092" t="inlineStr">
        <is>
          <t>UPPLANDS VÄSBY</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9019-2022</t>
        </is>
      </c>
      <c r="B2093" s="1" t="n">
        <v>44615</v>
      </c>
      <c r="C2093" s="1" t="n">
        <v>45350</v>
      </c>
      <c r="D2093" t="inlineStr">
        <is>
          <t>STOCKHOLMS LÄN</t>
        </is>
      </c>
      <c r="E2093" t="inlineStr">
        <is>
          <t>VÄRMDÖ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9408-2022</t>
        </is>
      </c>
      <c r="B2094" s="1" t="n">
        <v>44616</v>
      </c>
      <c r="C2094" s="1" t="n">
        <v>45350</v>
      </c>
      <c r="D2094" t="inlineStr">
        <is>
          <t>STOCKHOLMS LÄN</t>
        </is>
      </c>
      <c r="E2094" t="inlineStr">
        <is>
          <t>NYKVARN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9442-2022</t>
        </is>
      </c>
      <c r="B2095" s="1" t="n">
        <v>44616</v>
      </c>
      <c r="C2095" s="1" t="n">
        <v>45350</v>
      </c>
      <c r="D2095" t="inlineStr">
        <is>
          <t>STOCKHOLMS LÄN</t>
        </is>
      </c>
      <c r="E2095" t="inlineStr">
        <is>
          <t>VALLENTUNA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9668-2022</t>
        </is>
      </c>
      <c r="B2096" s="1" t="n">
        <v>44617</v>
      </c>
      <c r="C2096" s="1" t="n">
        <v>45350</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9654-2022</t>
        </is>
      </c>
      <c r="B2097" s="1" t="n">
        <v>44617</v>
      </c>
      <c r="C2097" s="1" t="n">
        <v>45350</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9750-2022</t>
        </is>
      </c>
      <c r="B2098" s="1" t="n">
        <v>44618</v>
      </c>
      <c r="C2098" s="1" t="n">
        <v>45350</v>
      </c>
      <c r="D2098" t="inlineStr">
        <is>
          <t>STOCKHOLMS LÄN</t>
        </is>
      </c>
      <c r="E2098" t="inlineStr">
        <is>
          <t>SIGTUNA</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9745-2022</t>
        </is>
      </c>
      <c r="B2099" s="1" t="n">
        <v>44618</v>
      </c>
      <c r="C2099" s="1" t="n">
        <v>45350</v>
      </c>
      <c r="D2099" t="inlineStr">
        <is>
          <t>STOCKHOLMS LÄN</t>
        </is>
      </c>
      <c r="E2099" t="inlineStr">
        <is>
          <t>VALLENTUNA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9749-2022</t>
        </is>
      </c>
      <c r="B2100" s="1" t="n">
        <v>44618</v>
      </c>
      <c r="C2100" s="1" t="n">
        <v>45350</v>
      </c>
      <c r="D2100" t="inlineStr">
        <is>
          <t>STOCKHOLMS LÄN</t>
        </is>
      </c>
      <c r="E2100" t="inlineStr">
        <is>
          <t>NORRTÄLJE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9743-2022</t>
        </is>
      </c>
      <c r="B2101" s="1" t="n">
        <v>44618</v>
      </c>
      <c r="C2101" s="1" t="n">
        <v>45350</v>
      </c>
      <c r="D2101" t="inlineStr">
        <is>
          <t>STOCKHOLMS LÄN</t>
        </is>
      </c>
      <c r="E2101" t="inlineStr">
        <is>
          <t>VALLENTUNA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9748-2022</t>
        </is>
      </c>
      <c r="B2102" s="1" t="n">
        <v>44618</v>
      </c>
      <c r="C2102" s="1" t="n">
        <v>45350</v>
      </c>
      <c r="D2102" t="inlineStr">
        <is>
          <t>STOCKHOLMS LÄN</t>
        </is>
      </c>
      <c r="E2102" t="inlineStr">
        <is>
          <t>VALLENTUNA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9767-2022</t>
        </is>
      </c>
      <c r="B2103" s="1" t="n">
        <v>44619</v>
      </c>
      <c r="C2103" s="1" t="n">
        <v>45350</v>
      </c>
      <c r="D2103" t="inlineStr">
        <is>
          <t>STOCKHOLMS LÄN</t>
        </is>
      </c>
      <c r="E2103" t="inlineStr">
        <is>
          <t>SIGTUNA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9988-2022</t>
        </is>
      </c>
      <c r="B2104" s="1" t="n">
        <v>44621</v>
      </c>
      <c r="C2104" s="1" t="n">
        <v>45350</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10059-2022</t>
        </is>
      </c>
      <c r="B2105" s="1" t="n">
        <v>44621</v>
      </c>
      <c r="C2105" s="1" t="n">
        <v>45350</v>
      </c>
      <c r="D2105" t="inlineStr">
        <is>
          <t>STOCKHOLMS LÄN</t>
        </is>
      </c>
      <c r="E2105" t="inlineStr">
        <is>
          <t>NYNÄSHAMN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10082-2022</t>
        </is>
      </c>
      <c r="B2106" s="1" t="n">
        <v>44621</v>
      </c>
      <c r="C2106" s="1" t="n">
        <v>45350</v>
      </c>
      <c r="D2106" t="inlineStr">
        <is>
          <t>STOCKHOLMS LÄN</t>
        </is>
      </c>
      <c r="E2106" t="inlineStr">
        <is>
          <t>ÖSTERÅKER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9964-2022</t>
        </is>
      </c>
      <c r="B2107" s="1" t="n">
        <v>44621</v>
      </c>
      <c r="C2107" s="1" t="n">
        <v>45350</v>
      </c>
      <c r="D2107" t="inlineStr">
        <is>
          <t>STOCKHOLMS LÄN</t>
        </is>
      </c>
      <c r="E2107" t="inlineStr">
        <is>
          <t>NYNÄSHAMN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10090-2022</t>
        </is>
      </c>
      <c r="B2108" s="1" t="n">
        <v>44621</v>
      </c>
      <c r="C2108" s="1" t="n">
        <v>45350</v>
      </c>
      <c r="D2108" t="inlineStr">
        <is>
          <t>STOCKHOLMS LÄN</t>
        </is>
      </c>
      <c r="E2108" t="inlineStr">
        <is>
          <t>NORRTÄLJE</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10098-2022</t>
        </is>
      </c>
      <c r="B2109" s="1" t="n">
        <v>44621</v>
      </c>
      <c r="C2109" s="1" t="n">
        <v>45350</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10521-2022</t>
        </is>
      </c>
      <c r="B2110" s="1" t="n">
        <v>44623</v>
      </c>
      <c r="C2110" s="1" t="n">
        <v>45350</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10653-2022</t>
        </is>
      </c>
      <c r="B2111" s="1" t="n">
        <v>44624</v>
      </c>
      <c r="C2111" s="1" t="n">
        <v>45350</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10710-2022</t>
        </is>
      </c>
      <c r="B2112" s="1" t="n">
        <v>44626</v>
      </c>
      <c r="C2112" s="1" t="n">
        <v>45350</v>
      </c>
      <c r="D2112" t="inlineStr">
        <is>
          <t>STOCKHOLMS LÄN</t>
        </is>
      </c>
      <c r="E2112" t="inlineStr">
        <is>
          <t>NORRTÄLJE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10711-2022</t>
        </is>
      </c>
      <c r="B2113" s="1" t="n">
        <v>44626</v>
      </c>
      <c r="C2113" s="1" t="n">
        <v>45350</v>
      </c>
      <c r="D2113" t="inlineStr">
        <is>
          <t>STOCKHOLMS LÄN</t>
        </is>
      </c>
      <c r="E2113" t="inlineStr">
        <is>
          <t>NORRTÄLJE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11095-2022</t>
        </is>
      </c>
      <c r="B2114" s="1" t="n">
        <v>44628</v>
      </c>
      <c r="C2114" s="1" t="n">
        <v>45350</v>
      </c>
      <c r="D2114" t="inlineStr">
        <is>
          <t>STOCKHOLMS LÄN</t>
        </is>
      </c>
      <c r="E2114" t="inlineStr">
        <is>
          <t>BOTKYRKA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11150-2022</t>
        </is>
      </c>
      <c r="B2115" s="1" t="n">
        <v>44629</v>
      </c>
      <c r="C2115" s="1" t="n">
        <v>45350</v>
      </c>
      <c r="D2115" t="inlineStr">
        <is>
          <t>STOCKHOLMS LÄN</t>
        </is>
      </c>
      <c r="E2115" t="inlineStr">
        <is>
          <t>NORRTÄLJE</t>
        </is>
      </c>
      <c r="F2115" t="inlineStr">
        <is>
          <t>Övriga Aktiebolag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11229-2022</t>
        </is>
      </c>
      <c r="B2116" s="1" t="n">
        <v>44629</v>
      </c>
      <c r="C2116" s="1" t="n">
        <v>45350</v>
      </c>
      <c r="D2116" t="inlineStr">
        <is>
          <t>STOCKHOLMS LÄN</t>
        </is>
      </c>
      <c r="E2116" t="inlineStr">
        <is>
          <t>NORRTÄLJE</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11393-2022</t>
        </is>
      </c>
      <c r="B2117" s="1" t="n">
        <v>44630</v>
      </c>
      <c r="C2117" s="1" t="n">
        <v>45350</v>
      </c>
      <c r="D2117" t="inlineStr">
        <is>
          <t>STOCKHOLMS LÄN</t>
        </is>
      </c>
      <c r="E2117" t="inlineStr">
        <is>
          <t>NYKVARN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11348-2022</t>
        </is>
      </c>
      <c r="B2118" s="1" t="n">
        <v>44630</v>
      </c>
      <c r="C2118" s="1" t="n">
        <v>45350</v>
      </c>
      <c r="D2118" t="inlineStr">
        <is>
          <t>STOCKHOLMS LÄN</t>
        </is>
      </c>
      <c r="E2118" t="inlineStr">
        <is>
          <t>NYKVARN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11430-2022</t>
        </is>
      </c>
      <c r="B2119" s="1" t="n">
        <v>44630</v>
      </c>
      <c r="C2119" s="1" t="n">
        <v>45350</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11533-2022</t>
        </is>
      </c>
      <c r="B2120" s="1" t="n">
        <v>44631</v>
      </c>
      <c r="C2120" s="1" t="n">
        <v>45350</v>
      </c>
      <c r="D2120" t="inlineStr">
        <is>
          <t>STOCKHOLMS LÄN</t>
        </is>
      </c>
      <c r="E2120" t="inlineStr">
        <is>
          <t>NORRTÄLJE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11821-2022</t>
        </is>
      </c>
      <c r="B2121" s="1" t="n">
        <v>44634</v>
      </c>
      <c r="C2121" s="1" t="n">
        <v>45350</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11900-2022</t>
        </is>
      </c>
      <c r="B2122" s="1" t="n">
        <v>44635</v>
      </c>
      <c r="C2122" s="1" t="n">
        <v>45350</v>
      </c>
      <c r="D2122" t="inlineStr">
        <is>
          <t>STOCKHOLMS LÄN</t>
        </is>
      </c>
      <c r="E2122" t="inlineStr">
        <is>
          <t>NORRTÄLJE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11996-2022</t>
        </is>
      </c>
      <c r="B2123" s="1" t="n">
        <v>44635</v>
      </c>
      <c r="C2123" s="1" t="n">
        <v>45350</v>
      </c>
      <c r="D2123" t="inlineStr">
        <is>
          <t>STOCKHOLMS LÄN</t>
        </is>
      </c>
      <c r="E2123" t="inlineStr">
        <is>
          <t>NYKVARN</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12355-2022</t>
        </is>
      </c>
      <c r="B2124" s="1" t="n">
        <v>44637</v>
      </c>
      <c r="C2124" s="1" t="n">
        <v>45350</v>
      </c>
      <c r="D2124" t="inlineStr">
        <is>
          <t>STOCKHOLMS LÄN</t>
        </is>
      </c>
      <c r="E2124" t="inlineStr">
        <is>
          <t>NORRTÄLJE</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12234-2022</t>
        </is>
      </c>
      <c r="B2125" s="1" t="n">
        <v>44637</v>
      </c>
      <c r="C2125" s="1" t="n">
        <v>45350</v>
      </c>
      <c r="D2125" t="inlineStr">
        <is>
          <t>STOCKHOLMS LÄN</t>
        </is>
      </c>
      <c r="E2125" t="inlineStr">
        <is>
          <t>VALLENTUNA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12270-2022</t>
        </is>
      </c>
      <c r="B2126" s="1" t="n">
        <v>44637</v>
      </c>
      <c r="C2126" s="1" t="n">
        <v>45350</v>
      </c>
      <c r="D2126" t="inlineStr">
        <is>
          <t>STOCKHOLMS LÄN</t>
        </is>
      </c>
      <c r="E2126" t="inlineStr">
        <is>
          <t>NORRTÄLJE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12314-2022</t>
        </is>
      </c>
      <c r="B2127" s="1" t="n">
        <v>44637</v>
      </c>
      <c r="C2127" s="1" t="n">
        <v>45350</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12268-2022</t>
        </is>
      </c>
      <c r="B2128" s="1" t="n">
        <v>44637</v>
      </c>
      <c r="C2128" s="1" t="n">
        <v>45350</v>
      </c>
      <c r="D2128" t="inlineStr">
        <is>
          <t>STOCKHOLMS LÄN</t>
        </is>
      </c>
      <c r="E2128" t="inlineStr">
        <is>
          <t>NORRTÄLJE</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12357-2022</t>
        </is>
      </c>
      <c r="B2129" s="1" t="n">
        <v>44637</v>
      </c>
      <c r="C2129" s="1" t="n">
        <v>45350</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12406-2022</t>
        </is>
      </c>
      <c r="B2130" s="1" t="n">
        <v>44638</v>
      </c>
      <c r="C2130" s="1" t="n">
        <v>45350</v>
      </c>
      <c r="D2130" t="inlineStr">
        <is>
          <t>STOCKHOLMS LÄN</t>
        </is>
      </c>
      <c r="E2130" t="inlineStr">
        <is>
          <t>NYKVARN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62765-2022</t>
        </is>
      </c>
      <c r="B2131" s="1" t="n">
        <v>44637</v>
      </c>
      <c r="C2131" s="1" t="n">
        <v>45350</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12578-2022</t>
        </is>
      </c>
      <c r="B2132" s="1" t="n">
        <v>44638</v>
      </c>
      <c r="C2132" s="1" t="n">
        <v>45350</v>
      </c>
      <c r="D2132" t="inlineStr">
        <is>
          <t>STOCKHOLMS LÄN</t>
        </is>
      </c>
      <c r="E2132" t="inlineStr">
        <is>
          <t>NYKVARN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12691-2022</t>
        </is>
      </c>
      <c r="B2133" s="1" t="n">
        <v>44641</v>
      </c>
      <c r="C2133" s="1" t="n">
        <v>45350</v>
      </c>
      <c r="D2133" t="inlineStr">
        <is>
          <t>STOCKHOLMS LÄN</t>
        </is>
      </c>
      <c r="E2133" t="inlineStr">
        <is>
          <t>SÖDERTÄLJE</t>
        </is>
      </c>
      <c r="F2133" t="inlineStr">
        <is>
          <t>Övriga Aktiebolag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12874-2022</t>
        </is>
      </c>
      <c r="B2134" s="1" t="n">
        <v>44642</v>
      </c>
      <c r="C2134" s="1" t="n">
        <v>45350</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12900-2022</t>
        </is>
      </c>
      <c r="B2135" s="1" t="n">
        <v>44642</v>
      </c>
      <c r="C2135" s="1" t="n">
        <v>45350</v>
      </c>
      <c r="D2135" t="inlineStr">
        <is>
          <t>STOCKHOLMS LÄN</t>
        </is>
      </c>
      <c r="E2135" t="inlineStr">
        <is>
          <t>SIGTUNA</t>
        </is>
      </c>
      <c r="G2135" t="n">
        <v>5.6</v>
      </c>
      <c r="H2135" t="n">
        <v>0</v>
      </c>
      <c r="I2135" t="n">
        <v>0</v>
      </c>
      <c r="J2135" t="n">
        <v>0</v>
      </c>
      <c r="K2135" t="n">
        <v>0</v>
      </c>
      <c r="L2135" t="n">
        <v>0</v>
      </c>
      <c r="M2135" t="n">
        <v>0</v>
      </c>
      <c r="N2135" t="n">
        <v>0</v>
      </c>
      <c r="O2135" t="n">
        <v>0</v>
      </c>
      <c r="P2135" t="n">
        <v>0</v>
      </c>
      <c r="Q2135" t="n">
        <v>0</v>
      </c>
      <c r="R2135" s="2" t="inlineStr"/>
      <c r="U2135">
        <f>HYPERLINK("https://klasma.github.io/Logging_0191/knärot/A 12900-2022 karta knärot.png", "A 12900-2022")</f>
        <v/>
      </c>
      <c r="V2135">
        <f>HYPERLINK("https://klasma.github.io/Logging_0191/klagomål/A 12900-2022 FSC-klagomål.docx", "A 12900-2022")</f>
        <v/>
      </c>
      <c r="W2135">
        <f>HYPERLINK("https://klasma.github.io/Logging_0191/klagomålsmail/A 12900-2022 FSC-klagomål mail.docx", "A 12900-2022")</f>
        <v/>
      </c>
      <c r="X2135">
        <f>HYPERLINK("https://klasma.github.io/Logging_0191/tillsyn/A 12900-2022 tillsynsbegäran.docx", "A 12900-2022")</f>
        <v/>
      </c>
      <c r="Y2135">
        <f>HYPERLINK("https://klasma.github.io/Logging_0191/tillsynsmail/A 12900-2022 tillsynsbegäran mail.docx", "A 12900-2022")</f>
        <v/>
      </c>
    </row>
    <row r="2136" ht="15" customHeight="1">
      <c r="A2136" t="inlineStr">
        <is>
          <t>A 12816-2022</t>
        </is>
      </c>
      <c r="B2136" s="1" t="n">
        <v>44642</v>
      </c>
      <c r="C2136" s="1" t="n">
        <v>45350</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12877-2022</t>
        </is>
      </c>
      <c r="B2137" s="1" t="n">
        <v>44642</v>
      </c>
      <c r="C2137" s="1" t="n">
        <v>45350</v>
      </c>
      <c r="D2137" t="inlineStr">
        <is>
          <t>STOCKHOLMS LÄN</t>
        </is>
      </c>
      <c r="E2137" t="inlineStr">
        <is>
          <t>NORRTÄLJE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12931-2022</t>
        </is>
      </c>
      <c r="B2138" s="1" t="n">
        <v>44642</v>
      </c>
      <c r="C2138" s="1" t="n">
        <v>45350</v>
      </c>
      <c r="D2138" t="inlineStr">
        <is>
          <t>STOCKHOLMS LÄN</t>
        </is>
      </c>
      <c r="E2138" t="inlineStr">
        <is>
          <t>SIGTUNA</t>
        </is>
      </c>
      <c r="F2138" t="inlineStr">
        <is>
          <t>Kyrkan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12875-2022</t>
        </is>
      </c>
      <c r="B2139" s="1" t="n">
        <v>44642</v>
      </c>
      <c r="C2139" s="1" t="n">
        <v>45350</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13077-2022</t>
        </is>
      </c>
      <c r="B2140" s="1" t="n">
        <v>44643</v>
      </c>
      <c r="C2140" s="1" t="n">
        <v>45350</v>
      </c>
      <c r="D2140" t="inlineStr">
        <is>
          <t>STOCKHOLMS LÄN</t>
        </is>
      </c>
      <c r="E2140" t="inlineStr">
        <is>
          <t>NORRTÄLJE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13053-2022</t>
        </is>
      </c>
      <c r="B2141" s="1" t="n">
        <v>44643</v>
      </c>
      <c r="C2141" s="1" t="n">
        <v>45350</v>
      </c>
      <c r="D2141" t="inlineStr">
        <is>
          <t>STOCKHOLMS LÄN</t>
        </is>
      </c>
      <c r="E2141" t="inlineStr">
        <is>
          <t>NORRTÄLJE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13089-2022</t>
        </is>
      </c>
      <c r="B2142" s="1" t="n">
        <v>44643</v>
      </c>
      <c r="C2142" s="1" t="n">
        <v>45350</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13135-2022</t>
        </is>
      </c>
      <c r="B2143" s="1" t="n">
        <v>44643</v>
      </c>
      <c r="C2143" s="1" t="n">
        <v>45350</v>
      </c>
      <c r="D2143" t="inlineStr">
        <is>
          <t>STOCKHOLMS LÄN</t>
        </is>
      </c>
      <c r="E2143" t="inlineStr">
        <is>
          <t>HANINGE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13137-2022</t>
        </is>
      </c>
      <c r="B2144" s="1" t="n">
        <v>44643</v>
      </c>
      <c r="C2144" s="1" t="n">
        <v>45350</v>
      </c>
      <c r="D2144" t="inlineStr">
        <is>
          <t>STOCKHOLMS LÄN</t>
        </is>
      </c>
      <c r="E2144" t="inlineStr">
        <is>
          <t>HANINGE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13106-2022</t>
        </is>
      </c>
      <c r="B2145" s="1" t="n">
        <v>44644</v>
      </c>
      <c r="C2145" s="1" t="n">
        <v>45350</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13278-2022</t>
        </is>
      </c>
      <c r="B2146" s="1" t="n">
        <v>44644</v>
      </c>
      <c r="C2146" s="1" t="n">
        <v>45350</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13276-2022</t>
        </is>
      </c>
      <c r="B2147" s="1" t="n">
        <v>44644</v>
      </c>
      <c r="C2147" s="1" t="n">
        <v>45350</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13395-2022</t>
        </is>
      </c>
      <c r="B2148" s="1" t="n">
        <v>44645</v>
      </c>
      <c r="C2148" s="1" t="n">
        <v>45350</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13696-2022</t>
        </is>
      </c>
      <c r="B2149" s="1" t="n">
        <v>44648</v>
      </c>
      <c r="C2149" s="1" t="n">
        <v>45350</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13701-2022</t>
        </is>
      </c>
      <c r="B2150" s="1" t="n">
        <v>44648</v>
      </c>
      <c r="C2150" s="1" t="n">
        <v>45350</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13718-2022</t>
        </is>
      </c>
      <c r="B2151" s="1" t="n">
        <v>44649</v>
      </c>
      <c r="C2151" s="1" t="n">
        <v>45350</v>
      </c>
      <c r="D2151" t="inlineStr">
        <is>
          <t>STOCKHOLMS LÄN</t>
        </is>
      </c>
      <c r="E2151" t="inlineStr">
        <is>
          <t>NORRTÄLJE</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13836-2022</t>
        </is>
      </c>
      <c r="B2152" s="1" t="n">
        <v>44649</v>
      </c>
      <c r="C2152" s="1" t="n">
        <v>45350</v>
      </c>
      <c r="D2152" t="inlineStr">
        <is>
          <t>STOCKHOLMS LÄN</t>
        </is>
      </c>
      <c r="E2152" t="inlineStr">
        <is>
          <t>VALLENTUNA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14036-2022</t>
        </is>
      </c>
      <c r="B2153" s="1" t="n">
        <v>44650</v>
      </c>
      <c r="C2153" s="1" t="n">
        <v>45350</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14033-2022</t>
        </is>
      </c>
      <c r="B2154" s="1" t="n">
        <v>44650</v>
      </c>
      <c r="C2154" s="1" t="n">
        <v>45350</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14034-2022</t>
        </is>
      </c>
      <c r="B2155" s="1" t="n">
        <v>44650</v>
      </c>
      <c r="C2155" s="1" t="n">
        <v>45350</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14051-2022</t>
        </is>
      </c>
      <c r="B2156" s="1" t="n">
        <v>44651</v>
      </c>
      <c r="C2156" s="1" t="n">
        <v>45350</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14166-2022</t>
        </is>
      </c>
      <c r="B2157" s="1" t="n">
        <v>44651</v>
      </c>
      <c r="C2157" s="1" t="n">
        <v>45350</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14543-2022</t>
        </is>
      </c>
      <c r="B2158" s="1" t="n">
        <v>44655</v>
      </c>
      <c r="C2158" s="1" t="n">
        <v>45350</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14719-2022</t>
        </is>
      </c>
      <c r="B2159" s="1" t="n">
        <v>44655</v>
      </c>
      <c r="C2159" s="1" t="n">
        <v>45350</v>
      </c>
      <c r="D2159" t="inlineStr">
        <is>
          <t>STOCKHOLMS LÄN</t>
        </is>
      </c>
      <c r="E2159" t="inlineStr">
        <is>
          <t>UPPLANDS-BRO</t>
        </is>
      </c>
      <c r="F2159" t="inlineStr">
        <is>
          <t>Allmännings- och besparingsskogar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14725-2022</t>
        </is>
      </c>
      <c r="B2160" s="1" t="n">
        <v>44655</v>
      </c>
      <c r="C2160" s="1" t="n">
        <v>45350</v>
      </c>
      <c r="D2160" t="inlineStr">
        <is>
          <t>STOCKHOLMS LÄN</t>
        </is>
      </c>
      <c r="E2160" t="inlineStr">
        <is>
          <t>VALLENTUNA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14724-2022</t>
        </is>
      </c>
      <c r="B2161" s="1" t="n">
        <v>44656</v>
      </c>
      <c r="C2161" s="1" t="n">
        <v>45350</v>
      </c>
      <c r="D2161" t="inlineStr">
        <is>
          <t>STOCKHOLMS LÄN</t>
        </is>
      </c>
      <c r="E2161" t="inlineStr">
        <is>
          <t>NORRTÄLJE</t>
        </is>
      </c>
      <c r="F2161" t="inlineStr">
        <is>
          <t>Sveaskog</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14716-2022</t>
        </is>
      </c>
      <c r="B2162" s="1" t="n">
        <v>44656</v>
      </c>
      <c r="C2162" s="1" t="n">
        <v>45350</v>
      </c>
      <c r="D2162" t="inlineStr">
        <is>
          <t>STOCKHOLMS LÄN</t>
        </is>
      </c>
      <c r="E2162" t="inlineStr">
        <is>
          <t>NORRTÄLJE</t>
        </is>
      </c>
      <c r="F2162" t="inlineStr">
        <is>
          <t>Sveaskog</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14869-2022</t>
        </is>
      </c>
      <c r="B2163" s="1" t="n">
        <v>44656</v>
      </c>
      <c r="C2163" s="1" t="n">
        <v>45350</v>
      </c>
      <c r="D2163" t="inlineStr">
        <is>
          <t>STOCKHOLMS LÄN</t>
        </is>
      </c>
      <c r="E2163" t="inlineStr">
        <is>
          <t>NORRTÄLJE</t>
        </is>
      </c>
      <c r="F2163" t="inlineStr">
        <is>
          <t>Holmen skog AB</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14936-2022</t>
        </is>
      </c>
      <c r="B2164" s="1" t="n">
        <v>44657</v>
      </c>
      <c r="C2164" s="1" t="n">
        <v>45350</v>
      </c>
      <c r="D2164" t="inlineStr">
        <is>
          <t>STOCKHOLMS LÄN</t>
        </is>
      </c>
      <c r="E2164" t="inlineStr">
        <is>
          <t>VÄRMDÖ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15131-2022</t>
        </is>
      </c>
      <c r="B2165" s="1" t="n">
        <v>44658</v>
      </c>
      <c r="C2165" s="1" t="n">
        <v>45350</v>
      </c>
      <c r="D2165" t="inlineStr">
        <is>
          <t>STOCKHOLMS LÄN</t>
        </is>
      </c>
      <c r="E2165" t="inlineStr">
        <is>
          <t>ÖSTERÅKER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15225-2022</t>
        </is>
      </c>
      <c r="B2166" s="1" t="n">
        <v>44658</v>
      </c>
      <c r="C2166" s="1" t="n">
        <v>45350</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15226-2022</t>
        </is>
      </c>
      <c r="B2167" s="1" t="n">
        <v>44658</v>
      </c>
      <c r="C2167" s="1" t="n">
        <v>45350</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15630-2022</t>
        </is>
      </c>
      <c r="B2168" s="1" t="n">
        <v>44662</v>
      </c>
      <c r="C2168" s="1" t="n">
        <v>45350</v>
      </c>
      <c r="D2168" t="inlineStr">
        <is>
          <t>STOCKHOLMS LÄN</t>
        </is>
      </c>
      <c r="E2168" t="inlineStr">
        <is>
          <t>EKERÖ</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15825-2022</t>
        </is>
      </c>
      <c r="B2169" s="1" t="n">
        <v>44664</v>
      </c>
      <c r="C2169" s="1" t="n">
        <v>45350</v>
      </c>
      <c r="D2169" t="inlineStr">
        <is>
          <t>STOCKHOLMS LÄN</t>
        </is>
      </c>
      <c r="E2169" t="inlineStr">
        <is>
          <t>BOTKYRKA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15905-2022</t>
        </is>
      </c>
      <c r="B2170" s="1" t="n">
        <v>44664</v>
      </c>
      <c r="C2170" s="1" t="n">
        <v>45350</v>
      </c>
      <c r="D2170" t="inlineStr">
        <is>
          <t>STOCKHOLMS LÄN</t>
        </is>
      </c>
      <c r="E2170" t="inlineStr">
        <is>
          <t>BOTKYRKA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15861-2022</t>
        </is>
      </c>
      <c r="B2171" s="1" t="n">
        <v>44664</v>
      </c>
      <c r="C2171" s="1" t="n">
        <v>45350</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16117-2022</t>
        </is>
      </c>
      <c r="B2172" s="1" t="n">
        <v>44665</v>
      </c>
      <c r="C2172" s="1" t="n">
        <v>45350</v>
      </c>
      <c r="D2172" t="inlineStr">
        <is>
          <t>STOCKHOLMS LÄN</t>
        </is>
      </c>
      <c r="E2172" t="inlineStr">
        <is>
          <t>NORRTÄLJE</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16119-2022</t>
        </is>
      </c>
      <c r="B2173" s="1" t="n">
        <v>44665</v>
      </c>
      <c r="C2173" s="1" t="n">
        <v>45350</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16132-2022</t>
        </is>
      </c>
      <c r="B2174" s="1" t="n">
        <v>44665</v>
      </c>
      <c r="C2174" s="1" t="n">
        <v>45350</v>
      </c>
      <c r="D2174" t="inlineStr">
        <is>
          <t>STOCKHOLMS LÄN</t>
        </is>
      </c>
      <c r="E2174" t="inlineStr">
        <is>
          <t>NORRTÄLJE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16224-2022</t>
        </is>
      </c>
      <c r="B2175" s="1" t="n">
        <v>44670</v>
      </c>
      <c r="C2175" s="1" t="n">
        <v>45350</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16202-2022</t>
        </is>
      </c>
      <c r="B2176" s="1" t="n">
        <v>44670</v>
      </c>
      <c r="C2176" s="1" t="n">
        <v>45350</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16229-2022</t>
        </is>
      </c>
      <c r="B2177" s="1" t="n">
        <v>44670</v>
      </c>
      <c r="C2177" s="1" t="n">
        <v>45350</v>
      </c>
      <c r="D2177" t="inlineStr">
        <is>
          <t>STOCKHOLMS LÄN</t>
        </is>
      </c>
      <c r="E2177" t="inlineStr">
        <is>
          <t>NORRTÄLJE</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16242-2022</t>
        </is>
      </c>
      <c r="B2178" s="1" t="n">
        <v>44670</v>
      </c>
      <c r="C2178" s="1" t="n">
        <v>45350</v>
      </c>
      <c r="D2178" t="inlineStr">
        <is>
          <t>STOCKHOLMS LÄN</t>
        </is>
      </c>
      <c r="E2178" t="inlineStr">
        <is>
          <t>EKERÖ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16437-2022</t>
        </is>
      </c>
      <c r="B2179" s="1" t="n">
        <v>44671</v>
      </c>
      <c r="C2179" s="1" t="n">
        <v>45350</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16433-2022</t>
        </is>
      </c>
      <c r="B2180" s="1" t="n">
        <v>44671</v>
      </c>
      <c r="C2180" s="1" t="n">
        <v>45350</v>
      </c>
      <c r="D2180" t="inlineStr">
        <is>
          <t>STOCKHOLMS LÄN</t>
        </is>
      </c>
      <c r="E2180" t="inlineStr">
        <is>
          <t>SÖDERTÄLJE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16442-2022</t>
        </is>
      </c>
      <c r="B2181" s="1" t="n">
        <v>44671</v>
      </c>
      <c r="C2181" s="1" t="n">
        <v>45350</v>
      </c>
      <c r="D2181" t="inlineStr">
        <is>
          <t>STOCKHOLMS LÄN</t>
        </is>
      </c>
      <c r="E2181" t="inlineStr">
        <is>
          <t>NORRTÄLJE</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16534-2022</t>
        </is>
      </c>
      <c r="B2182" s="1" t="n">
        <v>44672</v>
      </c>
      <c r="C2182" s="1" t="n">
        <v>45350</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16724-2022</t>
        </is>
      </c>
      <c r="B2183" s="1" t="n">
        <v>44673</v>
      </c>
      <c r="C2183" s="1" t="n">
        <v>45350</v>
      </c>
      <c r="D2183" t="inlineStr">
        <is>
          <t>STOCKHOLMS LÄN</t>
        </is>
      </c>
      <c r="E2183" t="inlineStr">
        <is>
          <t>SÖDERTÄLJE</t>
        </is>
      </c>
      <c r="F2183" t="inlineStr">
        <is>
          <t>Övriga statliga verk och myndigheter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16803-2022</t>
        </is>
      </c>
      <c r="B2184" s="1" t="n">
        <v>44673</v>
      </c>
      <c r="C2184" s="1" t="n">
        <v>45350</v>
      </c>
      <c r="D2184" t="inlineStr">
        <is>
          <t>STOCKHOLMS LÄN</t>
        </is>
      </c>
      <c r="E2184" t="inlineStr">
        <is>
          <t>ÖSTERÅKER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16789-2022</t>
        </is>
      </c>
      <c r="B2185" s="1" t="n">
        <v>44673</v>
      </c>
      <c r="C2185" s="1" t="n">
        <v>45350</v>
      </c>
      <c r="D2185" t="inlineStr">
        <is>
          <t>STOCKHOLMS LÄN</t>
        </is>
      </c>
      <c r="E2185" t="inlineStr">
        <is>
          <t>ÖSTERÅKER</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16824-2022</t>
        </is>
      </c>
      <c r="B2186" s="1" t="n">
        <v>44673</v>
      </c>
      <c r="C2186" s="1" t="n">
        <v>45350</v>
      </c>
      <c r="D2186" t="inlineStr">
        <is>
          <t>STOCKHOLMS LÄN</t>
        </is>
      </c>
      <c r="E2186" t="inlineStr">
        <is>
          <t>ÖSTERÅKER</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16728-2022</t>
        </is>
      </c>
      <c r="B2187" s="1" t="n">
        <v>44673</v>
      </c>
      <c r="C2187" s="1" t="n">
        <v>45350</v>
      </c>
      <c r="D2187" t="inlineStr">
        <is>
          <t>STOCKHOLMS LÄN</t>
        </is>
      </c>
      <c r="E2187" t="inlineStr">
        <is>
          <t>ÖSTERÅKER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16738-2022</t>
        </is>
      </c>
      <c r="B2188" s="1" t="n">
        <v>44673</v>
      </c>
      <c r="C2188" s="1" t="n">
        <v>45350</v>
      </c>
      <c r="D2188" t="inlineStr">
        <is>
          <t>STOCKHOLMS LÄN</t>
        </is>
      </c>
      <c r="E2188" t="inlineStr">
        <is>
          <t>ÖSTERÅKER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16835-2022</t>
        </is>
      </c>
      <c r="B2189" s="1" t="n">
        <v>44673</v>
      </c>
      <c r="C2189" s="1" t="n">
        <v>45350</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17020-2022</t>
        </is>
      </c>
      <c r="B2190" s="1" t="n">
        <v>44676</v>
      </c>
      <c r="C2190" s="1" t="n">
        <v>45350</v>
      </c>
      <c r="D2190" t="inlineStr">
        <is>
          <t>STOCKHOLMS LÄN</t>
        </is>
      </c>
      <c r="E2190" t="inlineStr">
        <is>
          <t>HANINGE</t>
        </is>
      </c>
      <c r="F2190" t="inlineStr">
        <is>
          <t>Övriga statliga verk och myndigheter</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17023-2022</t>
        </is>
      </c>
      <c r="B2191" s="1" t="n">
        <v>44676</v>
      </c>
      <c r="C2191" s="1" t="n">
        <v>45350</v>
      </c>
      <c r="D2191" t="inlineStr">
        <is>
          <t>STOCKHOLMS LÄN</t>
        </is>
      </c>
      <c r="E2191" t="inlineStr">
        <is>
          <t>HANINGE</t>
        </is>
      </c>
      <c r="F2191" t="inlineStr">
        <is>
          <t>Övriga statliga verk och myndigheter</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17173-2022</t>
        </is>
      </c>
      <c r="B2192" s="1" t="n">
        <v>44677</v>
      </c>
      <c r="C2192" s="1" t="n">
        <v>45350</v>
      </c>
      <c r="D2192" t="inlineStr">
        <is>
          <t>STOCKHOLMS LÄN</t>
        </is>
      </c>
      <c r="E2192" t="inlineStr">
        <is>
          <t>ÖSTERÅKER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17196-2022</t>
        </is>
      </c>
      <c r="B2193" s="1" t="n">
        <v>44677</v>
      </c>
      <c r="C2193" s="1" t="n">
        <v>45350</v>
      </c>
      <c r="D2193" t="inlineStr">
        <is>
          <t>STOCKHOLMS LÄN</t>
        </is>
      </c>
      <c r="E2193" t="inlineStr">
        <is>
          <t>ÖSTERÅKER</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17184-2022</t>
        </is>
      </c>
      <c r="B2194" s="1" t="n">
        <v>44677</v>
      </c>
      <c r="C2194" s="1" t="n">
        <v>45350</v>
      </c>
      <c r="D2194" t="inlineStr">
        <is>
          <t>STOCKHOLMS LÄN</t>
        </is>
      </c>
      <c r="E2194" t="inlineStr">
        <is>
          <t>ÖSTERÅKER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17263-2022</t>
        </is>
      </c>
      <c r="B2195" s="1" t="n">
        <v>44678</v>
      </c>
      <c r="C2195" s="1" t="n">
        <v>45350</v>
      </c>
      <c r="D2195" t="inlineStr">
        <is>
          <t>STOCKHOLMS LÄN</t>
        </is>
      </c>
      <c r="E2195" t="inlineStr">
        <is>
          <t>ÖSTERÅKER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17391-2022</t>
        </is>
      </c>
      <c r="B2196" s="1" t="n">
        <v>44678</v>
      </c>
      <c r="C2196" s="1" t="n">
        <v>45350</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17286-2022</t>
        </is>
      </c>
      <c r="B2197" s="1" t="n">
        <v>44678</v>
      </c>
      <c r="C2197" s="1" t="n">
        <v>45350</v>
      </c>
      <c r="D2197" t="inlineStr">
        <is>
          <t>STOCKHOLMS LÄN</t>
        </is>
      </c>
      <c r="E2197" t="inlineStr">
        <is>
          <t>SIGTUNA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17388-2022</t>
        </is>
      </c>
      <c r="B2198" s="1" t="n">
        <v>44678</v>
      </c>
      <c r="C2198" s="1" t="n">
        <v>45350</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17390-2022</t>
        </is>
      </c>
      <c r="B2199" s="1" t="n">
        <v>44678</v>
      </c>
      <c r="C2199" s="1" t="n">
        <v>45350</v>
      </c>
      <c r="D2199" t="inlineStr">
        <is>
          <t>STOCKHOLMS LÄN</t>
        </is>
      </c>
      <c r="E2199" t="inlineStr">
        <is>
          <t>NORRTÄLJE</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17634-2022</t>
        </is>
      </c>
      <c r="B2200" s="1" t="n">
        <v>44680</v>
      </c>
      <c r="C2200" s="1" t="n">
        <v>45350</v>
      </c>
      <c r="D2200" t="inlineStr">
        <is>
          <t>STOCKHOLMS LÄN</t>
        </is>
      </c>
      <c r="E2200" t="inlineStr">
        <is>
          <t>NYNÄSHAMN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17612-2022</t>
        </is>
      </c>
      <c r="B2201" s="1" t="n">
        <v>44680</v>
      </c>
      <c r="C2201" s="1" t="n">
        <v>45350</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17629-2022</t>
        </is>
      </c>
      <c r="B2202" s="1" t="n">
        <v>44680</v>
      </c>
      <c r="C2202" s="1" t="n">
        <v>45350</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17789-2022</t>
        </is>
      </c>
      <c r="B2203" s="1" t="n">
        <v>44680</v>
      </c>
      <c r="C2203" s="1" t="n">
        <v>45350</v>
      </c>
      <c r="D2203" t="inlineStr">
        <is>
          <t>STOCKHOLMS LÄN</t>
        </is>
      </c>
      <c r="E2203" t="inlineStr">
        <is>
          <t>BOTKYRKA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17771-2022</t>
        </is>
      </c>
      <c r="B2204" s="1" t="n">
        <v>44682</v>
      </c>
      <c r="C2204" s="1" t="n">
        <v>45350</v>
      </c>
      <c r="D2204" t="inlineStr">
        <is>
          <t>STOCKHOLMS LÄN</t>
        </is>
      </c>
      <c r="E2204" t="inlineStr">
        <is>
          <t>NORRTÄLJE</t>
        </is>
      </c>
      <c r="G2204" t="n">
        <v>13.3</v>
      </c>
      <c r="H2204" t="n">
        <v>0</v>
      </c>
      <c r="I2204" t="n">
        <v>0</v>
      </c>
      <c r="J2204" t="n">
        <v>0</v>
      </c>
      <c r="K2204" t="n">
        <v>0</v>
      </c>
      <c r="L2204" t="n">
        <v>0</v>
      </c>
      <c r="M2204" t="n">
        <v>0</v>
      </c>
      <c r="N2204" t="n">
        <v>0</v>
      </c>
      <c r="O2204" t="n">
        <v>0</v>
      </c>
      <c r="P2204" t="n">
        <v>0</v>
      </c>
      <c r="Q2204" t="n">
        <v>0</v>
      </c>
      <c r="R2204" s="2" t="inlineStr"/>
    </row>
    <row r="2205" ht="15" customHeight="1">
      <c r="A2205" t="inlineStr">
        <is>
          <t>A 17775-2022</t>
        </is>
      </c>
      <c r="B2205" s="1" t="n">
        <v>44682</v>
      </c>
      <c r="C2205" s="1" t="n">
        <v>45350</v>
      </c>
      <c r="D2205" t="inlineStr">
        <is>
          <t>STOCKHOLMS LÄN</t>
        </is>
      </c>
      <c r="E2205" t="inlineStr">
        <is>
          <t>NORRTÄLJE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17773-2022</t>
        </is>
      </c>
      <c r="B2206" s="1" t="n">
        <v>44682</v>
      </c>
      <c r="C2206" s="1" t="n">
        <v>45350</v>
      </c>
      <c r="D2206" t="inlineStr">
        <is>
          <t>STOCKHOLMS LÄN</t>
        </is>
      </c>
      <c r="E2206" t="inlineStr">
        <is>
          <t>NORRTÄLJE</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17772-2022</t>
        </is>
      </c>
      <c r="B2207" s="1" t="n">
        <v>44682</v>
      </c>
      <c r="C2207" s="1" t="n">
        <v>45350</v>
      </c>
      <c r="D2207" t="inlineStr">
        <is>
          <t>STOCKHOLMS LÄN</t>
        </is>
      </c>
      <c r="E2207" t="inlineStr">
        <is>
          <t>NORRTÄLJE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17777-2022</t>
        </is>
      </c>
      <c r="B2208" s="1" t="n">
        <v>44682</v>
      </c>
      <c r="C2208" s="1" t="n">
        <v>45350</v>
      </c>
      <c r="D2208" t="inlineStr">
        <is>
          <t>STOCKHOLMS LÄN</t>
        </is>
      </c>
      <c r="E2208" t="inlineStr">
        <is>
          <t>NORRTÄLJE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17803-2022</t>
        </is>
      </c>
      <c r="B2209" s="1" t="n">
        <v>44683</v>
      </c>
      <c r="C2209" s="1" t="n">
        <v>45350</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17952-2022</t>
        </is>
      </c>
      <c r="B2210" s="1" t="n">
        <v>44683</v>
      </c>
      <c r="C2210" s="1" t="n">
        <v>45350</v>
      </c>
      <c r="D2210" t="inlineStr">
        <is>
          <t>STOCKHOLMS LÄN</t>
        </is>
      </c>
      <c r="E2210" t="inlineStr">
        <is>
          <t>NORRTÄLJE</t>
        </is>
      </c>
      <c r="G2210" t="n">
        <v>51.1</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45350</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18103-2022</t>
        </is>
      </c>
      <c r="B2212" s="1" t="n">
        <v>44684</v>
      </c>
      <c r="C2212" s="1" t="n">
        <v>45350</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18091-2022</t>
        </is>
      </c>
      <c r="B2213" s="1" t="n">
        <v>44684</v>
      </c>
      <c r="C2213" s="1" t="n">
        <v>45350</v>
      </c>
      <c r="D2213" t="inlineStr">
        <is>
          <t>STOCKHOLMS LÄN</t>
        </is>
      </c>
      <c r="E2213" t="inlineStr">
        <is>
          <t>ÖSTERÅKER</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18093-2022</t>
        </is>
      </c>
      <c r="B2214" s="1" t="n">
        <v>44684</v>
      </c>
      <c r="C2214" s="1" t="n">
        <v>45350</v>
      </c>
      <c r="D2214" t="inlineStr">
        <is>
          <t>STOCKHOLMS LÄN</t>
        </is>
      </c>
      <c r="E2214" t="inlineStr">
        <is>
          <t>BOTKYRKA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18350-2022</t>
        </is>
      </c>
      <c r="B2215" s="1" t="n">
        <v>44685</v>
      </c>
      <c r="C2215" s="1" t="n">
        <v>45350</v>
      </c>
      <c r="D2215" t="inlineStr">
        <is>
          <t>STOCKHOLMS LÄN</t>
        </is>
      </c>
      <c r="E2215" t="inlineStr">
        <is>
          <t>NORRTÄLJE</t>
        </is>
      </c>
      <c r="F2215" t="inlineStr">
        <is>
          <t>Holmen skog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18546-2022</t>
        </is>
      </c>
      <c r="B2216" s="1" t="n">
        <v>44686</v>
      </c>
      <c r="C2216" s="1" t="n">
        <v>45350</v>
      </c>
      <c r="D2216" t="inlineStr">
        <is>
          <t>STOCKHOLMS LÄN</t>
        </is>
      </c>
      <c r="E2216" t="inlineStr">
        <is>
          <t>NORRTÄLJE</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18665-2022</t>
        </is>
      </c>
      <c r="B2217" s="1" t="n">
        <v>44687</v>
      </c>
      <c r="C2217" s="1" t="n">
        <v>45350</v>
      </c>
      <c r="D2217" t="inlineStr">
        <is>
          <t>STOCKHOLMS LÄN</t>
        </is>
      </c>
      <c r="E2217" t="inlineStr">
        <is>
          <t>NORRTÄLJE</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18787-2022</t>
        </is>
      </c>
      <c r="B2218" s="1" t="n">
        <v>44687</v>
      </c>
      <c r="C2218" s="1" t="n">
        <v>45350</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18846-2022</t>
        </is>
      </c>
      <c r="B2219" s="1" t="n">
        <v>44690</v>
      </c>
      <c r="C2219" s="1" t="n">
        <v>45350</v>
      </c>
      <c r="D2219" t="inlineStr">
        <is>
          <t>STOCKHOLMS LÄN</t>
        </is>
      </c>
      <c r="E2219" t="inlineStr">
        <is>
          <t>NORRTÄLJE</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18905-2022</t>
        </is>
      </c>
      <c r="B2220" s="1" t="n">
        <v>44690</v>
      </c>
      <c r="C2220" s="1" t="n">
        <v>45350</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18894-2022</t>
        </is>
      </c>
      <c r="B2221" s="1" t="n">
        <v>44690</v>
      </c>
      <c r="C2221" s="1" t="n">
        <v>45350</v>
      </c>
      <c r="D2221" t="inlineStr">
        <is>
          <t>STOCKHOLMS LÄN</t>
        </is>
      </c>
      <c r="E2221" t="inlineStr">
        <is>
          <t>NORRTÄLJE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19116-2022</t>
        </is>
      </c>
      <c r="B2222" s="1" t="n">
        <v>44691</v>
      </c>
      <c r="C2222" s="1" t="n">
        <v>45350</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19118-2022</t>
        </is>
      </c>
      <c r="B2223" s="1" t="n">
        <v>44691</v>
      </c>
      <c r="C2223" s="1" t="n">
        <v>45350</v>
      </c>
      <c r="D2223" t="inlineStr">
        <is>
          <t>STOCKHOLMS LÄN</t>
        </is>
      </c>
      <c r="E2223" t="inlineStr">
        <is>
          <t>NORRTÄLJE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19337-2022</t>
        </is>
      </c>
      <c r="B2224" s="1" t="n">
        <v>44692</v>
      </c>
      <c r="C2224" s="1" t="n">
        <v>45350</v>
      </c>
      <c r="D2224" t="inlineStr">
        <is>
          <t>STOCKHOLMS LÄN</t>
        </is>
      </c>
      <c r="E2224" t="inlineStr">
        <is>
          <t>UPPLANDS VÄSBY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19580-2022</t>
        </is>
      </c>
      <c r="B2225" s="1" t="n">
        <v>44693</v>
      </c>
      <c r="C2225" s="1" t="n">
        <v>45350</v>
      </c>
      <c r="D2225" t="inlineStr">
        <is>
          <t>STOCKHOLMS LÄN</t>
        </is>
      </c>
      <c r="E2225" t="inlineStr">
        <is>
          <t>NORRTÄLJE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19608-2022</t>
        </is>
      </c>
      <c r="B2226" s="1" t="n">
        <v>44694</v>
      </c>
      <c r="C2226" s="1" t="n">
        <v>45350</v>
      </c>
      <c r="D2226" t="inlineStr">
        <is>
          <t>STOCKHOLMS LÄN</t>
        </is>
      </c>
      <c r="E2226" t="inlineStr">
        <is>
          <t>NYKVARN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19729-2022</t>
        </is>
      </c>
      <c r="B2227" s="1" t="n">
        <v>44694</v>
      </c>
      <c r="C2227" s="1" t="n">
        <v>45350</v>
      </c>
      <c r="D2227" t="inlineStr">
        <is>
          <t>STOCKHOLMS LÄN</t>
        </is>
      </c>
      <c r="E2227" t="inlineStr">
        <is>
          <t>NORRTÄLJE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19652-2022</t>
        </is>
      </c>
      <c r="B2228" s="1" t="n">
        <v>44694</v>
      </c>
      <c r="C2228" s="1" t="n">
        <v>45350</v>
      </c>
      <c r="D2228" t="inlineStr">
        <is>
          <t>STOCKHOLMS LÄN</t>
        </is>
      </c>
      <c r="E2228" t="inlineStr">
        <is>
          <t>HANINGE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19728-2022</t>
        </is>
      </c>
      <c r="B2229" s="1" t="n">
        <v>44694</v>
      </c>
      <c r="C2229" s="1" t="n">
        <v>45350</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19944-2022</t>
        </is>
      </c>
      <c r="B2230" s="1" t="n">
        <v>44697</v>
      </c>
      <c r="C2230" s="1" t="n">
        <v>45350</v>
      </c>
      <c r="D2230" t="inlineStr">
        <is>
          <t>STOCKHOLMS LÄN</t>
        </is>
      </c>
      <c r="E2230" t="inlineStr">
        <is>
          <t>ÖSTERÅKER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19982-2022</t>
        </is>
      </c>
      <c r="B2231" s="1" t="n">
        <v>44697</v>
      </c>
      <c r="C2231" s="1" t="n">
        <v>45350</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20016-2022</t>
        </is>
      </c>
      <c r="B2232" s="1" t="n">
        <v>44697</v>
      </c>
      <c r="C2232" s="1" t="n">
        <v>45350</v>
      </c>
      <c r="D2232" t="inlineStr">
        <is>
          <t>STOCKHOLMS LÄN</t>
        </is>
      </c>
      <c r="E2232" t="inlineStr">
        <is>
          <t>SÖDERTÄLJE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19983-2022</t>
        </is>
      </c>
      <c r="B2233" s="1" t="n">
        <v>44697</v>
      </c>
      <c r="C2233" s="1" t="n">
        <v>45350</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19934-2022</t>
        </is>
      </c>
      <c r="B2234" s="1" t="n">
        <v>44697</v>
      </c>
      <c r="C2234" s="1" t="n">
        <v>45350</v>
      </c>
      <c r="D2234" t="inlineStr">
        <is>
          <t>STOCKHOLMS LÄN</t>
        </is>
      </c>
      <c r="E2234" t="inlineStr">
        <is>
          <t>ÖSTERÅKER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19995-2022</t>
        </is>
      </c>
      <c r="B2235" s="1" t="n">
        <v>44697</v>
      </c>
      <c r="C2235" s="1" t="n">
        <v>45350</v>
      </c>
      <c r="D2235" t="inlineStr">
        <is>
          <t>STOCKHOLMS LÄN</t>
        </is>
      </c>
      <c r="E2235" t="inlineStr">
        <is>
          <t>SIGTUNA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20121-2022</t>
        </is>
      </c>
      <c r="B2236" s="1" t="n">
        <v>44698</v>
      </c>
      <c r="C2236" s="1" t="n">
        <v>45350</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20129-2022</t>
        </is>
      </c>
      <c r="B2237" s="1" t="n">
        <v>44698</v>
      </c>
      <c r="C2237" s="1" t="n">
        <v>45350</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20291-2022</t>
        </is>
      </c>
      <c r="B2238" s="1" t="n">
        <v>44698</v>
      </c>
      <c r="C2238" s="1" t="n">
        <v>45350</v>
      </c>
      <c r="D2238" t="inlineStr">
        <is>
          <t>STOCKHOLMS LÄN</t>
        </is>
      </c>
      <c r="E2238" t="inlineStr">
        <is>
          <t>NORRTÄLJE</t>
        </is>
      </c>
      <c r="F2238" t="inlineStr">
        <is>
          <t>Naturvårdsverket</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20294-2022</t>
        </is>
      </c>
      <c r="B2239" s="1" t="n">
        <v>44698</v>
      </c>
      <c r="C2239" s="1" t="n">
        <v>45350</v>
      </c>
      <c r="D2239" t="inlineStr">
        <is>
          <t>STOCKHOLMS LÄN</t>
        </is>
      </c>
      <c r="E2239" t="inlineStr">
        <is>
          <t>NORRTÄLJE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20295-2022</t>
        </is>
      </c>
      <c r="B2240" s="1" t="n">
        <v>44698</v>
      </c>
      <c r="C2240" s="1" t="n">
        <v>45350</v>
      </c>
      <c r="D2240" t="inlineStr">
        <is>
          <t>STOCKHOLMS LÄN</t>
        </is>
      </c>
      <c r="E2240" t="inlineStr">
        <is>
          <t>NORRTÄLJE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20411-2022</t>
        </is>
      </c>
      <c r="B2241" s="1" t="n">
        <v>44699</v>
      </c>
      <c r="C2241" s="1" t="n">
        <v>45350</v>
      </c>
      <c r="D2241" t="inlineStr">
        <is>
          <t>STOCKHOLMS LÄN</t>
        </is>
      </c>
      <c r="E2241" t="inlineStr">
        <is>
          <t>SÖDERTÄLJE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20604-2022</t>
        </is>
      </c>
      <c r="B2242" s="1" t="n">
        <v>44700</v>
      </c>
      <c r="C2242" s="1" t="n">
        <v>45350</v>
      </c>
      <c r="D2242" t="inlineStr">
        <is>
          <t>STOCKHOLMS LÄN</t>
        </is>
      </c>
      <c r="E2242" t="inlineStr">
        <is>
          <t>UPPLANDS-BRO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20618-2022</t>
        </is>
      </c>
      <c r="B2243" s="1" t="n">
        <v>44700</v>
      </c>
      <c r="C2243" s="1" t="n">
        <v>45350</v>
      </c>
      <c r="D2243" t="inlineStr">
        <is>
          <t>STOCKHOLMS LÄN</t>
        </is>
      </c>
      <c r="E2243" t="inlineStr">
        <is>
          <t>NORRTÄLJE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20641-2022</t>
        </is>
      </c>
      <c r="B2244" s="1" t="n">
        <v>44700</v>
      </c>
      <c r="C2244" s="1" t="n">
        <v>45350</v>
      </c>
      <c r="D2244" t="inlineStr">
        <is>
          <t>STOCKHOLMS LÄN</t>
        </is>
      </c>
      <c r="E2244" t="inlineStr">
        <is>
          <t>VÄRMDÖ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20649-2022</t>
        </is>
      </c>
      <c r="B2245" s="1" t="n">
        <v>44700</v>
      </c>
      <c r="C2245" s="1" t="n">
        <v>45350</v>
      </c>
      <c r="D2245" t="inlineStr">
        <is>
          <t>STOCKHOLMS LÄN</t>
        </is>
      </c>
      <c r="E2245" t="inlineStr">
        <is>
          <t>BOTKYRKA</t>
        </is>
      </c>
      <c r="F2245" t="inlineStr">
        <is>
          <t>Övriga Aktiebolag</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20607-2022</t>
        </is>
      </c>
      <c r="B2246" s="1" t="n">
        <v>44700</v>
      </c>
      <c r="C2246" s="1" t="n">
        <v>45350</v>
      </c>
      <c r="D2246" t="inlineStr">
        <is>
          <t>STOCKHOLMS LÄN</t>
        </is>
      </c>
      <c r="E2246" t="inlineStr">
        <is>
          <t>UPPLANDS-BRO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21102-2022</t>
        </is>
      </c>
      <c r="B2247" s="1" t="n">
        <v>44704</v>
      </c>
      <c r="C2247" s="1" t="n">
        <v>45350</v>
      </c>
      <c r="D2247" t="inlineStr">
        <is>
          <t>STOCKHOLMS LÄN</t>
        </is>
      </c>
      <c r="E2247" t="inlineStr">
        <is>
          <t>NORRTÄLJE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21158-2022</t>
        </is>
      </c>
      <c r="B2248" s="1" t="n">
        <v>44704</v>
      </c>
      <c r="C2248" s="1" t="n">
        <v>45350</v>
      </c>
      <c r="D2248" t="inlineStr">
        <is>
          <t>STOCKHOLMS LÄN</t>
        </is>
      </c>
      <c r="E2248" t="inlineStr">
        <is>
          <t>NORRTÄLJE</t>
        </is>
      </c>
      <c r="G2248" t="n">
        <v>17.8</v>
      </c>
      <c r="H2248" t="n">
        <v>0</v>
      </c>
      <c r="I2248" t="n">
        <v>0</v>
      </c>
      <c r="J2248" t="n">
        <v>0</v>
      </c>
      <c r="K2248" t="n">
        <v>0</v>
      </c>
      <c r="L2248" t="n">
        <v>0</v>
      </c>
      <c r="M2248" t="n">
        <v>0</v>
      </c>
      <c r="N2248" t="n">
        <v>0</v>
      </c>
      <c r="O2248" t="n">
        <v>0</v>
      </c>
      <c r="P2248" t="n">
        <v>0</v>
      </c>
      <c r="Q2248" t="n">
        <v>0</v>
      </c>
      <c r="R2248" s="2" t="inlineStr"/>
    </row>
    <row r="2249" ht="15" customHeight="1">
      <c r="A2249" t="inlineStr">
        <is>
          <t>A 21174-2022</t>
        </is>
      </c>
      <c r="B2249" s="1" t="n">
        <v>44704</v>
      </c>
      <c r="C2249" s="1" t="n">
        <v>45350</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21480-2022</t>
        </is>
      </c>
      <c r="B2250" s="1" t="n">
        <v>44704</v>
      </c>
      <c r="C2250" s="1" t="n">
        <v>45350</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21178-2022</t>
        </is>
      </c>
      <c r="B2251" s="1" t="n">
        <v>44704</v>
      </c>
      <c r="C2251" s="1" t="n">
        <v>45350</v>
      </c>
      <c r="D2251" t="inlineStr">
        <is>
          <t>STOCKHOLMS LÄN</t>
        </is>
      </c>
      <c r="E2251" t="inlineStr">
        <is>
          <t>NORRTÄLJE</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21329-2022</t>
        </is>
      </c>
      <c r="B2252" s="1" t="n">
        <v>44705</v>
      </c>
      <c r="C2252" s="1" t="n">
        <v>45350</v>
      </c>
      <c r="D2252" t="inlineStr">
        <is>
          <t>STOCKHOLMS LÄN</t>
        </is>
      </c>
      <c r="E2252" t="inlineStr">
        <is>
          <t>NORRTÄLJE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21472-2022</t>
        </is>
      </c>
      <c r="B2253" s="1" t="n">
        <v>44706</v>
      </c>
      <c r="C2253" s="1" t="n">
        <v>45350</v>
      </c>
      <c r="D2253" t="inlineStr">
        <is>
          <t>STOCKHOLMS LÄN</t>
        </is>
      </c>
      <c r="E2253" t="inlineStr">
        <is>
          <t>NACKA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21267-2022</t>
        </is>
      </c>
      <c r="B2254" s="1" t="n">
        <v>44706</v>
      </c>
      <c r="C2254" s="1" t="n">
        <v>45350</v>
      </c>
      <c r="D2254" t="inlineStr">
        <is>
          <t>STOCKHOLMS LÄN</t>
        </is>
      </c>
      <c r="E2254" t="inlineStr">
        <is>
          <t>NACKA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21739-2022</t>
        </is>
      </c>
      <c r="B2255" s="1" t="n">
        <v>44708</v>
      </c>
      <c r="C2255" s="1" t="n">
        <v>45350</v>
      </c>
      <c r="D2255" t="inlineStr">
        <is>
          <t>STOCKHOLMS LÄN</t>
        </is>
      </c>
      <c r="E2255" t="inlineStr">
        <is>
          <t>NORRTÄLJE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21723-2022</t>
        </is>
      </c>
      <c r="B2256" s="1" t="n">
        <v>44708</v>
      </c>
      <c r="C2256" s="1" t="n">
        <v>45350</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21726-2022</t>
        </is>
      </c>
      <c r="B2257" s="1" t="n">
        <v>44708</v>
      </c>
      <c r="C2257" s="1" t="n">
        <v>45350</v>
      </c>
      <c r="D2257" t="inlineStr">
        <is>
          <t>STOCKHOLMS LÄN</t>
        </is>
      </c>
      <c r="E2257" t="inlineStr">
        <is>
          <t>NORRTÄLJE</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21803-2022</t>
        </is>
      </c>
      <c r="B2258" s="1" t="n">
        <v>44708</v>
      </c>
      <c r="C2258" s="1" t="n">
        <v>45350</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21888-2022</t>
        </is>
      </c>
      <c r="B2259" s="1" t="n">
        <v>44709</v>
      </c>
      <c r="C2259" s="1" t="n">
        <v>45350</v>
      </c>
      <c r="D2259" t="inlineStr">
        <is>
          <t>STOCKHOLMS LÄN</t>
        </is>
      </c>
      <c r="E2259" t="inlineStr">
        <is>
          <t>NACKA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21970-2022</t>
        </is>
      </c>
      <c r="B2260" s="1" t="n">
        <v>44711</v>
      </c>
      <c r="C2260" s="1" t="n">
        <v>45350</v>
      </c>
      <c r="D2260" t="inlineStr">
        <is>
          <t>STOCKHOLMS LÄN</t>
        </is>
      </c>
      <c r="E2260" t="inlineStr">
        <is>
          <t>NORRTÄLJE</t>
        </is>
      </c>
      <c r="F2260" t="inlineStr">
        <is>
          <t>Holmen skog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22068-2022</t>
        </is>
      </c>
      <c r="B2261" s="1" t="n">
        <v>44711</v>
      </c>
      <c r="C2261" s="1" t="n">
        <v>45350</v>
      </c>
      <c r="D2261" t="inlineStr">
        <is>
          <t>STOCKHOLMS LÄN</t>
        </is>
      </c>
      <c r="E2261" t="inlineStr">
        <is>
          <t>NACKA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22072-2022</t>
        </is>
      </c>
      <c r="B2262" s="1" t="n">
        <v>44711</v>
      </c>
      <c r="C2262" s="1" t="n">
        <v>45350</v>
      </c>
      <c r="D2262" t="inlineStr">
        <is>
          <t>STOCKHOLMS LÄN</t>
        </is>
      </c>
      <c r="E2262" t="inlineStr">
        <is>
          <t>NORRTÄLJE</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22071-2022</t>
        </is>
      </c>
      <c r="B2263" s="1" t="n">
        <v>44711</v>
      </c>
      <c r="C2263" s="1" t="n">
        <v>45350</v>
      </c>
      <c r="D2263" t="inlineStr">
        <is>
          <t>STOCKHOLMS LÄN</t>
        </is>
      </c>
      <c r="E2263" t="inlineStr">
        <is>
          <t>NORRTÄLJE</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22269-2022</t>
        </is>
      </c>
      <c r="B2264" s="1" t="n">
        <v>44712</v>
      </c>
      <c r="C2264" s="1" t="n">
        <v>45350</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22316-2022</t>
        </is>
      </c>
      <c r="B2265" s="1" t="n">
        <v>44712</v>
      </c>
      <c r="C2265" s="1" t="n">
        <v>45350</v>
      </c>
      <c r="D2265" t="inlineStr">
        <is>
          <t>STOCKHOLMS LÄN</t>
        </is>
      </c>
      <c r="E2265" t="inlineStr">
        <is>
          <t>NORRTÄLJE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22503-2022</t>
        </is>
      </c>
      <c r="B2266" s="1" t="n">
        <v>44713</v>
      </c>
      <c r="C2266" s="1" t="n">
        <v>45350</v>
      </c>
      <c r="D2266" t="inlineStr">
        <is>
          <t>STOCKHOLMS LÄN</t>
        </is>
      </c>
      <c r="E2266" t="inlineStr">
        <is>
          <t>NORRTÄLJE</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22531-2022</t>
        </is>
      </c>
      <c r="B2267" s="1" t="n">
        <v>44713</v>
      </c>
      <c r="C2267" s="1" t="n">
        <v>45350</v>
      </c>
      <c r="D2267" t="inlineStr">
        <is>
          <t>STOCKHOLMS LÄN</t>
        </is>
      </c>
      <c r="E2267" t="inlineStr">
        <is>
          <t>NYKVARN</t>
        </is>
      </c>
      <c r="F2267" t="inlineStr">
        <is>
          <t>Allmännings- och besparingsskogar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22529-2022</t>
        </is>
      </c>
      <c r="B2268" s="1" t="n">
        <v>44713</v>
      </c>
      <c r="C2268" s="1" t="n">
        <v>45350</v>
      </c>
      <c r="D2268" t="inlineStr">
        <is>
          <t>STOCKHOLMS LÄN</t>
        </is>
      </c>
      <c r="E2268" t="inlineStr">
        <is>
          <t>NYKVARN</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22697-2022</t>
        </is>
      </c>
      <c r="B2269" s="1" t="n">
        <v>44714</v>
      </c>
      <c r="C2269" s="1" t="n">
        <v>45350</v>
      </c>
      <c r="D2269" t="inlineStr">
        <is>
          <t>STOCKHOLMS LÄN</t>
        </is>
      </c>
      <c r="E2269" t="inlineStr">
        <is>
          <t>NORRTÄLJE</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22628-2022</t>
        </is>
      </c>
      <c r="B2270" s="1" t="n">
        <v>44714</v>
      </c>
      <c r="C2270" s="1" t="n">
        <v>45350</v>
      </c>
      <c r="D2270" t="inlineStr">
        <is>
          <t>STOCKHOLMS LÄN</t>
        </is>
      </c>
      <c r="E2270" t="inlineStr">
        <is>
          <t>NORRTÄLJE</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22636-2022</t>
        </is>
      </c>
      <c r="B2271" s="1" t="n">
        <v>44714</v>
      </c>
      <c r="C2271" s="1" t="n">
        <v>45350</v>
      </c>
      <c r="D2271" t="inlineStr">
        <is>
          <t>STOCKHOLMS LÄN</t>
        </is>
      </c>
      <c r="E2271" t="inlineStr">
        <is>
          <t>NORRTÄLJE</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22716-2022</t>
        </is>
      </c>
      <c r="B2272" s="1" t="n">
        <v>44714</v>
      </c>
      <c r="C2272" s="1" t="n">
        <v>45350</v>
      </c>
      <c r="D2272" t="inlineStr">
        <is>
          <t>STOCKHOLMS LÄN</t>
        </is>
      </c>
      <c r="E2272" t="inlineStr">
        <is>
          <t>NORRTÄLJE</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22756-2022</t>
        </is>
      </c>
      <c r="B2273" s="1" t="n">
        <v>44715</v>
      </c>
      <c r="C2273" s="1" t="n">
        <v>45350</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23125-2022</t>
        </is>
      </c>
      <c r="B2274" s="1" t="n">
        <v>44719</v>
      </c>
      <c r="C2274" s="1" t="n">
        <v>45350</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23456-2022</t>
        </is>
      </c>
      <c r="B2275" s="1" t="n">
        <v>44720</v>
      </c>
      <c r="C2275" s="1" t="n">
        <v>45350</v>
      </c>
      <c r="D2275" t="inlineStr">
        <is>
          <t>STOCKHOLMS LÄN</t>
        </is>
      </c>
      <c r="E2275" t="inlineStr">
        <is>
          <t>NYKVARN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23770-2022</t>
        </is>
      </c>
      <c r="B2276" s="1" t="n">
        <v>44722</v>
      </c>
      <c r="C2276" s="1" t="n">
        <v>45350</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23801-2022</t>
        </is>
      </c>
      <c r="B2277" s="1" t="n">
        <v>44722</v>
      </c>
      <c r="C2277" s="1" t="n">
        <v>45350</v>
      </c>
      <c r="D2277" t="inlineStr">
        <is>
          <t>STOCKHOLMS LÄN</t>
        </is>
      </c>
      <c r="E2277" t="inlineStr">
        <is>
          <t>NORRTÄLJE</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23956-2022</t>
        </is>
      </c>
      <c r="B2278" s="1" t="n">
        <v>44722</v>
      </c>
      <c r="C2278" s="1" t="n">
        <v>45350</v>
      </c>
      <c r="D2278" t="inlineStr">
        <is>
          <t>STOCKHOLMS LÄN</t>
        </is>
      </c>
      <c r="E2278" t="inlineStr">
        <is>
          <t>SÖDERTÄLJE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24034-2022</t>
        </is>
      </c>
      <c r="B2279" s="1" t="n">
        <v>44724</v>
      </c>
      <c r="C2279" s="1" t="n">
        <v>45350</v>
      </c>
      <c r="D2279" t="inlineStr">
        <is>
          <t>STOCKHOLMS LÄN</t>
        </is>
      </c>
      <c r="E2279" t="inlineStr">
        <is>
          <t>SÖDERTÄLJE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24101-2022</t>
        </is>
      </c>
      <c r="B2280" s="1" t="n">
        <v>44725</v>
      </c>
      <c r="C2280" s="1" t="n">
        <v>45350</v>
      </c>
      <c r="D2280" t="inlineStr">
        <is>
          <t>STOCKHOLMS LÄN</t>
        </is>
      </c>
      <c r="E2280" t="inlineStr">
        <is>
          <t>NORRTÄLJE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24162-2022</t>
        </is>
      </c>
      <c r="B2281" s="1" t="n">
        <v>44725</v>
      </c>
      <c r="C2281" s="1" t="n">
        <v>45350</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24167-2022</t>
        </is>
      </c>
      <c r="B2282" s="1" t="n">
        <v>44725</v>
      </c>
      <c r="C2282" s="1" t="n">
        <v>45350</v>
      </c>
      <c r="D2282" t="inlineStr">
        <is>
          <t>STOCKHOLMS LÄN</t>
        </is>
      </c>
      <c r="E2282" t="inlineStr">
        <is>
          <t>NORRTÄLJE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24152-2022</t>
        </is>
      </c>
      <c r="B2283" s="1" t="n">
        <v>44725</v>
      </c>
      <c r="C2283" s="1" t="n">
        <v>45350</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24283-2022</t>
        </is>
      </c>
      <c r="B2284" s="1" t="n">
        <v>44725</v>
      </c>
      <c r="C2284" s="1" t="n">
        <v>45350</v>
      </c>
      <c r="D2284" t="inlineStr">
        <is>
          <t>STOCKHOLMS LÄN</t>
        </is>
      </c>
      <c r="E2284" t="inlineStr">
        <is>
          <t>NYKVARN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24281-2022</t>
        </is>
      </c>
      <c r="B2285" s="1" t="n">
        <v>44725</v>
      </c>
      <c r="C2285" s="1" t="n">
        <v>45350</v>
      </c>
      <c r="D2285" t="inlineStr">
        <is>
          <t>STOCKHOLMS LÄN</t>
        </is>
      </c>
      <c r="E2285" t="inlineStr">
        <is>
          <t>NYKVARN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24656-2022</t>
        </is>
      </c>
      <c r="B2286" s="1" t="n">
        <v>44726</v>
      </c>
      <c r="C2286" s="1" t="n">
        <v>45350</v>
      </c>
      <c r="D2286" t="inlineStr">
        <is>
          <t>STOCKHOLMS LÄN</t>
        </is>
      </c>
      <c r="E2286" t="inlineStr">
        <is>
          <t>NYKVARN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24534-2022</t>
        </is>
      </c>
      <c r="B2287" s="1" t="n">
        <v>44727</v>
      </c>
      <c r="C2287" s="1" t="n">
        <v>45350</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24977-2022</t>
        </is>
      </c>
      <c r="B2288" s="1" t="n">
        <v>44728</v>
      </c>
      <c r="C2288" s="1" t="n">
        <v>45350</v>
      </c>
      <c r="D2288" t="inlineStr">
        <is>
          <t>STOCKHOLMS LÄN</t>
        </is>
      </c>
      <c r="E2288" t="inlineStr">
        <is>
          <t>NORRTÄLJE</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25278-2022</t>
        </is>
      </c>
      <c r="B2289" s="1" t="n">
        <v>44730</v>
      </c>
      <c r="C2289" s="1" t="n">
        <v>45350</v>
      </c>
      <c r="D2289" t="inlineStr">
        <is>
          <t>STOCKHOLMS LÄN</t>
        </is>
      </c>
      <c r="E2289" t="inlineStr">
        <is>
          <t>NYKVARN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25525-2022</t>
        </is>
      </c>
      <c r="B2290" s="1" t="n">
        <v>44732</v>
      </c>
      <c r="C2290" s="1" t="n">
        <v>45350</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25621-2022</t>
        </is>
      </c>
      <c r="B2291" s="1" t="n">
        <v>44732</v>
      </c>
      <c r="C2291" s="1" t="n">
        <v>45350</v>
      </c>
      <c r="D2291" t="inlineStr">
        <is>
          <t>STOCKHOLMS LÄN</t>
        </is>
      </c>
      <c r="E2291" t="inlineStr">
        <is>
          <t>NORRTÄLJE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25619-2022</t>
        </is>
      </c>
      <c r="B2292" s="1" t="n">
        <v>44732</v>
      </c>
      <c r="C2292" s="1" t="n">
        <v>45350</v>
      </c>
      <c r="D2292" t="inlineStr">
        <is>
          <t>STOCKHOLMS LÄN</t>
        </is>
      </c>
      <c r="E2292" t="inlineStr">
        <is>
          <t>NORRTÄLJE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26016-2022</t>
        </is>
      </c>
      <c r="B2293" s="1" t="n">
        <v>44734</v>
      </c>
      <c r="C2293" s="1" t="n">
        <v>45350</v>
      </c>
      <c r="D2293" t="inlineStr">
        <is>
          <t>STOCKHOLMS LÄN</t>
        </is>
      </c>
      <c r="E2293" t="inlineStr">
        <is>
          <t>VALLENTUNA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26190-2022</t>
        </is>
      </c>
      <c r="B2294" s="1" t="n">
        <v>44735</v>
      </c>
      <c r="C2294" s="1" t="n">
        <v>45350</v>
      </c>
      <c r="D2294" t="inlineStr">
        <is>
          <t>STOCKHOLMS LÄN</t>
        </is>
      </c>
      <c r="E2294" t="inlineStr">
        <is>
          <t>NYNÄSHAMN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26328-2022</t>
        </is>
      </c>
      <c r="B2295" s="1" t="n">
        <v>44735</v>
      </c>
      <c r="C2295" s="1" t="n">
        <v>45350</v>
      </c>
      <c r="D2295" t="inlineStr">
        <is>
          <t>STOCKHOLMS LÄN</t>
        </is>
      </c>
      <c r="E2295" t="inlineStr">
        <is>
          <t>NORRTÄLJE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26335-2022</t>
        </is>
      </c>
      <c r="B2296" s="1" t="n">
        <v>44735</v>
      </c>
      <c r="C2296" s="1" t="n">
        <v>45350</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26812-2022</t>
        </is>
      </c>
      <c r="B2297" s="1" t="n">
        <v>44740</v>
      </c>
      <c r="C2297" s="1" t="n">
        <v>45350</v>
      </c>
      <c r="D2297" t="inlineStr">
        <is>
          <t>STOCKHOLMS LÄN</t>
        </is>
      </c>
      <c r="E2297" t="inlineStr">
        <is>
          <t>SÖDERTÄLJE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27460-2022</t>
        </is>
      </c>
      <c r="B2298" s="1" t="n">
        <v>44742</v>
      </c>
      <c r="C2298" s="1" t="n">
        <v>45350</v>
      </c>
      <c r="D2298" t="inlineStr">
        <is>
          <t>STOCKHOLMS LÄN</t>
        </is>
      </c>
      <c r="E2298" t="inlineStr">
        <is>
          <t>VALLENTUNA</t>
        </is>
      </c>
      <c r="F2298" t="inlineStr">
        <is>
          <t>Allmännings- och besparingsskogar</t>
        </is>
      </c>
      <c r="G2298" t="n">
        <v>26.6</v>
      </c>
      <c r="H2298" t="n">
        <v>0</v>
      </c>
      <c r="I2298" t="n">
        <v>0</v>
      </c>
      <c r="J2298" t="n">
        <v>0</v>
      </c>
      <c r="K2298" t="n">
        <v>0</v>
      </c>
      <c r="L2298" t="n">
        <v>0</v>
      </c>
      <c r="M2298" t="n">
        <v>0</v>
      </c>
      <c r="N2298" t="n">
        <v>0</v>
      </c>
      <c r="O2298" t="n">
        <v>0</v>
      </c>
      <c r="P2298" t="n">
        <v>0</v>
      </c>
      <c r="Q2298" t="n">
        <v>0</v>
      </c>
      <c r="R2298" s="2" t="inlineStr"/>
    </row>
    <row r="2299" ht="15" customHeight="1">
      <c r="A2299" t="inlineStr">
        <is>
          <t>A 27538-2022</t>
        </is>
      </c>
      <c r="B2299" s="1" t="n">
        <v>44742</v>
      </c>
      <c r="C2299" s="1" t="n">
        <v>45350</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27715-2022</t>
        </is>
      </c>
      <c r="B2300" s="1" t="n">
        <v>44743</v>
      </c>
      <c r="C2300" s="1" t="n">
        <v>45350</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27724-2022</t>
        </is>
      </c>
      <c r="B2301" s="1" t="n">
        <v>44743</v>
      </c>
      <c r="C2301" s="1" t="n">
        <v>45350</v>
      </c>
      <c r="D2301" t="inlineStr">
        <is>
          <t>STOCKHOLMS LÄN</t>
        </is>
      </c>
      <c r="E2301" t="inlineStr">
        <is>
          <t>UPPLANDS VÄSBY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27827-2022</t>
        </is>
      </c>
      <c r="B2302" s="1" t="n">
        <v>44743</v>
      </c>
      <c r="C2302" s="1" t="n">
        <v>45350</v>
      </c>
      <c r="D2302" t="inlineStr">
        <is>
          <t>STOCKHOLMS LÄN</t>
        </is>
      </c>
      <c r="E2302" t="inlineStr">
        <is>
          <t>NORRTÄLJE</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27870-2022</t>
        </is>
      </c>
      <c r="B2303" s="1" t="n">
        <v>44743</v>
      </c>
      <c r="C2303" s="1" t="n">
        <v>45350</v>
      </c>
      <c r="D2303" t="inlineStr">
        <is>
          <t>STOCKHOLMS LÄN</t>
        </is>
      </c>
      <c r="E2303" t="inlineStr">
        <is>
          <t>NORRTÄLJE</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27828-2022</t>
        </is>
      </c>
      <c r="B2304" s="1" t="n">
        <v>44743</v>
      </c>
      <c r="C2304" s="1" t="n">
        <v>45350</v>
      </c>
      <c r="D2304" t="inlineStr">
        <is>
          <t>STOCKHOLMS LÄN</t>
        </is>
      </c>
      <c r="E2304" t="inlineStr">
        <is>
          <t>NORRTÄLJE</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27824-2022</t>
        </is>
      </c>
      <c r="B2305" s="1" t="n">
        <v>44743</v>
      </c>
      <c r="C2305" s="1" t="n">
        <v>45350</v>
      </c>
      <c r="D2305" t="inlineStr">
        <is>
          <t>STOCKHOLMS LÄN</t>
        </is>
      </c>
      <c r="E2305" t="inlineStr">
        <is>
          <t>NORRTÄLJE</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27831-2022</t>
        </is>
      </c>
      <c r="B2306" s="1" t="n">
        <v>44743</v>
      </c>
      <c r="C2306" s="1" t="n">
        <v>45350</v>
      </c>
      <c r="D2306" t="inlineStr">
        <is>
          <t>STOCKHOLMS LÄN</t>
        </is>
      </c>
      <c r="E2306" t="inlineStr">
        <is>
          <t>NORRTÄLJE</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27885-2022</t>
        </is>
      </c>
      <c r="B2307" s="1" t="n">
        <v>44743</v>
      </c>
      <c r="C2307" s="1" t="n">
        <v>45350</v>
      </c>
      <c r="D2307" t="inlineStr">
        <is>
          <t>STOCKHOLMS LÄN</t>
        </is>
      </c>
      <c r="E2307" t="inlineStr">
        <is>
          <t>NORRTÄLJE</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27867-2022</t>
        </is>
      </c>
      <c r="B2308" s="1" t="n">
        <v>44743</v>
      </c>
      <c r="C2308" s="1" t="n">
        <v>45350</v>
      </c>
      <c r="D2308" t="inlineStr">
        <is>
          <t>STOCKHOLMS LÄN</t>
        </is>
      </c>
      <c r="E2308" t="inlineStr">
        <is>
          <t>NORRTÄLJE</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27970-2022</t>
        </is>
      </c>
      <c r="B2309" s="1" t="n">
        <v>44744</v>
      </c>
      <c r="C2309" s="1" t="n">
        <v>45350</v>
      </c>
      <c r="D2309" t="inlineStr">
        <is>
          <t>STOCKHOLMS LÄN</t>
        </is>
      </c>
      <c r="E2309" t="inlineStr">
        <is>
          <t>SÖDERTÄLJE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28042-2022</t>
        </is>
      </c>
      <c r="B2310" s="1" t="n">
        <v>44744</v>
      </c>
      <c r="C2310" s="1" t="n">
        <v>45350</v>
      </c>
      <c r="D2310" t="inlineStr">
        <is>
          <t>STOCKHOLMS LÄN</t>
        </is>
      </c>
      <c r="E2310" t="inlineStr">
        <is>
          <t>NORRTÄLJE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27969-2022</t>
        </is>
      </c>
      <c r="B2311" s="1" t="n">
        <v>44744</v>
      </c>
      <c r="C2311" s="1" t="n">
        <v>45350</v>
      </c>
      <c r="D2311" t="inlineStr">
        <is>
          <t>STOCKHOLMS LÄN</t>
        </is>
      </c>
      <c r="E2311" t="inlineStr">
        <is>
          <t>SÖDERTÄLJE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27971-2022</t>
        </is>
      </c>
      <c r="B2312" s="1" t="n">
        <v>44744</v>
      </c>
      <c r="C2312" s="1" t="n">
        <v>45350</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27972-2022</t>
        </is>
      </c>
      <c r="B2313" s="1" t="n">
        <v>44744</v>
      </c>
      <c r="C2313" s="1" t="n">
        <v>45350</v>
      </c>
      <c r="D2313" t="inlineStr">
        <is>
          <t>STOCKHOLMS LÄN</t>
        </is>
      </c>
      <c r="E2313" t="inlineStr">
        <is>
          <t>SÖDERTÄLJE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28100-2022</t>
        </is>
      </c>
      <c r="B2314" s="1" t="n">
        <v>44746</v>
      </c>
      <c r="C2314" s="1" t="n">
        <v>45350</v>
      </c>
      <c r="D2314" t="inlineStr">
        <is>
          <t>STOCKHOLMS LÄN</t>
        </is>
      </c>
      <c r="E2314" t="inlineStr">
        <is>
          <t>NORRTÄLJE</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28182-2022</t>
        </is>
      </c>
      <c r="B2315" s="1" t="n">
        <v>44746</v>
      </c>
      <c r="C2315" s="1" t="n">
        <v>45350</v>
      </c>
      <c r="D2315" t="inlineStr">
        <is>
          <t>STOCKHOLMS LÄN</t>
        </is>
      </c>
      <c r="E2315" t="inlineStr">
        <is>
          <t>NORRTÄLJE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28209-2022</t>
        </is>
      </c>
      <c r="B2316" s="1" t="n">
        <v>44746</v>
      </c>
      <c r="C2316" s="1" t="n">
        <v>45350</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28365-2022</t>
        </is>
      </c>
      <c r="B2317" s="1" t="n">
        <v>44747</v>
      </c>
      <c r="C2317" s="1" t="n">
        <v>45350</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28399-2022</t>
        </is>
      </c>
      <c r="B2318" s="1" t="n">
        <v>44747</v>
      </c>
      <c r="C2318" s="1" t="n">
        <v>45350</v>
      </c>
      <c r="D2318" t="inlineStr">
        <is>
          <t>STOCKHOLMS LÄN</t>
        </is>
      </c>
      <c r="E2318" t="inlineStr">
        <is>
          <t>ÖSTERÅKER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28405-2022</t>
        </is>
      </c>
      <c r="B2319" s="1" t="n">
        <v>44747</v>
      </c>
      <c r="C2319" s="1" t="n">
        <v>45350</v>
      </c>
      <c r="D2319" t="inlineStr">
        <is>
          <t>STOCKHOLMS LÄN</t>
        </is>
      </c>
      <c r="E2319" t="inlineStr">
        <is>
          <t>ÖSTERÅKER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28851-2022</t>
        </is>
      </c>
      <c r="B2320" s="1" t="n">
        <v>44749</v>
      </c>
      <c r="C2320" s="1" t="n">
        <v>45350</v>
      </c>
      <c r="D2320" t="inlineStr">
        <is>
          <t>STOCKHOLMS LÄN</t>
        </is>
      </c>
      <c r="E2320" t="inlineStr">
        <is>
          <t>SIGTUNA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28900-2022</t>
        </is>
      </c>
      <c r="B2321" s="1" t="n">
        <v>44749</v>
      </c>
      <c r="C2321" s="1" t="n">
        <v>45350</v>
      </c>
      <c r="D2321" t="inlineStr">
        <is>
          <t>STOCKHOLMS LÄN</t>
        </is>
      </c>
      <c r="E2321" t="inlineStr">
        <is>
          <t>NORRTÄLJE</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28861-2022</t>
        </is>
      </c>
      <c r="B2322" s="1" t="n">
        <v>44749</v>
      </c>
      <c r="C2322" s="1" t="n">
        <v>45350</v>
      </c>
      <c r="D2322" t="inlineStr">
        <is>
          <t>STOCKHOLMS LÄN</t>
        </is>
      </c>
      <c r="E2322" t="inlineStr">
        <is>
          <t>SIGTUNA</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28964-2022</t>
        </is>
      </c>
      <c r="B2323" s="1" t="n">
        <v>44749</v>
      </c>
      <c r="C2323" s="1" t="n">
        <v>45350</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28959-2022</t>
        </is>
      </c>
      <c r="B2324" s="1" t="n">
        <v>44749</v>
      </c>
      <c r="C2324" s="1" t="n">
        <v>45350</v>
      </c>
      <c r="D2324" t="inlineStr">
        <is>
          <t>STOCKHOLMS LÄN</t>
        </is>
      </c>
      <c r="E2324" t="inlineStr">
        <is>
          <t>NORRTÄLJE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28843-2022</t>
        </is>
      </c>
      <c r="B2325" s="1" t="n">
        <v>44749</v>
      </c>
      <c r="C2325" s="1" t="n">
        <v>45350</v>
      </c>
      <c r="D2325" t="inlineStr">
        <is>
          <t>STOCKHOLMS LÄN</t>
        </is>
      </c>
      <c r="E2325" t="inlineStr">
        <is>
          <t>SIGTUNA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29070-2022</t>
        </is>
      </c>
      <c r="B2326" s="1" t="n">
        <v>44750</v>
      </c>
      <c r="C2326" s="1" t="n">
        <v>45350</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29266-2022</t>
        </is>
      </c>
      <c r="B2327" s="1" t="n">
        <v>44750</v>
      </c>
      <c r="C2327" s="1" t="n">
        <v>45350</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29278-2022</t>
        </is>
      </c>
      <c r="B2328" s="1" t="n">
        <v>44750</v>
      </c>
      <c r="C2328" s="1" t="n">
        <v>45350</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29362-2022</t>
        </is>
      </c>
      <c r="B2329" s="1" t="n">
        <v>44753</v>
      </c>
      <c r="C2329" s="1" t="n">
        <v>45350</v>
      </c>
      <c r="D2329" t="inlineStr">
        <is>
          <t>STOCKHOLMS LÄN</t>
        </is>
      </c>
      <c r="E2329" t="inlineStr">
        <is>
          <t>NORRTÄLJE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29395-2022</t>
        </is>
      </c>
      <c r="B2330" s="1" t="n">
        <v>44753</v>
      </c>
      <c r="C2330" s="1" t="n">
        <v>45350</v>
      </c>
      <c r="D2330" t="inlineStr">
        <is>
          <t>STOCKHOLMS LÄN</t>
        </is>
      </c>
      <c r="E2330" t="inlineStr">
        <is>
          <t>NORRTÄLJE</t>
        </is>
      </c>
      <c r="F2330" t="inlineStr">
        <is>
          <t>Holmen skog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29646-2022</t>
        </is>
      </c>
      <c r="B2331" s="1" t="n">
        <v>44754</v>
      </c>
      <c r="C2331" s="1" t="n">
        <v>45350</v>
      </c>
      <c r="D2331" t="inlineStr">
        <is>
          <t>STOCKHOLMS LÄN</t>
        </is>
      </c>
      <c r="E2331" t="inlineStr">
        <is>
          <t>SIGTUNA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29786-2022</t>
        </is>
      </c>
      <c r="B2332" s="1" t="n">
        <v>44755</v>
      </c>
      <c r="C2332" s="1" t="n">
        <v>45350</v>
      </c>
      <c r="D2332" t="inlineStr">
        <is>
          <t>STOCKHOLMS LÄN</t>
        </is>
      </c>
      <c r="E2332" t="inlineStr">
        <is>
          <t>UPPLANDS-BRO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29784-2022</t>
        </is>
      </c>
      <c r="B2333" s="1" t="n">
        <v>44755</v>
      </c>
      <c r="C2333" s="1" t="n">
        <v>45350</v>
      </c>
      <c r="D2333" t="inlineStr">
        <is>
          <t>STOCKHOLMS LÄN</t>
        </is>
      </c>
      <c r="E2333" t="inlineStr">
        <is>
          <t>UPPLANDS-BRO</t>
        </is>
      </c>
      <c r="F2333" t="inlineStr">
        <is>
          <t>Allmännings- och besparingsskogar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29868-2022</t>
        </is>
      </c>
      <c r="B2334" s="1" t="n">
        <v>44756</v>
      </c>
      <c r="C2334" s="1" t="n">
        <v>45350</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30151-2022</t>
        </is>
      </c>
      <c r="B2335" s="1" t="n">
        <v>44757</v>
      </c>
      <c r="C2335" s="1" t="n">
        <v>45350</v>
      </c>
      <c r="D2335" t="inlineStr">
        <is>
          <t>STOCKHOLMS LÄN</t>
        </is>
      </c>
      <c r="E2335" t="inlineStr">
        <is>
          <t>NORRTÄLJE</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30164-2022</t>
        </is>
      </c>
      <c r="B2336" s="1" t="n">
        <v>44757</v>
      </c>
      <c r="C2336" s="1" t="n">
        <v>45350</v>
      </c>
      <c r="D2336" t="inlineStr">
        <is>
          <t>STOCKHOLMS LÄN</t>
        </is>
      </c>
      <c r="E2336" t="inlineStr">
        <is>
          <t>NORRTÄLJE</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30171-2022</t>
        </is>
      </c>
      <c r="B2337" s="1" t="n">
        <v>44757</v>
      </c>
      <c r="C2337" s="1" t="n">
        <v>45350</v>
      </c>
      <c r="D2337" t="inlineStr">
        <is>
          <t>STOCKHOLMS LÄN</t>
        </is>
      </c>
      <c r="E2337" t="inlineStr">
        <is>
          <t>NORRTÄLJE</t>
        </is>
      </c>
      <c r="F2337" t="inlineStr">
        <is>
          <t>Holmen skog AB</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30283-2022</t>
        </is>
      </c>
      <c r="B2338" s="1" t="n">
        <v>44760</v>
      </c>
      <c r="C2338" s="1" t="n">
        <v>45350</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30338-2022</t>
        </is>
      </c>
      <c r="B2339" s="1" t="n">
        <v>44760</v>
      </c>
      <c r="C2339" s="1" t="n">
        <v>45350</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30286-2022</t>
        </is>
      </c>
      <c r="B2340" s="1" t="n">
        <v>44760</v>
      </c>
      <c r="C2340" s="1" t="n">
        <v>45350</v>
      </c>
      <c r="D2340" t="inlineStr">
        <is>
          <t>STOCKHOLMS LÄN</t>
        </is>
      </c>
      <c r="E2340" t="inlineStr">
        <is>
          <t>NORRTÄLJE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30290-2022</t>
        </is>
      </c>
      <c r="B2341" s="1" t="n">
        <v>44760</v>
      </c>
      <c r="C2341" s="1" t="n">
        <v>45350</v>
      </c>
      <c r="D2341" t="inlineStr">
        <is>
          <t>STOCKHOLMS LÄN</t>
        </is>
      </c>
      <c r="E2341" t="inlineStr">
        <is>
          <t>NORRTÄLJE</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30419-2022</t>
        </is>
      </c>
      <c r="B2342" s="1" t="n">
        <v>44761</v>
      </c>
      <c r="C2342" s="1" t="n">
        <v>45350</v>
      </c>
      <c r="D2342" t="inlineStr">
        <is>
          <t>STOCKHOLMS LÄN</t>
        </is>
      </c>
      <c r="E2342" t="inlineStr">
        <is>
          <t>HANINGE</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30620-2022</t>
        </is>
      </c>
      <c r="B2343" s="1" t="n">
        <v>44763</v>
      </c>
      <c r="C2343" s="1" t="n">
        <v>45350</v>
      </c>
      <c r="D2343" t="inlineStr">
        <is>
          <t>STOCKHOLMS LÄN</t>
        </is>
      </c>
      <c r="E2343" t="inlineStr">
        <is>
          <t>NORRTÄLJE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30624-2022</t>
        </is>
      </c>
      <c r="B2344" s="1" t="n">
        <v>44763</v>
      </c>
      <c r="C2344" s="1" t="n">
        <v>45350</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30758-2022</t>
        </is>
      </c>
      <c r="B2345" s="1" t="n">
        <v>44764</v>
      </c>
      <c r="C2345" s="1" t="n">
        <v>45350</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30740-2022</t>
        </is>
      </c>
      <c r="B2346" s="1" t="n">
        <v>44764</v>
      </c>
      <c r="C2346" s="1" t="n">
        <v>45350</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30750-2022</t>
        </is>
      </c>
      <c r="B2347" s="1" t="n">
        <v>44764</v>
      </c>
      <c r="C2347" s="1" t="n">
        <v>45350</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30802-2022</t>
        </is>
      </c>
      <c r="B2348" s="1" t="n">
        <v>44764</v>
      </c>
      <c r="C2348" s="1" t="n">
        <v>45350</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30886-2022</t>
        </is>
      </c>
      <c r="B2349" s="1" t="n">
        <v>44767</v>
      </c>
      <c r="C2349" s="1" t="n">
        <v>45350</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31102-2022</t>
        </is>
      </c>
      <c r="B2350" s="1" t="n">
        <v>44769</v>
      </c>
      <c r="C2350" s="1" t="n">
        <v>45350</v>
      </c>
      <c r="D2350" t="inlineStr">
        <is>
          <t>STOCKHOLMS LÄN</t>
        </is>
      </c>
      <c r="E2350" t="inlineStr">
        <is>
          <t>NORRTÄLJE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31092-2022</t>
        </is>
      </c>
      <c r="B2351" s="1" t="n">
        <v>44769</v>
      </c>
      <c r="C2351" s="1" t="n">
        <v>45350</v>
      </c>
      <c r="D2351" t="inlineStr">
        <is>
          <t>STOCKHOLMS LÄN</t>
        </is>
      </c>
      <c r="E2351" t="inlineStr">
        <is>
          <t>NORRTÄLJE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31052-2022</t>
        </is>
      </c>
      <c r="B2352" s="1" t="n">
        <v>44769</v>
      </c>
      <c r="C2352" s="1" t="n">
        <v>45350</v>
      </c>
      <c r="D2352" t="inlineStr">
        <is>
          <t>STOCKHOLMS LÄN</t>
        </is>
      </c>
      <c r="E2352" t="inlineStr">
        <is>
          <t>NORRTÄLJE</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31105-2022</t>
        </is>
      </c>
      <c r="B2353" s="1" t="n">
        <v>44769</v>
      </c>
      <c r="C2353" s="1" t="n">
        <v>45350</v>
      </c>
      <c r="D2353" t="inlineStr">
        <is>
          <t>STOCKHOLMS LÄN</t>
        </is>
      </c>
      <c r="E2353" t="inlineStr">
        <is>
          <t>NORRTÄLJE</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31107-2022</t>
        </is>
      </c>
      <c r="B2354" s="1" t="n">
        <v>44769</v>
      </c>
      <c r="C2354" s="1" t="n">
        <v>45350</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31057-2022</t>
        </is>
      </c>
      <c r="B2355" s="1" t="n">
        <v>44769</v>
      </c>
      <c r="C2355" s="1" t="n">
        <v>45350</v>
      </c>
      <c r="D2355" t="inlineStr">
        <is>
          <t>STOCKHOLMS LÄN</t>
        </is>
      </c>
      <c r="E2355" t="inlineStr">
        <is>
          <t>NORRTÄLJE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31160-2022</t>
        </is>
      </c>
      <c r="B2356" s="1" t="n">
        <v>44770</v>
      </c>
      <c r="C2356" s="1" t="n">
        <v>45350</v>
      </c>
      <c r="D2356" t="inlineStr">
        <is>
          <t>STOCKHOLMS LÄN</t>
        </is>
      </c>
      <c r="E2356" t="inlineStr">
        <is>
          <t>UPPLANDS-BRO</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31236-2022</t>
        </is>
      </c>
      <c r="B2357" s="1" t="n">
        <v>44771</v>
      </c>
      <c r="C2357" s="1" t="n">
        <v>45350</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31246-2022</t>
        </is>
      </c>
      <c r="B2358" s="1" t="n">
        <v>44771</v>
      </c>
      <c r="C2358" s="1" t="n">
        <v>45350</v>
      </c>
      <c r="D2358" t="inlineStr">
        <is>
          <t>STOCKHOLMS LÄN</t>
        </is>
      </c>
      <c r="E2358" t="inlineStr">
        <is>
          <t>HUDDINGE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31281-2022</t>
        </is>
      </c>
      <c r="B2359" s="1" t="n">
        <v>44771</v>
      </c>
      <c r="C2359" s="1" t="n">
        <v>45350</v>
      </c>
      <c r="D2359" t="inlineStr">
        <is>
          <t>STOCKHOLMS LÄN</t>
        </is>
      </c>
      <c r="E2359" t="inlineStr">
        <is>
          <t>NORRTÄLJE</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31283-2022</t>
        </is>
      </c>
      <c r="B2360" s="1" t="n">
        <v>44771</v>
      </c>
      <c r="C2360" s="1" t="n">
        <v>45350</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31428-2022</t>
        </is>
      </c>
      <c r="B2361" s="1" t="n">
        <v>44774</v>
      </c>
      <c r="C2361" s="1" t="n">
        <v>45350</v>
      </c>
      <c r="D2361" t="inlineStr">
        <is>
          <t>STOCKHOLMS LÄN</t>
        </is>
      </c>
      <c r="E2361" t="inlineStr">
        <is>
          <t>SÖDERTÄLJE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31429-2022</t>
        </is>
      </c>
      <c r="B2362" s="1" t="n">
        <v>44774</v>
      </c>
      <c r="C2362" s="1" t="n">
        <v>45350</v>
      </c>
      <c r="D2362" t="inlineStr">
        <is>
          <t>STOCKHOLMS LÄN</t>
        </is>
      </c>
      <c r="E2362" t="inlineStr">
        <is>
          <t>SÖDERTÄLJE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31523-2022</t>
        </is>
      </c>
      <c r="B2363" s="1" t="n">
        <v>44775</v>
      </c>
      <c r="C2363" s="1" t="n">
        <v>45350</v>
      </c>
      <c r="D2363" t="inlineStr">
        <is>
          <t>STOCKHOLMS LÄN</t>
        </is>
      </c>
      <c r="E2363" t="inlineStr">
        <is>
          <t>ÖSTERÅKER</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31559-2022</t>
        </is>
      </c>
      <c r="B2364" s="1" t="n">
        <v>44775</v>
      </c>
      <c r="C2364" s="1" t="n">
        <v>45350</v>
      </c>
      <c r="D2364" t="inlineStr">
        <is>
          <t>STOCKHOLMS LÄN</t>
        </is>
      </c>
      <c r="E2364" t="inlineStr">
        <is>
          <t>NORRTÄLJE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31575-2022</t>
        </is>
      </c>
      <c r="B2365" s="1" t="n">
        <v>44775</v>
      </c>
      <c r="C2365" s="1" t="n">
        <v>45350</v>
      </c>
      <c r="D2365" t="inlineStr">
        <is>
          <t>STOCKHOLMS LÄN</t>
        </is>
      </c>
      <c r="E2365" t="inlineStr">
        <is>
          <t>ÖSTERÅKER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31695-2022</t>
        </is>
      </c>
      <c r="B2366" s="1" t="n">
        <v>44776</v>
      </c>
      <c r="C2366" s="1" t="n">
        <v>45350</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31684-2022</t>
        </is>
      </c>
      <c r="B2367" s="1" t="n">
        <v>44776</v>
      </c>
      <c r="C2367" s="1" t="n">
        <v>45350</v>
      </c>
      <c r="D2367" t="inlineStr">
        <is>
          <t>STOCKHOLMS LÄN</t>
        </is>
      </c>
      <c r="E2367" t="inlineStr">
        <is>
          <t>SIGTUNA</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31697-2022</t>
        </is>
      </c>
      <c r="B2368" s="1" t="n">
        <v>44776</v>
      </c>
      <c r="C2368" s="1" t="n">
        <v>45350</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31807-2022</t>
        </is>
      </c>
      <c r="B2369" s="1" t="n">
        <v>44776</v>
      </c>
      <c r="C2369" s="1" t="n">
        <v>45350</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31938-2022</t>
        </is>
      </c>
      <c r="B2370" s="1" t="n">
        <v>44777</v>
      </c>
      <c r="C2370" s="1" t="n">
        <v>45350</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31936-2022</t>
        </is>
      </c>
      <c r="B2371" s="1" t="n">
        <v>44777</v>
      </c>
      <c r="C2371" s="1" t="n">
        <v>45350</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31924-2022</t>
        </is>
      </c>
      <c r="B2372" s="1" t="n">
        <v>44777</v>
      </c>
      <c r="C2372" s="1" t="n">
        <v>45350</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31939-2022</t>
        </is>
      </c>
      <c r="B2373" s="1" t="n">
        <v>44777</v>
      </c>
      <c r="C2373" s="1" t="n">
        <v>45350</v>
      </c>
      <c r="D2373" t="inlineStr">
        <is>
          <t>STOCKHOLMS LÄN</t>
        </is>
      </c>
      <c r="E2373" t="inlineStr">
        <is>
          <t>NORRTÄLJE</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31926-2022</t>
        </is>
      </c>
      <c r="B2374" s="1" t="n">
        <v>44777</v>
      </c>
      <c r="C2374" s="1" t="n">
        <v>45350</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31934-2022</t>
        </is>
      </c>
      <c r="B2375" s="1" t="n">
        <v>44777</v>
      </c>
      <c r="C2375" s="1" t="n">
        <v>45350</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32103-2022</t>
        </is>
      </c>
      <c r="B2376" s="1" t="n">
        <v>44778</v>
      </c>
      <c r="C2376" s="1" t="n">
        <v>45350</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32111-2022</t>
        </is>
      </c>
      <c r="B2377" s="1" t="n">
        <v>44779</v>
      </c>
      <c r="C2377" s="1" t="n">
        <v>45350</v>
      </c>
      <c r="D2377" t="inlineStr">
        <is>
          <t>STOCKHOLMS LÄN</t>
        </is>
      </c>
      <c r="E2377" t="inlineStr">
        <is>
          <t>NORRTÄLJE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32101-2022</t>
        </is>
      </c>
      <c r="B2378" s="1" t="n">
        <v>44778</v>
      </c>
      <c r="C2378" s="1" t="n">
        <v>45350</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32100-2022</t>
        </is>
      </c>
      <c r="B2379" s="1" t="n">
        <v>44778</v>
      </c>
      <c r="C2379" s="1" t="n">
        <v>45350</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32102-2022</t>
        </is>
      </c>
      <c r="B2380" s="1" t="n">
        <v>44778</v>
      </c>
      <c r="C2380" s="1" t="n">
        <v>45350</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32514-2022</t>
        </is>
      </c>
      <c r="B2381" s="1" t="n">
        <v>44782</v>
      </c>
      <c r="C2381" s="1" t="n">
        <v>45350</v>
      </c>
      <c r="D2381" t="inlineStr">
        <is>
          <t>STOCKHOLMS LÄN</t>
        </is>
      </c>
      <c r="E2381" t="inlineStr">
        <is>
          <t>NORRTÄLJE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32508-2022</t>
        </is>
      </c>
      <c r="B2382" s="1" t="n">
        <v>44782</v>
      </c>
      <c r="C2382" s="1" t="n">
        <v>45350</v>
      </c>
      <c r="D2382" t="inlineStr">
        <is>
          <t>STOCKHOLMS LÄN</t>
        </is>
      </c>
      <c r="E2382" t="inlineStr">
        <is>
          <t>HUDDINGE</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32705-2022</t>
        </is>
      </c>
      <c r="B2383" s="1" t="n">
        <v>44783</v>
      </c>
      <c r="C2383" s="1" t="n">
        <v>45350</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32828-2022</t>
        </is>
      </c>
      <c r="B2384" s="1" t="n">
        <v>44784</v>
      </c>
      <c r="C2384" s="1" t="n">
        <v>45350</v>
      </c>
      <c r="D2384" t="inlineStr">
        <is>
          <t>STOCKHOLMS LÄN</t>
        </is>
      </c>
      <c r="E2384" t="inlineStr">
        <is>
          <t>BOTKYRKA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33055-2022</t>
        </is>
      </c>
      <c r="B2385" s="1" t="n">
        <v>44785</v>
      </c>
      <c r="C2385" s="1" t="n">
        <v>45350</v>
      </c>
      <c r="D2385" t="inlineStr">
        <is>
          <t>STOCKHOLMS LÄN</t>
        </is>
      </c>
      <c r="E2385" t="inlineStr">
        <is>
          <t>NORRTÄLJE</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33046-2022</t>
        </is>
      </c>
      <c r="B2386" s="1" t="n">
        <v>44785</v>
      </c>
      <c r="C2386" s="1" t="n">
        <v>45350</v>
      </c>
      <c r="D2386" t="inlineStr">
        <is>
          <t>STOCKHOLMS LÄN</t>
        </is>
      </c>
      <c r="E2386" t="inlineStr">
        <is>
          <t>VÄRMDÖ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33149-2022</t>
        </is>
      </c>
      <c r="B2387" s="1" t="n">
        <v>44785</v>
      </c>
      <c r="C2387" s="1" t="n">
        <v>45350</v>
      </c>
      <c r="D2387" t="inlineStr">
        <is>
          <t>STOCKHOLMS LÄN</t>
        </is>
      </c>
      <c r="E2387" t="inlineStr">
        <is>
          <t>NORRTÄLJE</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33445-2022</t>
        </is>
      </c>
      <c r="B2388" s="1" t="n">
        <v>44788</v>
      </c>
      <c r="C2388" s="1" t="n">
        <v>45350</v>
      </c>
      <c r="D2388" t="inlineStr">
        <is>
          <t>STOCKHOLMS LÄN</t>
        </is>
      </c>
      <c r="E2388" t="inlineStr">
        <is>
          <t>NORRTÄLJE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33667-2022</t>
        </is>
      </c>
      <c r="B2389" s="1" t="n">
        <v>44789</v>
      </c>
      <c r="C2389" s="1" t="n">
        <v>45350</v>
      </c>
      <c r="D2389" t="inlineStr">
        <is>
          <t>STOCKHOLMS LÄN</t>
        </is>
      </c>
      <c r="E2389" t="inlineStr">
        <is>
          <t>NYNÄSHAMN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33892-2022</t>
        </is>
      </c>
      <c r="B2390" s="1" t="n">
        <v>44790</v>
      </c>
      <c r="C2390" s="1" t="n">
        <v>45350</v>
      </c>
      <c r="D2390" t="inlineStr">
        <is>
          <t>STOCKHOLMS LÄN</t>
        </is>
      </c>
      <c r="E2390" t="inlineStr">
        <is>
          <t>SÖDERTÄLJE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33793-2022</t>
        </is>
      </c>
      <c r="B2391" s="1" t="n">
        <v>44790</v>
      </c>
      <c r="C2391" s="1" t="n">
        <v>45350</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33902-2022</t>
        </is>
      </c>
      <c r="B2392" s="1" t="n">
        <v>44790</v>
      </c>
      <c r="C2392" s="1" t="n">
        <v>45350</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33895-2022</t>
        </is>
      </c>
      <c r="B2393" s="1" t="n">
        <v>44790</v>
      </c>
      <c r="C2393" s="1" t="n">
        <v>45350</v>
      </c>
      <c r="D2393" t="inlineStr">
        <is>
          <t>STOCKHOLMS LÄN</t>
        </is>
      </c>
      <c r="E2393" t="inlineStr">
        <is>
          <t>NORRTÄLJE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34773-2022</t>
        </is>
      </c>
      <c r="B2394" s="1" t="n">
        <v>44795</v>
      </c>
      <c r="C2394" s="1" t="n">
        <v>45350</v>
      </c>
      <c r="D2394" t="inlineStr">
        <is>
          <t>STOCKHOLMS LÄN</t>
        </is>
      </c>
      <c r="E2394" t="inlineStr">
        <is>
          <t>NORRTÄLJE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34926-2022</t>
        </is>
      </c>
      <c r="B2395" s="1" t="n">
        <v>44796</v>
      </c>
      <c r="C2395" s="1" t="n">
        <v>45350</v>
      </c>
      <c r="D2395" t="inlineStr">
        <is>
          <t>STOCKHOLMS LÄN</t>
        </is>
      </c>
      <c r="E2395" t="inlineStr">
        <is>
          <t>VAXHOLM</t>
        </is>
      </c>
      <c r="F2395" t="inlineStr">
        <is>
          <t>Övriga statliga verk och myndigheter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35121-2022</t>
        </is>
      </c>
      <c r="B2396" s="1" t="n">
        <v>44797</v>
      </c>
      <c r="C2396" s="1" t="n">
        <v>45350</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35161-2022</t>
        </is>
      </c>
      <c r="B2397" s="1" t="n">
        <v>44797</v>
      </c>
      <c r="C2397" s="1" t="n">
        <v>45350</v>
      </c>
      <c r="D2397" t="inlineStr">
        <is>
          <t>STOCKHOLMS LÄN</t>
        </is>
      </c>
      <c r="E2397" t="inlineStr">
        <is>
          <t>NORRTÄLJE</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35156-2022</t>
        </is>
      </c>
      <c r="B2398" s="1" t="n">
        <v>44797</v>
      </c>
      <c r="C2398" s="1" t="n">
        <v>45350</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35404-2022</t>
        </is>
      </c>
      <c r="B2399" s="1" t="n">
        <v>44798</v>
      </c>
      <c r="C2399" s="1" t="n">
        <v>45350</v>
      </c>
      <c r="D2399" t="inlineStr">
        <is>
          <t>STOCKHOLMS LÄN</t>
        </is>
      </c>
      <c r="E2399" t="inlineStr">
        <is>
          <t>HUDDINGE</t>
        </is>
      </c>
      <c r="F2399" t="inlineStr">
        <is>
          <t>Kommuner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35708-2022</t>
        </is>
      </c>
      <c r="B2400" s="1" t="n">
        <v>44799</v>
      </c>
      <c r="C2400" s="1" t="n">
        <v>45350</v>
      </c>
      <c r="D2400" t="inlineStr">
        <is>
          <t>STOCKHOLMS LÄN</t>
        </is>
      </c>
      <c r="E2400" t="inlineStr">
        <is>
          <t>NORRTÄLJE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35906-2022</t>
        </is>
      </c>
      <c r="B2401" s="1" t="n">
        <v>44802</v>
      </c>
      <c r="C2401" s="1" t="n">
        <v>45350</v>
      </c>
      <c r="D2401" t="inlineStr">
        <is>
          <t>STOCKHOLMS LÄN</t>
        </is>
      </c>
      <c r="E2401" t="inlineStr">
        <is>
          <t>SÖDERTÄLJE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35918-2022</t>
        </is>
      </c>
      <c r="B2402" s="1" t="n">
        <v>44802</v>
      </c>
      <c r="C2402" s="1" t="n">
        <v>45350</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35882-2022</t>
        </is>
      </c>
      <c r="B2403" s="1" t="n">
        <v>44802</v>
      </c>
      <c r="C2403" s="1" t="n">
        <v>45350</v>
      </c>
      <c r="D2403" t="inlineStr">
        <is>
          <t>STOCKHOLMS LÄN</t>
        </is>
      </c>
      <c r="E2403" t="inlineStr">
        <is>
          <t>SÖDERTÄLJE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35942-2022</t>
        </is>
      </c>
      <c r="B2404" s="1" t="n">
        <v>44802</v>
      </c>
      <c r="C2404" s="1" t="n">
        <v>45350</v>
      </c>
      <c r="D2404" t="inlineStr">
        <is>
          <t>STOCKHOLMS LÄN</t>
        </is>
      </c>
      <c r="E2404" t="inlineStr">
        <is>
          <t>SÖDERTÄLJE</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36063-2022</t>
        </is>
      </c>
      <c r="B2405" s="1" t="n">
        <v>44802</v>
      </c>
      <c r="C2405" s="1" t="n">
        <v>45350</v>
      </c>
      <c r="D2405" t="inlineStr">
        <is>
          <t>STOCKHOLMS LÄN</t>
        </is>
      </c>
      <c r="E2405" t="inlineStr">
        <is>
          <t>EKERÖ</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36112-2022</t>
        </is>
      </c>
      <c r="B2406" s="1" t="n">
        <v>44802</v>
      </c>
      <c r="C2406" s="1" t="n">
        <v>45350</v>
      </c>
      <c r="D2406" t="inlineStr">
        <is>
          <t>STOCKHOLMS LÄN</t>
        </is>
      </c>
      <c r="E2406" t="inlineStr">
        <is>
          <t>SÖDERTÄLJE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36113-2022</t>
        </is>
      </c>
      <c r="B2407" s="1" t="n">
        <v>44802</v>
      </c>
      <c r="C2407" s="1" t="n">
        <v>45350</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36181-2022</t>
        </is>
      </c>
      <c r="B2408" s="1" t="n">
        <v>44803</v>
      </c>
      <c r="C2408" s="1" t="n">
        <v>45350</v>
      </c>
      <c r="D2408" t="inlineStr">
        <is>
          <t>STOCKHOLMS LÄN</t>
        </is>
      </c>
      <c r="E2408" t="inlineStr">
        <is>
          <t>SIGTUNA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36179-2022</t>
        </is>
      </c>
      <c r="B2409" s="1" t="n">
        <v>44803</v>
      </c>
      <c r="C2409" s="1" t="n">
        <v>45350</v>
      </c>
      <c r="D2409" t="inlineStr">
        <is>
          <t>STOCKHOLMS LÄN</t>
        </is>
      </c>
      <c r="E2409" t="inlineStr">
        <is>
          <t>SIGTUNA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36269-2022</t>
        </is>
      </c>
      <c r="B2410" s="1" t="n">
        <v>44803</v>
      </c>
      <c r="C2410" s="1" t="n">
        <v>45350</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36308-2022</t>
        </is>
      </c>
      <c r="B2411" s="1" t="n">
        <v>44803</v>
      </c>
      <c r="C2411" s="1" t="n">
        <v>45350</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36905-2022</t>
        </is>
      </c>
      <c r="B2412" s="1" t="n">
        <v>44805</v>
      </c>
      <c r="C2412" s="1" t="n">
        <v>45350</v>
      </c>
      <c r="D2412" t="inlineStr">
        <is>
          <t>STOCKHOLMS LÄN</t>
        </is>
      </c>
      <c r="E2412" t="inlineStr">
        <is>
          <t>TÄBY</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36975-2022</t>
        </is>
      </c>
      <c r="B2413" s="1" t="n">
        <v>44806</v>
      </c>
      <c r="C2413" s="1" t="n">
        <v>45350</v>
      </c>
      <c r="D2413" t="inlineStr">
        <is>
          <t>STOCKHOLMS LÄN</t>
        </is>
      </c>
      <c r="E2413" t="inlineStr">
        <is>
          <t>NORRTÄLJE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37000-2022</t>
        </is>
      </c>
      <c r="B2414" s="1" t="n">
        <v>44806</v>
      </c>
      <c r="C2414" s="1" t="n">
        <v>45350</v>
      </c>
      <c r="D2414" t="inlineStr">
        <is>
          <t>STOCKHOLMS LÄN</t>
        </is>
      </c>
      <c r="E2414" t="inlineStr">
        <is>
          <t>HANINGE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37444-2022</t>
        </is>
      </c>
      <c r="B2415" s="1" t="n">
        <v>44809</v>
      </c>
      <c r="C2415" s="1" t="n">
        <v>45350</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37442-2022</t>
        </is>
      </c>
      <c r="B2416" s="1" t="n">
        <v>44809</v>
      </c>
      <c r="C2416" s="1" t="n">
        <v>45350</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37550-2022</t>
        </is>
      </c>
      <c r="B2417" s="1" t="n">
        <v>44809</v>
      </c>
      <c r="C2417" s="1" t="n">
        <v>45350</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37563-2022</t>
        </is>
      </c>
      <c r="B2418" s="1" t="n">
        <v>44809</v>
      </c>
      <c r="C2418" s="1" t="n">
        <v>45350</v>
      </c>
      <c r="D2418" t="inlineStr">
        <is>
          <t>STOCKHOLMS LÄN</t>
        </is>
      </c>
      <c r="E2418" t="inlineStr">
        <is>
          <t>NYKVARN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37491-2022</t>
        </is>
      </c>
      <c r="B2419" s="1" t="n">
        <v>44809</v>
      </c>
      <c r="C2419" s="1" t="n">
        <v>45350</v>
      </c>
      <c r="D2419" t="inlineStr">
        <is>
          <t>STOCKHOLMS LÄN</t>
        </is>
      </c>
      <c r="E2419" t="inlineStr">
        <is>
          <t>NYNÄSHAMN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37679-2022</t>
        </is>
      </c>
      <c r="B2420" s="1" t="n">
        <v>44810</v>
      </c>
      <c r="C2420" s="1" t="n">
        <v>45350</v>
      </c>
      <c r="D2420" t="inlineStr">
        <is>
          <t>STOCKHOLMS LÄN</t>
        </is>
      </c>
      <c r="E2420" t="inlineStr">
        <is>
          <t>NORRTÄLJE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37815-2022</t>
        </is>
      </c>
      <c r="B2421" s="1" t="n">
        <v>44810</v>
      </c>
      <c r="C2421" s="1" t="n">
        <v>45350</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37843-2022</t>
        </is>
      </c>
      <c r="B2422" s="1" t="n">
        <v>44810</v>
      </c>
      <c r="C2422" s="1" t="n">
        <v>45350</v>
      </c>
      <c r="D2422" t="inlineStr">
        <is>
          <t>STOCKHOLMS LÄN</t>
        </is>
      </c>
      <c r="E2422" t="inlineStr">
        <is>
          <t>SÖDERTÄLJE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37844-2022</t>
        </is>
      </c>
      <c r="B2423" s="1" t="n">
        <v>44810</v>
      </c>
      <c r="C2423" s="1" t="n">
        <v>45350</v>
      </c>
      <c r="D2423" t="inlineStr">
        <is>
          <t>STOCKHOLMS LÄN</t>
        </is>
      </c>
      <c r="E2423" t="inlineStr">
        <is>
          <t>SÖDERTÄLJE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37842-2022</t>
        </is>
      </c>
      <c r="B2424" s="1" t="n">
        <v>44810</v>
      </c>
      <c r="C2424" s="1" t="n">
        <v>45350</v>
      </c>
      <c r="D2424" t="inlineStr">
        <is>
          <t>STOCKHOLMS LÄN</t>
        </is>
      </c>
      <c r="E2424" t="inlineStr">
        <is>
          <t>SÖDERTÄLJE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38079-2022</t>
        </is>
      </c>
      <c r="B2425" s="1" t="n">
        <v>44811</v>
      </c>
      <c r="C2425" s="1" t="n">
        <v>45350</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38194-2022</t>
        </is>
      </c>
      <c r="B2426" s="1" t="n">
        <v>44812</v>
      </c>
      <c r="C2426" s="1" t="n">
        <v>45350</v>
      </c>
      <c r="D2426" t="inlineStr">
        <is>
          <t>STOCKHOLMS LÄN</t>
        </is>
      </c>
      <c r="E2426" t="inlineStr">
        <is>
          <t>BOTKYRKA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38202-2022</t>
        </is>
      </c>
      <c r="B2427" s="1" t="n">
        <v>44812</v>
      </c>
      <c r="C2427" s="1" t="n">
        <v>45350</v>
      </c>
      <c r="D2427" t="inlineStr">
        <is>
          <t>STOCKHOLMS LÄN</t>
        </is>
      </c>
      <c r="E2427" t="inlineStr">
        <is>
          <t>BOTKYRKA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38196-2022</t>
        </is>
      </c>
      <c r="B2428" s="1" t="n">
        <v>44812</v>
      </c>
      <c r="C2428" s="1" t="n">
        <v>45350</v>
      </c>
      <c r="D2428" t="inlineStr">
        <is>
          <t>STOCKHOLMS LÄN</t>
        </is>
      </c>
      <c r="E2428" t="inlineStr">
        <is>
          <t>BOTKYRKA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38250-2022</t>
        </is>
      </c>
      <c r="B2429" s="1" t="n">
        <v>44812</v>
      </c>
      <c r="C2429" s="1" t="n">
        <v>45350</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38449-2022</t>
        </is>
      </c>
      <c r="B2430" s="1" t="n">
        <v>44813</v>
      </c>
      <c r="C2430" s="1" t="n">
        <v>45350</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38543-2022</t>
        </is>
      </c>
      <c r="B2431" s="1" t="n">
        <v>44813</v>
      </c>
      <c r="C2431" s="1" t="n">
        <v>45350</v>
      </c>
      <c r="D2431" t="inlineStr">
        <is>
          <t>STOCKHOLMS LÄN</t>
        </is>
      </c>
      <c r="E2431" t="inlineStr">
        <is>
          <t>BOTKYRKA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38612-2022</t>
        </is>
      </c>
      <c r="B2432" s="1" t="n">
        <v>44813</v>
      </c>
      <c r="C2432" s="1" t="n">
        <v>45350</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38590-2022</t>
        </is>
      </c>
      <c r="B2433" s="1" t="n">
        <v>44813</v>
      </c>
      <c r="C2433" s="1" t="n">
        <v>45350</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38610-2022</t>
        </is>
      </c>
      <c r="B2434" s="1" t="n">
        <v>44813</v>
      </c>
      <c r="C2434" s="1" t="n">
        <v>45350</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38720-2022</t>
        </is>
      </c>
      <c r="B2435" s="1" t="n">
        <v>44815</v>
      </c>
      <c r="C2435" s="1" t="n">
        <v>45350</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38721-2022</t>
        </is>
      </c>
      <c r="B2436" s="1" t="n">
        <v>44815</v>
      </c>
      <c r="C2436" s="1" t="n">
        <v>45350</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38927-2022</t>
        </is>
      </c>
      <c r="B2437" s="1" t="n">
        <v>44816</v>
      </c>
      <c r="C2437" s="1" t="n">
        <v>45350</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38759-2022</t>
        </is>
      </c>
      <c r="B2438" s="1" t="n">
        <v>44816</v>
      </c>
      <c r="C2438" s="1" t="n">
        <v>45350</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38990-2022</t>
        </is>
      </c>
      <c r="B2439" s="1" t="n">
        <v>44816</v>
      </c>
      <c r="C2439" s="1" t="n">
        <v>45350</v>
      </c>
      <c r="D2439" t="inlineStr">
        <is>
          <t>STOCKHOLMS LÄN</t>
        </is>
      </c>
      <c r="E2439" t="inlineStr">
        <is>
          <t>NORRTÄLJE</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38991-2022</t>
        </is>
      </c>
      <c r="B2440" s="1" t="n">
        <v>44816</v>
      </c>
      <c r="C2440" s="1" t="n">
        <v>45350</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38985-2022</t>
        </is>
      </c>
      <c r="B2441" s="1" t="n">
        <v>44816</v>
      </c>
      <c r="C2441" s="1" t="n">
        <v>45350</v>
      </c>
      <c r="D2441" t="inlineStr">
        <is>
          <t>STOCKHOLMS LÄN</t>
        </is>
      </c>
      <c r="E2441" t="inlineStr">
        <is>
          <t>NORRTÄLJE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38992-2022</t>
        </is>
      </c>
      <c r="B2442" s="1" t="n">
        <v>44817</v>
      </c>
      <c r="C2442" s="1" t="n">
        <v>45350</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39213-2022</t>
        </is>
      </c>
      <c r="B2443" s="1" t="n">
        <v>44817</v>
      </c>
      <c r="C2443" s="1" t="n">
        <v>45350</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39319-2022</t>
        </is>
      </c>
      <c r="B2444" s="1" t="n">
        <v>44817</v>
      </c>
      <c r="C2444" s="1" t="n">
        <v>45350</v>
      </c>
      <c r="D2444" t="inlineStr">
        <is>
          <t>STOCKHOLMS LÄN</t>
        </is>
      </c>
      <c r="E2444" t="inlineStr">
        <is>
          <t>NORRTÄLJE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39318-2022</t>
        </is>
      </c>
      <c r="B2445" s="1" t="n">
        <v>44817</v>
      </c>
      <c r="C2445" s="1" t="n">
        <v>45350</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39854-2022</t>
        </is>
      </c>
      <c r="B2446" s="1" t="n">
        <v>44819</v>
      </c>
      <c r="C2446" s="1" t="n">
        <v>45350</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39869-2022</t>
        </is>
      </c>
      <c r="B2447" s="1" t="n">
        <v>44819</v>
      </c>
      <c r="C2447" s="1" t="n">
        <v>45350</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39867-2022</t>
        </is>
      </c>
      <c r="B2448" s="1" t="n">
        <v>44819</v>
      </c>
      <c r="C2448" s="1" t="n">
        <v>45350</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40504-2022</t>
        </is>
      </c>
      <c r="B2449" s="1" t="n">
        <v>44823</v>
      </c>
      <c r="C2449" s="1" t="n">
        <v>45350</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40503-2022</t>
        </is>
      </c>
      <c r="B2450" s="1" t="n">
        <v>44823</v>
      </c>
      <c r="C2450" s="1" t="n">
        <v>45350</v>
      </c>
      <c r="D2450" t="inlineStr">
        <is>
          <t>STOCKHOLMS LÄN</t>
        </is>
      </c>
      <c r="E2450" t="inlineStr">
        <is>
          <t>NORRTÄLJE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40656-2022</t>
        </is>
      </c>
      <c r="B2451" s="1" t="n">
        <v>44824</v>
      </c>
      <c r="C2451" s="1" t="n">
        <v>45350</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40816-2022</t>
        </is>
      </c>
      <c r="B2452" s="1" t="n">
        <v>44824</v>
      </c>
      <c r="C2452" s="1" t="n">
        <v>45350</v>
      </c>
      <c r="D2452" t="inlineStr">
        <is>
          <t>STOCKHOLMS LÄN</t>
        </is>
      </c>
      <c r="E2452" t="inlineStr">
        <is>
          <t>SÖDERTÄLJE</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40751-2022</t>
        </is>
      </c>
      <c r="B2453" s="1" t="n">
        <v>44824</v>
      </c>
      <c r="C2453" s="1" t="n">
        <v>45350</v>
      </c>
      <c r="D2453" t="inlineStr">
        <is>
          <t>STOCKHOLMS LÄN</t>
        </is>
      </c>
      <c r="E2453" t="inlineStr">
        <is>
          <t>NORRTÄLJE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40801-2022</t>
        </is>
      </c>
      <c r="B2454" s="1" t="n">
        <v>44824</v>
      </c>
      <c r="C2454" s="1" t="n">
        <v>45350</v>
      </c>
      <c r="D2454" t="inlineStr">
        <is>
          <t>STOCKHOLMS LÄN</t>
        </is>
      </c>
      <c r="E2454" t="inlineStr">
        <is>
          <t>SÖDERTÄLJE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41263-2022</t>
        </is>
      </c>
      <c r="B2455" s="1" t="n">
        <v>44825</v>
      </c>
      <c r="C2455" s="1" t="n">
        <v>45350</v>
      </c>
      <c r="D2455" t="inlineStr">
        <is>
          <t>STOCKHOLMS LÄN</t>
        </is>
      </c>
      <c r="E2455" t="inlineStr">
        <is>
          <t>HANINGE</t>
        </is>
      </c>
      <c r="F2455" t="inlineStr">
        <is>
          <t>Övriga statliga verk och myndigheter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41266-2022</t>
        </is>
      </c>
      <c r="B2456" s="1" t="n">
        <v>44825</v>
      </c>
      <c r="C2456" s="1" t="n">
        <v>45350</v>
      </c>
      <c r="D2456" t="inlineStr">
        <is>
          <t>STOCKHOLMS LÄN</t>
        </is>
      </c>
      <c r="E2456" t="inlineStr">
        <is>
          <t>HANINGE</t>
        </is>
      </c>
      <c r="F2456" t="inlineStr">
        <is>
          <t>Övriga statliga verk och myndigheter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41259-2022</t>
        </is>
      </c>
      <c r="B2457" s="1" t="n">
        <v>44825</v>
      </c>
      <c r="C2457" s="1" t="n">
        <v>45350</v>
      </c>
      <c r="D2457" t="inlineStr">
        <is>
          <t>STOCKHOLMS LÄN</t>
        </is>
      </c>
      <c r="E2457" t="inlineStr">
        <is>
          <t>HANINGE</t>
        </is>
      </c>
      <c r="F2457" t="inlineStr">
        <is>
          <t>Övriga statliga verk och myndigheter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41398-2022</t>
        </is>
      </c>
      <c r="B2458" s="1" t="n">
        <v>44826</v>
      </c>
      <c r="C2458" s="1" t="n">
        <v>45350</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41320-2022</t>
        </is>
      </c>
      <c r="B2459" s="1" t="n">
        <v>44826</v>
      </c>
      <c r="C2459" s="1" t="n">
        <v>45350</v>
      </c>
      <c r="D2459" t="inlineStr">
        <is>
          <t>STOCKHOLMS LÄN</t>
        </is>
      </c>
      <c r="E2459" t="inlineStr">
        <is>
          <t>NORRTÄLJE</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41693-2022</t>
        </is>
      </c>
      <c r="B2460" s="1" t="n">
        <v>44827</v>
      </c>
      <c r="C2460" s="1" t="n">
        <v>45350</v>
      </c>
      <c r="D2460" t="inlineStr">
        <is>
          <t>STOCKHOLMS LÄN</t>
        </is>
      </c>
      <c r="E2460" t="inlineStr">
        <is>
          <t>SIGTUNA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42087-2022</t>
        </is>
      </c>
      <c r="B2461" s="1" t="n">
        <v>44830</v>
      </c>
      <c r="C2461" s="1" t="n">
        <v>45350</v>
      </c>
      <c r="D2461" t="inlineStr">
        <is>
          <t>STOCKHOLMS LÄN</t>
        </is>
      </c>
      <c r="E2461" t="inlineStr">
        <is>
          <t>NORRTÄLJE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42112-2022</t>
        </is>
      </c>
      <c r="B2462" s="1" t="n">
        <v>44830</v>
      </c>
      <c r="C2462" s="1" t="n">
        <v>45350</v>
      </c>
      <c r="D2462" t="inlineStr">
        <is>
          <t>STOCKHOLMS LÄN</t>
        </is>
      </c>
      <c r="E2462" t="inlineStr">
        <is>
          <t>NORRTÄLJE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42126-2022</t>
        </is>
      </c>
      <c r="B2463" s="1" t="n">
        <v>44830</v>
      </c>
      <c r="C2463" s="1" t="n">
        <v>45350</v>
      </c>
      <c r="D2463" t="inlineStr">
        <is>
          <t>STOCKHOLMS LÄN</t>
        </is>
      </c>
      <c r="E2463" t="inlineStr">
        <is>
          <t>NORRTÄLJE</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42162-2022</t>
        </is>
      </c>
      <c r="B2464" s="1" t="n">
        <v>44830</v>
      </c>
      <c r="C2464" s="1" t="n">
        <v>45350</v>
      </c>
      <c r="D2464" t="inlineStr">
        <is>
          <t>STOCKHOLMS LÄN</t>
        </is>
      </c>
      <c r="E2464" t="inlineStr">
        <is>
          <t>SIGTUNA</t>
        </is>
      </c>
      <c r="F2464" t="inlineStr">
        <is>
          <t>Övriga statliga verk och myndigheter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42867-2022</t>
        </is>
      </c>
      <c r="B2465" s="1" t="n">
        <v>44832</v>
      </c>
      <c r="C2465" s="1" t="n">
        <v>45350</v>
      </c>
      <c r="D2465" t="inlineStr">
        <is>
          <t>STOCKHOLMS LÄN</t>
        </is>
      </c>
      <c r="E2465" t="inlineStr">
        <is>
          <t>NORRTÄLJE</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42955-2022</t>
        </is>
      </c>
      <c r="B2466" s="1" t="n">
        <v>44833</v>
      </c>
      <c r="C2466" s="1" t="n">
        <v>45350</v>
      </c>
      <c r="D2466" t="inlineStr">
        <is>
          <t>STOCKHOLMS LÄN</t>
        </is>
      </c>
      <c r="E2466" t="inlineStr">
        <is>
          <t>NORRTÄLJE</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43036-2022</t>
        </is>
      </c>
      <c r="B2467" s="1" t="n">
        <v>44833</v>
      </c>
      <c r="C2467" s="1" t="n">
        <v>45350</v>
      </c>
      <c r="D2467" t="inlineStr">
        <is>
          <t>STOCKHOLMS LÄN</t>
        </is>
      </c>
      <c r="E2467" t="inlineStr">
        <is>
          <t>NORRTÄLJE</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43212-2022</t>
        </is>
      </c>
      <c r="B2468" s="1" t="n">
        <v>44834</v>
      </c>
      <c r="C2468" s="1" t="n">
        <v>45350</v>
      </c>
      <c r="D2468" t="inlineStr">
        <is>
          <t>STOCKHOLMS LÄN</t>
        </is>
      </c>
      <c r="E2468" t="inlineStr">
        <is>
          <t>NORRTÄLJE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43230-2022</t>
        </is>
      </c>
      <c r="B2469" s="1" t="n">
        <v>44834</v>
      </c>
      <c r="C2469" s="1" t="n">
        <v>45350</v>
      </c>
      <c r="D2469" t="inlineStr">
        <is>
          <t>STOCKHOLMS LÄN</t>
        </is>
      </c>
      <c r="E2469" t="inlineStr">
        <is>
          <t>NYKVARN</t>
        </is>
      </c>
      <c r="F2469" t="inlineStr">
        <is>
          <t>Allmännings- och besparingsskogar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43374-2022</t>
        </is>
      </c>
      <c r="B2470" s="1" t="n">
        <v>44834</v>
      </c>
      <c r="C2470" s="1" t="n">
        <v>45350</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43753-2022</t>
        </is>
      </c>
      <c r="B2471" s="1" t="n">
        <v>44837</v>
      </c>
      <c r="C2471" s="1" t="n">
        <v>45350</v>
      </c>
      <c r="D2471" t="inlineStr">
        <is>
          <t>STOCKHOLMS LÄN</t>
        </is>
      </c>
      <c r="E2471" t="inlineStr">
        <is>
          <t>NYKVARN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43752-2022</t>
        </is>
      </c>
      <c r="B2472" s="1" t="n">
        <v>44837</v>
      </c>
      <c r="C2472" s="1" t="n">
        <v>45350</v>
      </c>
      <c r="D2472" t="inlineStr">
        <is>
          <t>STOCKHOLMS LÄN</t>
        </is>
      </c>
      <c r="E2472" t="inlineStr">
        <is>
          <t>SÖDERTÄLJE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43873-2022</t>
        </is>
      </c>
      <c r="B2473" s="1" t="n">
        <v>44838</v>
      </c>
      <c r="C2473" s="1" t="n">
        <v>45350</v>
      </c>
      <c r="D2473" t="inlineStr">
        <is>
          <t>STOCKHOLMS LÄN</t>
        </is>
      </c>
      <c r="E2473" t="inlineStr">
        <is>
          <t>UPPLANDS VÄSBY</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43972-2022</t>
        </is>
      </c>
      <c r="B2474" s="1" t="n">
        <v>44838</v>
      </c>
      <c r="C2474" s="1" t="n">
        <v>45350</v>
      </c>
      <c r="D2474" t="inlineStr">
        <is>
          <t>STOCKHOLMS LÄN</t>
        </is>
      </c>
      <c r="E2474" t="inlineStr">
        <is>
          <t>NORRTÄLJE</t>
        </is>
      </c>
      <c r="F2474" t="inlineStr">
        <is>
          <t>Holmen skog AB</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44349-2022</t>
        </is>
      </c>
      <c r="B2475" s="1" t="n">
        <v>44839</v>
      </c>
      <c r="C2475" s="1" t="n">
        <v>45350</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44531-2022</t>
        </is>
      </c>
      <c r="B2476" s="1" t="n">
        <v>44840</v>
      </c>
      <c r="C2476" s="1" t="n">
        <v>45350</v>
      </c>
      <c r="D2476" t="inlineStr">
        <is>
          <t>STOCKHOLMS LÄN</t>
        </is>
      </c>
      <c r="E2476" t="inlineStr">
        <is>
          <t>NYKVARN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45255-2022</t>
        </is>
      </c>
      <c r="B2477" s="1" t="n">
        <v>44840</v>
      </c>
      <c r="C2477" s="1" t="n">
        <v>45350</v>
      </c>
      <c r="D2477" t="inlineStr">
        <is>
          <t>STOCKHOLMS LÄN</t>
        </is>
      </c>
      <c r="E2477" t="inlineStr">
        <is>
          <t>NORRTÄLJE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44917-2022</t>
        </is>
      </c>
      <c r="B2478" s="1" t="n">
        <v>44841</v>
      </c>
      <c r="C2478" s="1" t="n">
        <v>45350</v>
      </c>
      <c r="D2478" t="inlineStr">
        <is>
          <t>STOCKHOLMS LÄN</t>
        </is>
      </c>
      <c r="E2478" t="inlineStr">
        <is>
          <t>NORRTÄLJE</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44950-2022</t>
        </is>
      </c>
      <c r="B2479" s="1" t="n">
        <v>44841</v>
      </c>
      <c r="C2479" s="1" t="n">
        <v>45350</v>
      </c>
      <c r="D2479" t="inlineStr">
        <is>
          <t>STOCKHOLMS LÄN</t>
        </is>
      </c>
      <c r="E2479" t="inlineStr">
        <is>
          <t>SÖDERTÄLJE</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44960-2022</t>
        </is>
      </c>
      <c r="B2480" s="1" t="n">
        <v>44841</v>
      </c>
      <c r="C2480" s="1" t="n">
        <v>45350</v>
      </c>
      <c r="D2480" t="inlineStr">
        <is>
          <t>STOCKHOLMS LÄN</t>
        </is>
      </c>
      <c r="E2480" t="inlineStr">
        <is>
          <t>SÖDERTÄLJE</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44969-2022</t>
        </is>
      </c>
      <c r="B2481" s="1" t="n">
        <v>44841</v>
      </c>
      <c r="C2481" s="1" t="n">
        <v>45350</v>
      </c>
      <c r="D2481" t="inlineStr">
        <is>
          <t>STOCKHOLMS LÄN</t>
        </is>
      </c>
      <c r="E2481" t="inlineStr">
        <is>
          <t>NYKVARN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44954-2022</t>
        </is>
      </c>
      <c r="B2482" s="1" t="n">
        <v>44841</v>
      </c>
      <c r="C2482" s="1" t="n">
        <v>45350</v>
      </c>
      <c r="D2482" t="inlineStr">
        <is>
          <t>STOCKHOLMS LÄN</t>
        </is>
      </c>
      <c r="E2482" t="inlineStr">
        <is>
          <t>SÖDERTÄLJE</t>
        </is>
      </c>
      <c r="F2482" t="inlineStr">
        <is>
          <t>Sveaskog</t>
        </is>
      </c>
      <c r="G2482" t="n">
        <v>22.5</v>
      </c>
      <c r="H2482" t="n">
        <v>0</v>
      </c>
      <c r="I2482" t="n">
        <v>0</v>
      </c>
      <c r="J2482" t="n">
        <v>0</v>
      </c>
      <c r="K2482" t="n">
        <v>0</v>
      </c>
      <c r="L2482" t="n">
        <v>0</v>
      </c>
      <c r="M2482" t="n">
        <v>0</v>
      </c>
      <c r="N2482" t="n">
        <v>0</v>
      </c>
      <c r="O2482" t="n">
        <v>0</v>
      </c>
      <c r="P2482" t="n">
        <v>0</v>
      </c>
      <c r="Q2482" t="n">
        <v>0</v>
      </c>
      <c r="R2482" s="2" t="inlineStr"/>
    </row>
    <row r="2483" ht="15" customHeight="1">
      <c r="A2483" t="inlineStr">
        <is>
          <t>A 44962-2022</t>
        </is>
      </c>
      <c r="B2483" s="1" t="n">
        <v>44841</v>
      </c>
      <c r="C2483" s="1" t="n">
        <v>45350</v>
      </c>
      <c r="D2483" t="inlineStr">
        <is>
          <t>STOCKHOLMS LÄN</t>
        </is>
      </c>
      <c r="E2483" t="inlineStr">
        <is>
          <t>SÖDERTÄLJE</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44964-2022</t>
        </is>
      </c>
      <c r="B2484" s="1" t="n">
        <v>44841</v>
      </c>
      <c r="C2484" s="1" t="n">
        <v>45350</v>
      </c>
      <c r="D2484" t="inlineStr">
        <is>
          <t>STOCKHOLMS LÄN</t>
        </is>
      </c>
      <c r="E2484" t="inlineStr">
        <is>
          <t>SÖDERTÄLJE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45145-2022</t>
        </is>
      </c>
      <c r="B2485" s="1" t="n">
        <v>44844</v>
      </c>
      <c r="C2485" s="1" t="n">
        <v>45350</v>
      </c>
      <c r="D2485" t="inlineStr">
        <is>
          <t>STOCKHOLMS LÄN</t>
        </is>
      </c>
      <c r="E2485" t="inlineStr">
        <is>
          <t>SÖDERTÄLJE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45152-2022</t>
        </is>
      </c>
      <c r="B2486" s="1" t="n">
        <v>44844</v>
      </c>
      <c r="C2486" s="1" t="n">
        <v>45350</v>
      </c>
      <c r="D2486" t="inlineStr">
        <is>
          <t>STOCKHOLMS LÄN</t>
        </is>
      </c>
      <c r="E2486" t="inlineStr">
        <is>
          <t>SÖDERTÄLJE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45184-2022</t>
        </is>
      </c>
      <c r="B2487" s="1" t="n">
        <v>44844</v>
      </c>
      <c r="C2487" s="1" t="n">
        <v>45350</v>
      </c>
      <c r="D2487" t="inlineStr">
        <is>
          <t>STOCKHOLMS LÄN</t>
        </is>
      </c>
      <c r="E2487" t="inlineStr">
        <is>
          <t>SÖDERTÄLJE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45869-2022</t>
        </is>
      </c>
      <c r="B2488" s="1" t="n">
        <v>44844</v>
      </c>
      <c r="C2488" s="1" t="n">
        <v>45350</v>
      </c>
      <c r="D2488" t="inlineStr">
        <is>
          <t>STOCKHOLMS LÄN</t>
        </is>
      </c>
      <c r="E2488" t="inlineStr">
        <is>
          <t>BOTKYRKA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45498-2022</t>
        </is>
      </c>
      <c r="B2489" s="1" t="n">
        <v>44845</v>
      </c>
      <c r="C2489" s="1" t="n">
        <v>45350</v>
      </c>
      <c r="D2489" t="inlineStr">
        <is>
          <t>STOCKHOLMS LÄN</t>
        </is>
      </c>
      <c r="E2489" t="inlineStr">
        <is>
          <t>HANINGE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45501-2022</t>
        </is>
      </c>
      <c r="B2490" s="1" t="n">
        <v>44845</v>
      </c>
      <c r="C2490" s="1" t="n">
        <v>45350</v>
      </c>
      <c r="D2490" t="inlineStr">
        <is>
          <t>STOCKHOLMS LÄN</t>
        </is>
      </c>
      <c r="E2490" t="inlineStr">
        <is>
          <t>HANINGE</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45541-2022</t>
        </is>
      </c>
      <c r="B2491" s="1" t="n">
        <v>44845</v>
      </c>
      <c r="C2491" s="1" t="n">
        <v>45350</v>
      </c>
      <c r="D2491" t="inlineStr">
        <is>
          <t>STOCKHOLMS LÄN</t>
        </is>
      </c>
      <c r="E2491" t="inlineStr">
        <is>
          <t>NORRTÄLJE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45539-2022</t>
        </is>
      </c>
      <c r="B2492" s="1" t="n">
        <v>44845</v>
      </c>
      <c r="C2492" s="1" t="n">
        <v>45350</v>
      </c>
      <c r="D2492" t="inlineStr">
        <is>
          <t>STOCKHOLMS LÄN</t>
        </is>
      </c>
      <c r="E2492" t="inlineStr">
        <is>
          <t>NORRTÄLJE</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45549-2022</t>
        </is>
      </c>
      <c r="B2493" s="1" t="n">
        <v>44845</v>
      </c>
      <c r="C2493" s="1" t="n">
        <v>45350</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46153-2022</t>
        </is>
      </c>
      <c r="B2494" s="1" t="n">
        <v>44845</v>
      </c>
      <c r="C2494" s="1" t="n">
        <v>45350</v>
      </c>
      <c r="D2494" t="inlineStr">
        <is>
          <t>STOCKHOLMS LÄN</t>
        </is>
      </c>
      <c r="E2494" t="inlineStr">
        <is>
          <t>UPPLANDS-BRO</t>
        </is>
      </c>
      <c r="F2494" t="inlineStr">
        <is>
          <t>Övriga statliga verk och myndigheter</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46405-2022</t>
        </is>
      </c>
      <c r="B2495" s="1" t="n">
        <v>44846</v>
      </c>
      <c r="C2495" s="1" t="n">
        <v>45350</v>
      </c>
      <c r="D2495" t="inlineStr">
        <is>
          <t>STOCKHOLMS LÄN</t>
        </is>
      </c>
      <c r="E2495" t="inlineStr">
        <is>
          <t>BOTKYRKA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46826-2022</t>
        </is>
      </c>
      <c r="B2496" s="1" t="n">
        <v>44848</v>
      </c>
      <c r="C2496" s="1" t="n">
        <v>45350</v>
      </c>
      <c r="D2496" t="inlineStr">
        <is>
          <t>STOCKHOLMS LÄN</t>
        </is>
      </c>
      <c r="E2496" t="inlineStr">
        <is>
          <t>UPPLANDS VÄSBY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46688-2022</t>
        </is>
      </c>
      <c r="B2497" s="1" t="n">
        <v>44851</v>
      </c>
      <c r="C2497" s="1" t="n">
        <v>45350</v>
      </c>
      <c r="D2497" t="inlineStr">
        <is>
          <t>STOCKHOLMS LÄN</t>
        </is>
      </c>
      <c r="E2497" t="inlineStr">
        <is>
          <t>ÖSTERÅKER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46914-2022</t>
        </is>
      </c>
      <c r="B2498" s="1" t="n">
        <v>44851</v>
      </c>
      <c r="C2498" s="1" t="n">
        <v>45350</v>
      </c>
      <c r="D2498" t="inlineStr">
        <is>
          <t>STOCKHOLMS LÄN</t>
        </is>
      </c>
      <c r="E2498" t="inlineStr">
        <is>
          <t>NORRTÄLJE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47173-2022</t>
        </is>
      </c>
      <c r="B2499" s="1" t="n">
        <v>44852</v>
      </c>
      <c r="C2499" s="1" t="n">
        <v>45350</v>
      </c>
      <c r="D2499" t="inlineStr">
        <is>
          <t>STOCKHOLMS LÄN</t>
        </is>
      </c>
      <c r="E2499" t="inlineStr">
        <is>
          <t>HUDDINGE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47617-2022</t>
        </is>
      </c>
      <c r="B2500" s="1" t="n">
        <v>44852</v>
      </c>
      <c r="C2500" s="1" t="n">
        <v>45350</v>
      </c>
      <c r="D2500" t="inlineStr">
        <is>
          <t>STOCKHOLMS LÄN</t>
        </is>
      </c>
      <c r="E2500" t="inlineStr">
        <is>
          <t>BOTKYRKA</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47076-2022</t>
        </is>
      </c>
      <c r="B2501" s="1" t="n">
        <v>44852</v>
      </c>
      <c r="C2501" s="1" t="n">
        <v>45350</v>
      </c>
      <c r="D2501" t="inlineStr">
        <is>
          <t>STOCKHOLMS LÄN</t>
        </is>
      </c>
      <c r="E2501" t="inlineStr">
        <is>
          <t>NORRTÄLJE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47079-2022</t>
        </is>
      </c>
      <c r="B2502" s="1" t="n">
        <v>44852</v>
      </c>
      <c r="C2502" s="1" t="n">
        <v>45350</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47626-2022</t>
        </is>
      </c>
      <c r="B2503" s="1" t="n">
        <v>44854</v>
      </c>
      <c r="C2503" s="1" t="n">
        <v>45350</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48309-2022</t>
        </is>
      </c>
      <c r="B2504" s="1" t="n">
        <v>44854</v>
      </c>
      <c r="C2504" s="1" t="n">
        <v>45350</v>
      </c>
      <c r="D2504" t="inlineStr">
        <is>
          <t>STOCKHOLMS LÄN</t>
        </is>
      </c>
      <c r="E2504" t="inlineStr">
        <is>
          <t>NYNÄSHAMN</t>
        </is>
      </c>
      <c r="F2504" t="inlineStr">
        <is>
          <t>Övriga statliga verk och myndigheter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48316-2022</t>
        </is>
      </c>
      <c r="B2505" s="1" t="n">
        <v>44854</v>
      </c>
      <c r="C2505" s="1" t="n">
        <v>45350</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47977-2022</t>
        </is>
      </c>
      <c r="B2506" s="1" t="n">
        <v>44855</v>
      </c>
      <c r="C2506" s="1" t="n">
        <v>45350</v>
      </c>
      <c r="D2506" t="inlineStr">
        <is>
          <t>STOCKHOLMS LÄN</t>
        </is>
      </c>
      <c r="E2506" t="inlineStr">
        <is>
          <t>SÖDERTÄLJE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47929-2022</t>
        </is>
      </c>
      <c r="B2507" s="1" t="n">
        <v>44855</v>
      </c>
      <c r="C2507" s="1" t="n">
        <v>45350</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47943-2022</t>
        </is>
      </c>
      <c r="B2508" s="1" t="n">
        <v>44855</v>
      </c>
      <c r="C2508" s="1" t="n">
        <v>45350</v>
      </c>
      <c r="D2508" t="inlineStr">
        <is>
          <t>STOCKHOLMS LÄN</t>
        </is>
      </c>
      <c r="E2508" t="inlineStr">
        <is>
          <t>SÖDERTÄLJE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48490-2022</t>
        </is>
      </c>
      <c r="B2509" s="1" t="n">
        <v>44858</v>
      </c>
      <c r="C2509" s="1" t="n">
        <v>45350</v>
      </c>
      <c r="D2509" t="inlineStr">
        <is>
          <t>STOCKHOLMS LÄN</t>
        </is>
      </c>
      <c r="E2509" t="inlineStr">
        <is>
          <t>NORRTÄLJE</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48161-2022</t>
        </is>
      </c>
      <c r="B2510" s="1" t="n">
        <v>44858</v>
      </c>
      <c r="C2510" s="1" t="n">
        <v>45350</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48453-2022</t>
        </is>
      </c>
      <c r="B2511" s="1" t="n">
        <v>44858</v>
      </c>
      <c r="C2511" s="1" t="n">
        <v>45350</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48492-2022</t>
        </is>
      </c>
      <c r="B2512" s="1" t="n">
        <v>44858</v>
      </c>
      <c r="C2512" s="1" t="n">
        <v>45350</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48647-2022</t>
        </is>
      </c>
      <c r="B2513" s="1" t="n">
        <v>44859</v>
      </c>
      <c r="C2513" s="1" t="n">
        <v>45350</v>
      </c>
      <c r="D2513" t="inlineStr">
        <is>
          <t>STOCKHOLMS LÄN</t>
        </is>
      </c>
      <c r="E2513" t="inlineStr">
        <is>
          <t>BOTKYRKA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48667-2022</t>
        </is>
      </c>
      <c r="B2514" s="1" t="n">
        <v>44859</v>
      </c>
      <c r="C2514" s="1" t="n">
        <v>45350</v>
      </c>
      <c r="D2514" t="inlineStr">
        <is>
          <t>STOCKHOLMS LÄN</t>
        </is>
      </c>
      <c r="E2514" t="inlineStr">
        <is>
          <t>BOTKYRKA</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48813-2022</t>
        </is>
      </c>
      <c r="B2515" s="1" t="n">
        <v>44859</v>
      </c>
      <c r="C2515" s="1" t="n">
        <v>45350</v>
      </c>
      <c r="D2515" t="inlineStr">
        <is>
          <t>STOCKHOLMS LÄN</t>
        </is>
      </c>
      <c r="E2515" t="inlineStr">
        <is>
          <t>SÖDERTÄLJE</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48656-2022</t>
        </is>
      </c>
      <c r="B2516" s="1" t="n">
        <v>44859</v>
      </c>
      <c r="C2516" s="1" t="n">
        <v>45350</v>
      </c>
      <c r="D2516" t="inlineStr">
        <is>
          <t>STOCKHOLMS LÄN</t>
        </is>
      </c>
      <c r="E2516" t="inlineStr">
        <is>
          <t>BOTKYRKA</t>
        </is>
      </c>
      <c r="F2516" t="inlineStr">
        <is>
          <t>Övriga Aktiebolag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48812-2022</t>
        </is>
      </c>
      <c r="B2517" s="1" t="n">
        <v>44859</v>
      </c>
      <c r="C2517" s="1" t="n">
        <v>45350</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48820-2022</t>
        </is>
      </c>
      <c r="B2518" s="1" t="n">
        <v>44859</v>
      </c>
      <c r="C2518" s="1" t="n">
        <v>45350</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49956-2022</t>
        </is>
      </c>
      <c r="B2519" s="1" t="n">
        <v>44865</v>
      </c>
      <c r="C2519" s="1" t="n">
        <v>45350</v>
      </c>
      <c r="D2519" t="inlineStr">
        <is>
          <t>STOCKHOLMS LÄN</t>
        </is>
      </c>
      <c r="E2519" t="inlineStr">
        <is>
          <t>SÖDERTÄLJE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50065-2022</t>
        </is>
      </c>
      <c r="B2520" s="1" t="n">
        <v>44865</v>
      </c>
      <c r="C2520" s="1" t="n">
        <v>45350</v>
      </c>
      <c r="D2520" t="inlineStr">
        <is>
          <t>STOCKHOLMS LÄN</t>
        </is>
      </c>
      <c r="E2520" t="inlineStr">
        <is>
          <t>NORRTÄLJE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50905-2022</t>
        </is>
      </c>
      <c r="B2521" s="1" t="n">
        <v>44865</v>
      </c>
      <c r="C2521" s="1" t="n">
        <v>45350</v>
      </c>
      <c r="D2521" t="inlineStr">
        <is>
          <t>STOCKHOLMS LÄN</t>
        </is>
      </c>
      <c r="E2521" t="inlineStr">
        <is>
          <t>UPPLANDS-BRO</t>
        </is>
      </c>
      <c r="F2521" t="inlineStr">
        <is>
          <t>Övriga statliga verk och myndigheter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50469-2022</t>
        </is>
      </c>
      <c r="B2522" s="1" t="n">
        <v>44866</v>
      </c>
      <c r="C2522" s="1" t="n">
        <v>45350</v>
      </c>
      <c r="D2522" t="inlineStr">
        <is>
          <t>STOCKHOLMS LÄN</t>
        </is>
      </c>
      <c r="E2522" t="inlineStr">
        <is>
          <t>NORRTÄLJE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50481-2022</t>
        </is>
      </c>
      <c r="B2523" s="1" t="n">
        <v>44866</v>
      </c>
      <c r="C2523" s="1" t="n">
        <v>45350</v>
      </c>
      <c r="D2523" t="inlineStr">
        <is>
          <t>STOCKHOLMS LÄN</t>
        </is>
      </c>
      <c r="E2523" t="inlineStr">
        <is>
          <t>NORRTÄLJE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50465-2022</t>
        </is>
      </c>
      <c r="B2524" s="1" t="n">
        <v>44866</v>
      </c>
      <c r="C2524" s="1" t="n">
        <v>45350</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50488-2022</t>
        </is>
      </c>
      <c r="B2525" s="1" t="n">
        <v>44866</v>
      </c>
      <c r="C2525" s="1" t="n">
        <v>45350</v>
      </c>
      <c r="D2525" t="inlineStr">
        <is>
          <t>STOCKHOLMS LÄN</t>
        </is>
      </c>
      <c r="E2525" t="inlineStr">
        <is>
          <t>NORRTÄLJE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50563-2022</t>
        </is>
      </c>
      <c r="B2526" s="1" t="n">
        <v>44866</v>
      </c>
      <c r="C2526" s="1" t="n">
        <v>45350</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50569-2022</t>
        </is>
      </c>
      <c r="B2527" s="1" t="n">
        <v>44866</v>
      </c>
      <c r="C2527" s="1" t="n">
        <v>45350</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50484-2022</t>
        </is>
      </c>
      <c r="B2528" s="1" t="n">
        <v>44866</v>
      </c>
      <c r="C2528" s="1" t="n">
        <v>45350</v>
      </c>
      <c r="D2528" t="inlineStr">
        <is>
          <t>STOCKHOLMS LÄN</t>
        </is>
      </c>
      <c r="E2528" t="inlineStr">
        <is>
          <t>NORRTÄLJE</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50970-2022</t>
        </is>
      </c>
      <c r="B2529" s="1" t="n">
        <v>44867</v>
      </c>
      <c r="C2529" s="1" t="n">
        <v>45350</v>
      </c>
      <c r="D2529" t="inlineStr">
        <is>
          <t>STOCKHOLMS LÄN</t>
        </is>
      </c>
      <c r="E2529" t="inlineStr">
        <is>
          <t>NORRTÄLJE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50983-2022</t>
        </is>
      </c>
      <c r="B2530" s="1" t="n">
        <v>44867</v>
      </c>
      <c r="C2530" s="1" t="n">
        <v>45350</v>
      </c>
      <c r="D2530" t="inlineStr">
        <is>
          <t>STOCKHOLMS LÄN</t>
        </is>
      </c>
      <c r="E2530" t="inlineStr">
        <is>
          <t>NORRTÄLJE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50836-2022</t>
        </is>
      </c>
      <c r="B2531" s="1" t="n">
        <v>44867</v>
      </c>
      <c r="C2531" s="1" t="n">
        <v>45350</v>
      </c>
      <c r="D2531" t="inlineStr">
        <is>
          <t>STOCKHOLMS LÄN</t>
        </is>
      </c>
      <c r="E2531" t="inlineStr">
        <is>
          <t>NYKVARN</t>
        </is>
      </c>
      <c r="F2531" t="inlineStr">
        <is>
          <t>Allmännings- och besparingsskogar</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50907-2022</t>
        </is>
      </c>
      <c r="B2532" s="1" t="n">
        <v>44867</v>
      </c>
      <c r="C2532" s="1" t="n">
        <v>45350</v>
      </c>
      <c r="D2532" t="inlineStr">
        <is>
          <t>STOCKHOLMS LÄN</t>
        </is>
      </c>
      <c r="E2532" t="inlineStr">
        <is>
          <t>NORRTÄLJE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51653-2022</t>
        </is>
      </c>
      <c r="B2533" s="1" t="n">
        <v>44867</v>
      </c>
      <c r="C2533" s="1" t="n">
        <v>45350</v>
      </c>
      <c r="D2533" t="inlineStr">
        <is>
          <t>STOCKHOLMS LÄN</t>
        </is>
      </c>
      <c r="E2533" t="inlineStr">
        <is>
          <t>NORRTÄLJE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51116-2022</t>
        </is>
      </c>
      <c r="B2534" s="1" t="n">
        <v>44868</v>
      </c>
      <c r="C2534" s="1" t="n">
        <v>45350</v>
      </c>
      <c r="D2534" t="inlineStr">
        <is>
          <t>STOCKHOLMS LÄN</t>
        </is>
      </c>
      <c r="E2534" t="inlineStr">
        <is>
          <t>NORRTÄLJE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51265-2022</t>
        </is>
      </c>
      <c r="B2535" s="1" t="n">
        <v>44868</v>
      </c>
      <c r="C2535" s="1" t="n">
        <v>45350</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52139-2022</t>
        </is>
      </c>
      <c r="B2536" s="1" t="n">
        <v>44868</v>
      </c>
      <c r="C2536" s="1" t="n">
        <v>45350</v>
      </c>
      <c r="D2536" t="inlineStr">
        <is>
          <t>STOCKHOLMS LÄN</t>
        </is>
      </c>
      <c r="E2536" t="inlineStr">
        <is>
          <t>NORRTÄLJE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52133-2022</t>
        </is>
      </c>
      <c r="B2537" s="1" t="n">
        <v>44868</v>
      </c>
      <c r="C2537" s="1" t="n">
        <v>45350</v>
      </c>
      <c r="D2537" t="inlineStr">
        <is>
          <t>STOCKHOLMS LÄN</t>
        </is>
      </c>
      <c r="E2537" t="inlineStr">
        <is>
          <t>NORRTÄLJE</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52260-2022</t>
        </is>
      </c>
      <c r="B2538" s="1" t="n">
        <v>44869</v>
      </c>
      <c r="C2538" s="1" t="n">
        <v>45350</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51984-2022</t>
        </is>
      </c>
      <c r="B2539" s="1" t="n">
        <v>44872</v>
      </c>
      <c r="C2539" s="1" t="n">
        <v>45350</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52878-2022</t>
        </is>
      </c>
      <c r="B2540" s="1" t="n">
        <v>44872</v>
      </c>
      <c r="C2540" s="1" t="n">
        <v>45350</v>
      </c>
      <c r="D2540" t="inlineStr">
        <is>
          <t>STOCKHOLMS LÄN</t>
        </is>
      </c>
      <c r="E2540" t="inlineStr">
        <is>
          <t>NYKVARN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52884-2022</t>
        </is>
      </c>
      <c r="B2541" s="1" t="n">
        <v>44872</v>
      </c>
      <c r="C2541" s="1" t="n">
        <v>45350</v>
      </c>
      <c r="D2541" t="inlineStr">
        <is>
          <t>STOCKHOLMS LÄN</t>
        </is>
      </c>
      <c r="E2541" t="inlineStr">
        <is>
          <t>EKERÖ</t>
        </is>
      </c>
      <c r="F2541" t="inlineStr">
        <is>
          <t>Övriga statliga verk och myndigheter</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53204-2022</t>
        </is>
      </c>
      <c r="B2542" s="1" t="n">
        <v>44872</v>
      </c>
      <c r="C2542" s="1" t="n">
        <v>45350</v>
      </c>
      <c r="D2542" t="inlineStr">
        <is>
          <t>STOCKHOLMS LÄN</t>
        </is>
      </c>
      <c r="E2542" t="inlineStr">
        <is>
          <t>NYKVARN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52101-2022</t>
        </is>
      </c>
      <c r="B2543" s="1" t="n">
        <v>44873</v>
      </c>
      <c r="C2543" s="1" t="n">
        <v>45350</v>
      </c>
      <c r="D2543" t="inlineStr">
        <is>
          <t>STOCKHOLMS LÄN</t>
        </is>
      </c>
      <c r="E2543" t="inlineStr">
        <is>
          <t>SÖDERTÄLJE</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52322-2022</t>
        </is>
      </c>
      <c r="B2544" s="1" t="n">
        <v>44873</v>
      </c>
      <c r="C2544" s="1" t="n">
        <v>45350</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52541-2022</t>
        </is>
      </c>
      <c r="B2545" s="1" t="n">
        <v>44874</v>
      </c>
      <c r="C2545" s="1" t="n">
        <v>45350</v>
      </c>
      <c r="D2545" t="inlineStr">
        <is>
          <t>STOCKHOLMS LÄN</t>
        </is>
      </c>
      <c r="E2545" t="inlineStr">
        <is>
          <t>SÖDERTÄLJE</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52963-2022</t>
        </is>
      </c>
      <c r="B2546" s="1" t="n">
        <v>44875</v>
      </c>
      <c r="C2546" s="1" t="n">
        <v>45350</v>
      </c>
      <c r="D2546" t="inlineStr">
        <is>
          <t>STOCKHOLMS LÄN</t>
        </is>
      </c>
      <c r="E2546" t="inlineStr">
        <is>
          <t>NYKVARN</t>
        </is>
      </c>
      <c r="F2546" t="inlineStr">
        <is>
          <t>Allmännings- och besparingsskogar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52960-2022</t>
        </is>
      </c>
      <c r="B2547" s="1" t="n">
        <v>44875</v>
      </c>
      <c r="C2547" s="1" t="n">
        <v>45350</v>
      </c>
      <c r="D2547" t="inlineStr">
        <is>
          <t>STOCKHOLMS LÄN</t>
        </is>
      </c>
      <c r="E2547" t="inlineStr">
        <is>
          <t>NYKVARN</t>
        </is>
      </c>
      <c r="F2547" t="inlineStr">
        <is>
          <t>Allmännings- och besparingsskogar</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53730-2022</t>
        </is>
      </c>
      <c r="B2548" s="1" t="n">
        <v>44875</v>
      </c>
      <c r="C2548" s="1" t="n">
        <v>45350</v>
      </c>
      <c r="D2548" t="inlineStr">
        <is>
          <t>STOCKHOLMS LÄN</t>
        </is>
      </c>
      <c r="E2548" t="inlineStr">
        <is>
          <t>NYNÄSHAMN</t>
        </is>
      </c>
      <c r="F2548" t="inlineStr">
        <is>
          <t>Övriga statliga verk och myndigheter</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54056-2022</t>
        </is>
      </c>
      <c r="B2549" s="1" t="n">
        <v>44876</v>
      </c>
      <c r="C2549" s="1" t="n">
        <v>45350</v>
      </c>
      <c r="D2549" t="inlineStr">
        <is>
          <t>STOCKHOLMS LÄN</t>
        </is>
      </c>
      <c r="E2549" t="inlineStr">
        <is>
          <t>VÄRMDÖ</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53461-2022</t>
        </is>
      </c>
      <c r="B2550" s="1" t="n">
        <v>44879</v>
      </c>
      <c r="C2550" s="1" t="n">
        <v>45350</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53600-2022</t>
        </is>
      </c>
      <c r="B2551" s="1" t="n">
        <v>44879</v>
      </c>
      <c r="C2551" s="1" t="n">
        <v>45350</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53459-2022</t>
        </is>
      </c>
      <c r="B2552" s="1" t="n">
        <v>44879</v>
      </c>
      <c r="C2552" s="1" t="n">
        <v>45350</v>
      </c>
      <c r="D2552" t="inlineStr">
        <is>
          <t>STOCKHOLMS LÄN</t>
        </is>
      </c>
      <c r="E2552" t="inlineStr">
        <is>
          <t>NORRTÄLJE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53884-2022</t>
        </is>
      </c>
      <c r="B2553" s="1" t="n">
        <v>44880</v>
      </c>
      <c r="C2553" s="1" t="n">
        <v>45350</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54205-2022</t>
        </is>
      </c>
      <c r="B2554" s="1" t="n">
        <v>44881</v>
      </c>
      <c r="C2554" s="1" t="n">
        <v>45350</v>
      </c>
      <c r="D2554" t="inlineStr">
        <is>
          <t>STOCKHOLMS LÄN</t>
        </is>
      </c>
      <c r="E2554" t="inlineStr">
        <is>
          <t>NYKVARN</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54169-2022</t>
        </is>
      </c>
      <c r="B2555" s="1" t="n">
        <v>44881</v>
      </c>
      <c r="C2555" s="1" t="n">
        <v>45350</v>
      </c>
      <c r="D2555" t="inlineStr">
        <is>
          <t>STOCKHOLMS LÄN</t>
        </is>
      </c>
      <c r="E2555" t="inlineStr">
        <is>
          <t>NORRTÄLJE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54175-2022</t>
        </is>
      </c>
      <c r="B2556" s="1" t="n">
        <v>44881</v>
      </c>
      <c r="C2556" s="1" t="n">
        <v>45350</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54355-2022</t>
        </is>
      </c>
      <c r="B2557" s="1" t="n">
        <v>44882</v>
      </c>
      <c r="C2557" s="1" t="n">
        <v>45350</v>
      </c>
      <c r="D2557" t="inlineStr">
        <is>
          <t>STOCKHOLMS LÄN</t>
        </is>
      </c>
      <c r="E2557" t="inlineStr">
        <is>
          <t>NORRTÄLJE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54427-2022</t>
        </is>
      </c>
      <c r="B2558" s="1" t="n">
        <v>44882</v>
      </c>
      <c r="C2558" s="1" t="n">
        <v>45350</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54340-2022</t>
        </is>
      </c>
      <c r="B2559" s="1" t="n">
        <v>44882</v>
      </c>
      <c r="C2559" s="1" t="n">
        <v>45350</v>
      </c>
      <c r="D2559" t="inlineStr">
        <is>
          <t>STOCKHOLMS LÄN</t>
        </is>
      </c>
      <c r="E2559" t="inlineStr">
        <is>
          <t>NORRTÄLJE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54358-2022</t>
        </is>
      </c>
      <c r="B2560" s="1" t="n">
        <v>44882</v>
      </c>
      <c r="C2560" s="1" t="n">
        <v>45350</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54354-2022</t>
        </is>
      </c>
      <c r="B2561" s="1" t="n">
        <v>44882</v>
      </c>
      <c r="C2561" s="1" t="n">
        <v>45350</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54614-2022</t>
        </is>
      </c>
      <c r="B2562" s="1" t="n">
        <v>44883</v>
      </c>
      <c r="C2562" s="1" t="n">
        <v>45350</v>
      </c>
      <c r="D2562" t="inlineStr">
        <is>
          <t>STOCKHOLMS LÄN</t>
        </is>
      </c>
      <c r="E2562" t="inlineStr">
        <is>
          <t>NYKVARN</t>
        </is>
      </c>
      <c r="F2562" t="inlineStr">
        <is>
          <t>Allmännings- och besparingsskogar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54627-2022</t>
        </is>
      </c>
      <c r="B2563" s="1" t="n">
        <v>44883</v>
      </c>
      <c r="C2563" s="1" t="n">
        <v>45350</v>
      </c>
      <c r="D2563" t="inlineStr">
        <is>
          <t>STOCKHOLMS LÄN</t>
        </is>
      </c>
      <c r="E2563" t="inlineStr">
        <is>
          <t>NYKVARN</t>
        </is>
      </c>
      <c r="F2563" t="inlineStr">
        <is>
          <t>Allmännings- och besparingsskogar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55047-2022</t>
        </is>
      </c>
      <c r="B2564" s="1" t="n">
        <v>44886</v>
      </c>
      <c r="C2564" s="1" t="n">
        <v>45350</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55696-2022</t>
        </is>
      </c>
      <c r="B2565" s="1" t="n">
        <v>44888</v>
      </c>
      <c r="C2565" s="1" t="n">
        <v>45350</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56044-2022</t>
        </is>
      </c>
      <c r="B2566" s="1" t="n">
        <v>44889</v>
      </c>
      <c r="C2566" s="1" t="n">
        <v>45350</v>
      </c>
      <c r="D2566" t="inlineStr">
        <is>
          <t>STOCKHOLMS LÄN</t>
        </is>
      </c>
      <c r="E2566" t="inlineStr">
        <is>
          <t>NYKVARN</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55973-2022</t>
        </is>
      </c>
      <c r="B2567" s="1" t="n">
        <v>44889</v>
      </c>
      <c r="C2567" s="1" t="n">
        <v>45350</v>
      </c>
      <c r="D2567" t="inlineStr">
        <is>
          <t>STOCKHOLMS LÄN</t>
        </is>
      </c>
      <c r="E2567" t="inlineStr">
        <is>
          <t>SÖDERTÄLJE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56801-2022</t>
        </is>
      </c>
      <c r="B2568" s="1" t="n">
        <v>44894</v>
      </c>
      <c r="C2568" s="1" t="n">
        <v>45350</v>
      </c>
      <c r="D2568" t="inlineStr">
        <is>
          <t>STOCKHOLMS LÄN</t>
        </is>
      </c>
      <c r="E2568" t="inlineStr">
        <is>
          <t>SIGTUNA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56796-2022</t>
        </is>
      </c>
      <c r="B2569" s="1" t="n">
        <v>44894</v>
      </c>
      <c r="C2569" s="1" t="n">
        <v>45350</v>
      </c>
      <c r="D2569" t="inlineStr">
        <is>
          <t>STOCKHOLMS LÄN</t>
        </is>
      </c>
      <c r="E2569" t="inlineStr">
        <is>
          <t>SIGTUNA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57037-2022</t>
        </is>
      </c>
      <c r="B2570" s="1" t="n">
        <v>44895</v>
      </c>
      <c r="C2570" s="1" t="n">
        <v>45350</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57876-2022</t>
        </is>
      </c>
      <c r="B2571" s="1" t="n">
        <v>44899</v>
      </c>
      <c r="C2571" s="1" t="n">
        <v>45350</v>
      </c>
      <c r="D2571" t="inlineStr">
        <is>
          <t>STOCKHOLMS LÄN</t>
        </is>
      </c>
      <c r="E2571" t="inlineStr">
        <is>
          <t>BOTKYRKA</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59767-2022</t>
        </is>
      </c>
      <c r="B2572" s="1" t="n">
        <v>44900</v>
      </c>
      <c r="C2572" s="1" t="n">
        <v>45350</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58302-2022</t>
        </is>
      </c>
      <c r="B2573" s="1" t="n">
        <v>44901</v>
      </c>
      <c r="C2573" s="1" t="n">
        <v>45350</v>
      </c>
      <c r="D2573" t="inlineStr">
        <is>
          <t>STOCKHOLMS LÄN</t>
        </is>
      </c>
      <c r="E2573" t="inlineStr">
        <is>
          <t>NORRTÄLJE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58418-2022</t>
        </is>
      </c>
      <c r="B2574" s="1" t="n">
        <v>44901</v>
      </c>
      <c r="C2574" s="1" t="n">
        <v>45350</v>
      </c>
      <c r="D2574" t="inlineStr">
        <is>
          <t>STOCKHOLMS LÄN</t>
        </is>
      </c>
      <c r="E2574" t="inlineStr">
        <is>
          <t>SÖDERTÄLJE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59836-2022</t>
        </is>
      </c>
      <c r="B2575" s="1" t="n">
        <v>44901</v>
      </c>
      <c r="C2575" s="1" t="n">
        <v>45350</v>
      </c>
      <c r="D2575" t="inlineStr">
        <is>
          <t>STOCKHOLMS LÄN</t>
        </is>
      </c>
      <c r="E2575" t="inlineStr">
        <is>
          <t>UPPLANDS-BRO</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59844-2022</t>
        </is>
      </c>
      <c r="B2576" s="1" t="n">
        <v>44901</v>
      </c>
      <c r="C2576" s="1" t="n">
        <v>45350</v>
      </c>
      <c r="D2576" t="inlineStr">
        <is>
          <t>STOCKHOLMS LÄN</t>
        </is>
      </c>
      <c r="E2576" t="inlineStr">
        <is>
          <t>UPPLANDS-BRO</t>
        </is>
      </c>
      <c r="F2576" t="inlineStr">
        <is>
          <t>Övriga statliga verk och myndigheter</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59848-2022</t>
        </is>
      </c>
      <c r="B2577" s="1" t="n">
        <v>44901</v>
      </c>
      <c r="C2577" s="1" t="n">
        <v>45350</v>
      </c>
      <c r="D2577" t="inlineStr">
        <is>
          <t>STOCKHOLMS LÄN</t>
        </is>
      </c>
      <c r="E2577" t="inlineStr">
        <is>
          <t>UPPLANDS-BRO</t>
        </is>
      </c>
      <c r="F2577" t="inlineStr">
        <is>
          <t>Övriga statliga verk och myndigheter</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58492-2022</t>
        </is>
      </c>
      <c r="B2578" s="1" t="n">
        <v>44902</v>
      </c>
      <c r="C2578" s="1" t="n">
        <v>45350</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58543-2022</t>
        </is>
      </c>
      <c r="B2579" s="1" t="n">
        <v>44902</v>
      </c>
      <c r="C2579" s="1" t="n">
        <v>45350</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58618-2022</t>
        </is>
      </c>
      <c r="B2580" s="1" t="n">
        <v>44902</v>
      </c>
      <c r="C2580" s="1" t="n">
        <v>45350</v>
      </c>
      <c r="D2580" t="inlineStr">
        <is>
          <t>STOCKHOLMS LÄN</t>
        </is>
      </c>
      <c r="E2580" t="inlineStr">
        <is>
          <t>BOTKYRKA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58993-2022</t>
        </is>
      </c>
      <c r="B2581" s="1" t="n">
        <v>44903</v>
      </c>
      <c r="C2581" s="1" t="n">
        <v>45350</v>
      </c>
      <c r="D2581" t="inlineStr">
        <is>
          <t>STOCKHOLMS LÄN</t>
        </is>
      </c>
      <c r="E2581" t="inlineStr">
        <is>
          <t>NORRTÄLJE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58928-2022</t>
        </is>
      </c>
      <c r="B2582" s="1" t="n">
        <v>44903</v>
      </c>
      <c r="C2582" s="1" t="n">
        <v>45350</v>
      </c>
      <c r="D2582" t="inlineStr">
        <is>
          <t>STOCKHOLMS LÄN</t>
        </is>
      </c>
      <c r="E2582" t="inlineStr">
        <is>
          <t>SÖDERTÄLJE</t>
        </is>
      </c>
      <c r="F2582" t="inlineStr">
        <is>
          <t>Kommuner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59165-2022</t>
        </is>
      </c>
      <c r="B2583" s="1" t="n">
        <v>44904</v>
      </c>
      <c r="C2583" s="1" t="n">
        <v>45350</v>
      </c>
      <c r="D2583" t="inlineStr">
        <is>
          <t>STOCKHOLMS LÄN</t>
        </is>
      </c>
      <c r="E2583" t="inlineStr">
        <is>
          <t>SIGTUNA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59168-2022</t>
        </is>
      </c>
      <c r="B2584" s="1" t="n">
        <v>44904</v>
      </c>
      <c r="C2584" s="1" t="n">
        <v>45350</v>
      </c>
      <c r="D2584" t="inlineStr">
        <is>
          <t>STOCKHOLMS LÄN</t>
        </is>
      </c>
      <c r="E2584" t="inlineStr">
        <is>
          <t>SIGTUNA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60525-2022</t>
        </is>
      </c>
      <c r="B2585" s="1" t="n">
        <v>44904</v>
      </c>
      <c r="C2585" s="1" t="n">
        <v>45350</v>
      </c>
      <c r="D2585" t="inlineStr">
        <is>
          <t>STOCKHOLMS LÄN</t>
        </is>
      </c>
      <c r="E2585" t="inlineStr">
        <is>
          <t>NORRTÄLJE</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59379-2022</t>
        </is>
      </c>
      <c r="B2586" s="1" t="n">
        <v>44905</v>
      </c>
      <c r="C2586" s="1" t="n">
        <v>45350</v>
      </c>
      <c r="D2586" t="inlineStr">
        <is>
          <t>STOCKHOLMS LÄN</t>
        </is>
      </c>
      <c r="E2586" t="inlineStr">
        <is>
          <t>ÖSTERÅKER</t>
        </is>
      </c>
      <c r="F2586" t="inlineStr">
        <is>
          <t>Kommuner</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59402-2022</t>
        </is>
      </c>
      <c r="B2587" s="1" t="n">
        <v>44906</v>
      </c>
      <c r="C2587" s="1" t="n">
        <v>45350</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59717-2022</t>
        </is>
      </c>
      <c r="B2588" s="1" t="n">
        <v>44908</v>
      </c>
      <c r="C2588" s="1" t="n">
        <v>45350</v>
      </c>
      <c r="D2588" t="inlineStr">
        <is>
          <t>STOCKHOLMS LÄN</t>
        </is>
      </c>
      <c r="E2588" t="inlineStr">
        <is>
          <t>NORRTÄLJE</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60977-2022</t>
        </is>
      </c>
      <c r="B2589" s="1" t="n">
        <v>44908</v>
      </c>
      <c r="C2589" s="1" t="n">
        <v>45350</v>
      </c>
      <c r="D2589" t="inlineStr">
        <is>
          <t>STOCKHOLMS LÄN</t>
        </is>
      </c>
      <c r="E2589" t="inlineStr">
        <is>
          <t>NYNÄSHAMN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59893-2022</t>
        </is>
      </c>
      <c r="B2590" s="1" t="n">
        <v>44908</v>
      </c>
      <c r="C2590" s="1" t="n">
        <v>45350</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59892-2022</t>
        </is>
      </c>
      <c r="B2591" s="1" t="n">
        <v>44908</v>
      </c>
      <c r="C2591" s="1" t="n">
        <v>45350</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60324-2022</t>
        </is>
      </c>
      <c r="B2592" s="1" t="n">
        <v>44910</v>
      </c>
      <c r="C2592" s="1" t="n">
        <v>45350</v>
      </c>
      <c r="D2592" t="inlineStr">
        <is>
          <t>STOCKHOLMS LÄN</t>
        </is>
      </c>
      <c r="E2592" t="inlineStr">
        <is>
          <t>NYKVARN</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60729-2022</t>
        </is>
      </c>
      <c r="B2593" s="1" t="n">
        <v>44913</v>
      </c>
      <c r="C2593" s="1" t="n">
        <v>45350</v>
      </c>
      <c r="D2593" t="inlineStr">
        <is>
          <t>STOCKHOLMS LÄN</t>
        </is>
      </c>
      <c r="E2593" t="inlineStr">
        <is>
          <t>EKERÖ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60728-2022</t>
        </is>
      </c>
      <c r="B2594" s="1" t="n">
        <v>44913</v>
      </c>
      <c r="C2594" s="1" t="n">
        <v>45350</v>
      </c>
      <c r="D2594" t="inlineStr">
        <is>
          <t>STOCKHOLMS LÄN</t>
        </is>
      </c>
      <c r="E2594" t="inlineStr">
        <is>
          <t>EKERÖ</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60840-2022</t>
        </is>
      </c>
      <c r="B2595" s="1" t="n">
        <v>44914</v>
      </c>
      <c r="C2595" s="1" t="n">
        <v>45350</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61016-2022</t>
        </is>
      </c>
      <c r="B2596" s="1" t="n">
        <v>44914</v>
      </c>
      <c r="C2596" s="1" t="n">
        <v>45350</v>
      </c>
      <c r="D2596" t="inlineStr">
        <is>
          <t>STOCKHOLMS LÄN</t>
        </is>
      </c>
      <c r="E2596" t="inlineStr">
        <is>
          <t>NORRTÄLJE</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60997-2022</t>
        </is>
      </c>
      <c r="B2597" s="1" t="n">
        <v>44914</v>
      </c>
      <c r="C2597" s="1" t="n">
        <v>45350</v>
      </c>
      <c r="D2597" t="inlineStr">
        <is>
          <t>STOCKHOLMS LÄN</t>
        </is>
      </c>
      <c r="E2597" t="inlineStr">
        <is>
          <t>VALLENTUNA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61242-2022</t>
        </is>
      </c>
      <c r="B2598" s="1" t="n">
        <v>44915</v>
      </c>
      <c r="C2598" s="1" t="n">
        <v>45350</v>
      </c>
      <c r="D2598" t="inlineStr">
        <is>
          <t>STOCKHOLMS LÄN</t>
        </is>
      </c>
      <c r="E2598" t="inlineStr">
        <is>
          <t>BOTKYRKA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61310-2022</t>
        </is>
      </c>
      <c r="B2599" s="1" t="n">
        <v>44915</v>
      </c>
      <c r="C2599" s="1" t="n">
        <v>45350</v>
      </c>
      <c r="D2599" t="inlineStr">
        <is>
          <t>STOCKHOLMS LÄN</t>
        </is>
      </c>
      <c r="E2599" t="inlineStr">
        <is>
          <t>ÖSTERÅKER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61225-2022</t>
        </is>
      </c>
      <c r="B2600" s="1" t="n">
        <v>44915</v>
      </c>
      <c r="C2600" s="1" t="n">
        <v>45350</v>
      </c>
      <c r="D2600" t="inlineStr">
        <is>
          <t>STOCKHOLMS LÄN</t>
        </is>
      </c>
      <c r="E2600" t="inlineStr">
        <is>
          <t>BOTKYRKA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61336-2022</t>
        </is>
      </c>
      <c r="B2601" s="1" t="n">
        <v>44915</v>
      </c>
      <c r="C2601" s="1" t="n">
        <v>45350</v>
      </c>
      <c r="D2601" t="inlineStr">
        <is>
          <t>STOCKHOLMS LÄN</t>
        </is>
      </c>
      <c r="E2601" t="inlineStr">
        <is>
          <t>SALEM</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61360-2022</t>
        </is>
      </c>
      <c r="B2602" s="1" t="n">
        <v>44915</v>
      </c>
      <c r="C2602" s="1" t="n">
        <v>45350</v>
      </c>
      <c r="D2602" t="inlineStr">
        <is>
          <t>STOCKHOLMS LÄN</t>
        </is>
      </c>
      <c r="E2602" t="inlineStr">
        <is>
          <t>ÖSTERÅKER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61190-2022</t>
        </is>
      </c>
      <c r="B2603" s="1" t="n">
        <v>44915</v>
      </c>
      <c r="C2603" s="1" t="n">
        <v>45350</v>
      </c>
      <c r="D2603" t="inlineStr">
        <is>
          <t>STOCKHOLMS LÄN</t>
        </is>
      </c>
      <c r="E2603" t="inlineStr">
        <is>
          <t>VALLENTUNA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61305-2022</t>
        </is>
      </c>
      <c r="B2604" s="1" t="n">
        <v>44915</v>
      </c>
      <c r="C2604" s="1" t="n">
        <v>45350</v>
      </c>
      <c r="D2604" t="inlineStr">
        <is>
          <t>STOCKHOLMS LÄN</t>
        </is>
      </c>
      <c r="E2604" t="inlineStr">
        <is>
          <t>SALEM</t>
        </is>
      </c>
      <c r="F2604" t="inlineStr">
        <is>
          <t>Kommuner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61323-2022</t>
        </is>
      </c>
      <c r="B2605" s="1" t="n">
        <v>44915</v>
      </c>
      <c r="C2605" s="1" t="n">
        <v>45350</v>
      </c>
      <c r="D2605" t="inlineStr">
        <is>
          <t>STOCKHOLMS LÄN</t>
        </is>
      </c>
      <c r="E2605" t="inlineStr">
        <is>
          <t>ÖSTERÅKER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61357-2022</t>
        </is>
      </c>
      <c r="B2606" s="1" t="n">
        <v>44915</v>
      </c>
      <c r="C2606" s="1" t="n">
        <v>45350</v>
      </c>
      <c r="D2606" t="inlineStr">
        <is>
          <t>STOCKHOLMS LÄN</t>
        </is>
      </c>
      <c r="E2606" t="inlineStr">
        <is>
          <t>ÖSTERÅKER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45350</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45350</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45350</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45350</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45350</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45350</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45350</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45350</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45350</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45350</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45350</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45350</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45350</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45350</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45350</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45350</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45350</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45350</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45350</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45350</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45350</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45350</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45350</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45350</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45350</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45350</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45350</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45350</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45350</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45350</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45350</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45350</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45350</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45350</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45350</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45350</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45350</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45350</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45350</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45350</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45350</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45350</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45350</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45350</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45350</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45350</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45350</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45350</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45350</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45350</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45350</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45350</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45350</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45350</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45350</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45350</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45350</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45350</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45350</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45350</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45350</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45350</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45350</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45350</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45350</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45350</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45350</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45350</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45350</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45350</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45350</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45350</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45350</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45350</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45350</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45350</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45350</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45350</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45350</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45350</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45350</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45350</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45350</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45350</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45350</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45350</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45350</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45350</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45350</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45350</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45350</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45350</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45350</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45350</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45350</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45350</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45350</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45350</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45350</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45350</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45350</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45350</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45350</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45350</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45350</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45350</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45350</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45350</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45350</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45350</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45350</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45350</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45350</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45350</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45350</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45350</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45350</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45350</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45350</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45350</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45350</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45350</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45350</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45350</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45350</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45350</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45350</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45350</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45350</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45350</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45350</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45350</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45350</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45350</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45350</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45350</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45350</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45350</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45350</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45350</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45350</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45350</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45350</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45350</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45350</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45350</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45350</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45350</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45350</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45350</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45350</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45350</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45350</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45350</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45350</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45350</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45350</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45350</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45350</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45350</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45350</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45350</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45350</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45350</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45350</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45350</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45350</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45350</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45350</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45350</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45350</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45350</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45350</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45350</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45350</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45350</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45350</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45350</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45350</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45350</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45350</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45350</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45350</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45350</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45350</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45350</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45350</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45350</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45350</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45350</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45350</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45350</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45350</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45350</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45350</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45350</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45350</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45350</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45350</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45350</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45350</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45350</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45350</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45350</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45350</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45350</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45350</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45350</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45350</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45350</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45350</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45350</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45350</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45350</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45350</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45350</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45350</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45350</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45350</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45350</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45350</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45350</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45350</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45350</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45350</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45350</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45350</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45350</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45350</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45350</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45350</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45350</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45350</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45350</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45350</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45350</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45350</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45350</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45350</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45350</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45350</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45350</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45350</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45350</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45350</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45350</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45350</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45350</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45350</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45350</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45350</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45350</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45350</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45350</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45350</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45350</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45350</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45350</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45350</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45350</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45350</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45350</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45350</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45350</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45350</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45350</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45350</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45350</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45350</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45350</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45350</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45350</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45350</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45350</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45350</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45350</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45350</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45350</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45350</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45350</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45350</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45350</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45350</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45350</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45350</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45350</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45350</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45350</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45350</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45350</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45350</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45350</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45350</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45350</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45350</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45350</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45350</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45350</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45350</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45350</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45350</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45350</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45350</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45350</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45350</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45350</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45350</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45350</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45350</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45350</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45350</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45350</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45350</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45350</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45350</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45350</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45350</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45350</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45350</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45350</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45350</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45350</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45350</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45350</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45350</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45350</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45350</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45350</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45350</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45350</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45350</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45350</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45350</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45350</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45350</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45350</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45350</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45350</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45350</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45350</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45350</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45350</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45350</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45350</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45350</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45350</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45350</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45350</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45350</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45350</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45350</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45350</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45350</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45350</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45350</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45350</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45350</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45350</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45350</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45350</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45350</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45350</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45350</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45350</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45350</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45350</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45350</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45350</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45350</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45350</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45350</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45350</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45350</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45350</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45350</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45350</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45350</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45350</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45350</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45350</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45350</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45350</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45350</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45350</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45350</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45350</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45350</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45350</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45350</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45350</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45350</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45350</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45350</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45350</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45350</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45350</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45350</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45350</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45350</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45350</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45350</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45350</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45350</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45350</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45350</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45350</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45350</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45350</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45350</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45350</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45350</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45350</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45350</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45350</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45350</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45350</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45350</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45350</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45350</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45350</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45350</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45350</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45350</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45350</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45350</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45350</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45350</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45350</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45350</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45350</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45350</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45350</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45350</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45350</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45350</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45350</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45350</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45350</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45350</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45350</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45350</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45350</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45350</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45350</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45350</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45350</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45350</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45350</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45350</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45350</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45350</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45350</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45350</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45350</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45350</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45350</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45350</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45350</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45350</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45350</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45350</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45350</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45350</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45350</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45350</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45350</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45350</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45350</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45350</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45350</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45350</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45350</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45350</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45350</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45350</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45350</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45350</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45350</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45350</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45350</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45350</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45350</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45350</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45350</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45350</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45350</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45350</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45350</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45350</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45350</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45350</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45350</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45350</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45350</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45350</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45350</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45350</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45350</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45350</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45350</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45350</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45350</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45350</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45350</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45350</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45350</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45350</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45350</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45350</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45350</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45350</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45350</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45350</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45350</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45350</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45350</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45350</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45350</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45350</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45350</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45350</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45350</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45350</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45350</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45350</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45350</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45350</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45350</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45350</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45350</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45350</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45350</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45350</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45350</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45350</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45350</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45350</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45350</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45350</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45350</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45350</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45350</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45350</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45350</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45350</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45350</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45350</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45350</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45350</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45350</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45350</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45350</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45350</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45350</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45350</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45350</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45350</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45350</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45350</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45350</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45350</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45350</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45350</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45350</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45350</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45350</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45350</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45350</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45350</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45350</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45350</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45350</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45350</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45350</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45350</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45350</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45350</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45350</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45350</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45350</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45350</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45350</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45350</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45350</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45350</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45350</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45350</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45350</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45350</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45350</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45350</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45350</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45350</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45350</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45350</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45350</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45350</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45350</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45350</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45350</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45350</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45350</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45350</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45350</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45350</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45350</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45350</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45350</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45350</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45350</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45350</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45350</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45350</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45350</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45350</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45350</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45350</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45350</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45350</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45350</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45350</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45350</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45350</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45350</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45350</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45350</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45350</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45350</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45350</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45350</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45350</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45350</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45350</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45350</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45350</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45350</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45350</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45350</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45350</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45350</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45350</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45350</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45350</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45350</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45350</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45350</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45350</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45350</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45350</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45350</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45350</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45350</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45350</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45350</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45350</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45350</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45350</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45350</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45350</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45350</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45350</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45350</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45350</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45350</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45350</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45350</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45350</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45350</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45350</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45350</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45350</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45350</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45350</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45350</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45350</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45350</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45350</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45350</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45350</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45350</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45350</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45350</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45350</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45350</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45350</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45350</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45350</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45350</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45350</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45350</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45350</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45350</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45350</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45350</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45350</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45350</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45350</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45350</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45350</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45350</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45350</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45350</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45350</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45350</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45350</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45350</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45350</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45350</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45350</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45350</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45350</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45350</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45350</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45350</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45350</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45350</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45350</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45350</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45350</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45350</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45350</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45350</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45350</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45350</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45350</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45350</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45350</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45350</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45350</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45350</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45350</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45350</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45350</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45350</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45350</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45350</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45350</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45350</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45350</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45350</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45350</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45350</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45350</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45350</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45350</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45350</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45350</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45350</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45350</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45350</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45350</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45350</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45350</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45350</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45350</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45350</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45350</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45350</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45350</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45350</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45350</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45350</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45350</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45350</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45350</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45350</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45350</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45350</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45350</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45350</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45350</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45350</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45350</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45350</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45350</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45350</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45350</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45350</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45350</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45350</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45350</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45350</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45350</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45350</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45350</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45350</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45350</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45350</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45350</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45350</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45350</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45350</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45350</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45350</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45350</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45350</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45350</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45350</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45350</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45350</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45350</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45350</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45350</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45350</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45350</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45350</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45350</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45350</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45350</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45350</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45350</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45350</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45350</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45350</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45350</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45350</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45350</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45350</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45350</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45350</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45350</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45350</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45350</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45350</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45350</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45350</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45350</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45350</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45350</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45350</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45350</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45350</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45350</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45350</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45350</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45350</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45350</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45350</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45350</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45350</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45350</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45350</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45350</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45350</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45350</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45350</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45350</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45350</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45350</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45350</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45350</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45350</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45350</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45350</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45350</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45350</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45350</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45350</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45350</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45350</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45350</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45350</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45350</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45350</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45350</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45350</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45350</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45350</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45350</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45350</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45350</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45350</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45350</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45350</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45350</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45350</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45350</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45350</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45350</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45350</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45350</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45350</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45350</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45350</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45350</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45350</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45350</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45350</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45350</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45350</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45350</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45350</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45350</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45350</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45350</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45350</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45350</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45350</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45350</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45350</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45350</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45350</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45350</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45350</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45350</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45350</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45350</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45350</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45350</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45350</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45350</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45350</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45350</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45350</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45350</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45350</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45350</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45350</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45350</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45350</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45350</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45350</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45350</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45350</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45350</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45350</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45350</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45350</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45350</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45350</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45350</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45350</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45350</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45350</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45350</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45350</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45350</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45350</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45350</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45350</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45350</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45350</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45350</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45350</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45350</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45350</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45350</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45350</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45350</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45350</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45350</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45350</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45350</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45350</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45350</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45350</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45350</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45350</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45350</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45350</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45350</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45350</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45350</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45350</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45350</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45350</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45350</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45350</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45350</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45350</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45350</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45350</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45350</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45350</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45350</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45350</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45350</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45350</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45350</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45350</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45350</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45350</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45350</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45350</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45350</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45350</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45350</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45350</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45350</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45350</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45350</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45350</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45350</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45350</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45350</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45350</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45350</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45350</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45350</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45350</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45350</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45350</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45350</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45350</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4060-2024</t>
        </is>
      </c>
      <c r="B3611" s="1" t="n">
        <v>45323</v>
      </c>
      <c r="C3611" s="1" t="n">
        <v>45350</v>
      </c>
      <c r="D3611" t="inlineStr">
        <is>
          <t>STOCKHOLMS LÄN</t>
        </is>
      </c>
      <c r="E3611" t="inlineStr">
        <is>
          <t>UPPLANDS-BRO</t>
        </is>
      </c>
      <c r="F3611" t="inlineStr">
        <is>
          <t>Övriga statliga verk och myndigheter</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4051-2024</t>
        </is>
      </c>
      <c r="B3612" s="1" t="n">
        <v>45323</v>
      </c>
      <c r="C3612" s="1" t="n">
        <v>45350</v>
      </c>
      <c r="D3612" t="inlineStr">
        <is>
          <t>STOCKHOLMS LÄN</t>
        </is>
      </c>
      <c r="E3612" t="inlineStr">
        <is>
          <t>NORRTÄLJE</t>
        </is>
      </c>
      <c r="F3612" t="inlineStr">
        <is>
          <t>Kyrkan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45350</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45350</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45350</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45350</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4803-2024</t>
        </is>
      </c>
      <c r="B3617" s="1" t="n">
        <v>45328</v>
      </c>
      <c r="C3617" s="1" t="n">
        <v>45350</v>
      </c>
      <c r="D3617" t="inlineStr">
        <is>
          <t>STOCKHOLMS LÄN</t>
        </is>
      </c>
      <c r="E3617" t="inlineStr">
        <is>
          <t>VALLENTUNA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4804-2024</t>
        </is>
      </c>
      <c r="B3618" s="1" t="n">
        <v>45328</v>
      </c>
      <c r="C3618" s="1" t="n">
        <v>45350</v>
      </c>
      <c r="D3618" t="inlineStr">
        <is>
          <t>STOCKHOLMS LÄN</t>
        </is>
      </c>
      <c r="E3618" t="inlineStr">
        <is>
          <t>VALLENTUNA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45350</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45350</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45350</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5625-2024</t>
        </is>
      </c>
      <c r="B3622" s="1" t="n">
        <v>45334</v>
      </c>
      <c r="C3622" s="1" t="n">
        <v>45350</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5683-2024</t>
        </is>
      </c>
      <c r="B3623" s="1" t="n">
        <v>45334</v>
      </c>
      <c r="C3623" s="1" t="n">
        <v>45350</v>
      </c>
      <c r="D3623" t="inlineStr">
        <is>
          <t>STOCKHOLMS LÄN</t>
        </is>
      </c>
      <c r="E3623" t="inlineStr">
        <is>
          <t>NORRTÄLJE</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5670-2024</t>
        </is>
      </c>
      <c r="B3624" s="1" t="n">
        <v>45334</v>
      </c>
      <c r="C3624" s="1" t="n">
        <v>45350</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45350</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45350</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45350</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45350</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45350</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45350</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45350</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45350</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45350</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45350</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45350</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6978-2024</t>
        </is>
      </c>
      <c r="B3636" s="1" t="n">
        <v>45343</v>
      </c>
      <c r="C3636" s="1" t="n">
        <v>45350</v>
      </c>
      <c r="D3636" t="inlineStr">
        <is>
          <t>STOCKHOLMS LÄN</t>
        </is>
      </c>
      <c r="E3636" t="inlineStr">
        <is>
          <t>BOTKYRKA</t>
        </is>
      </c>
      <c r="F3636" t="inlineStr">
        <is>
          <t>Övriga Aktiebolag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7009-2024</t>
        </is>
      </c>
      <c r="B3637" s="1" t="n">
        <v>45343</v>
      </c>
      <c r="C3637" s="1" t="n">
        <v>45350</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7096-2024</t>
        </is>
      </c>
      <c r="B3638" s="1" t="n">
        <v>45343</v>
      </c>
      <c r="C3638" s="1" t="n">
        <v>45350</v>
      </c>
      <c r="D3638" t="inlineStr">
        <is>
          <t>STOCKHOLMS LÄN</t>
        </is>
      </c>
      <c r="E3638" t="inlineStr">
        <is>
          <t>SIGTUNA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6962-2024</t>
        </is>
      </c>
      <c r="B3639" s="1" t="n">
        <v>45343</v>
      </c>
      <c r="C3639" s="1" t="n">
        <v>45350</v>
      </c>
      <c r="D3639" t="inlineStr">
        <is>
          <t>STOCKHOLMS LÄN</t>
        </is>
      </c>
      <c r="E3639" t="inlineStr">
        <is>
          <t>BOTKYRKA</t>
        </is>
      </c>
      <c r="F3639" t="inlineStr">
        <is>
          <t>Övriga Aktiebolag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7142-2024</t>
        </is>
      </c>
      <c r="B3640" s="1" t="n">
        <v>45344</v>
      </c>
      <c r="C3640" s="1" t="n">
        <v>45350</v>
      </c>
      <c r="D3640" t="inlineStr">
        <is>
          <t>STOCKHOLMS LÄN</t>
        </is>
      </c>
      <c r="E3640" t="inlineStr">
        <is>
          <t>SIGTUNA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45350</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7180-2024</t>
        </is>
      </c>
      <c r="B3642" s="1" t="n">
        <v>45344</v>
      </c>
      <c r="C3642" s="1" t="n">
        <v>45350</v>
      </c>
      <c r="D3642" t="inlineStr">
        <is>
          <t>STOCKHOLMS LÄN</t>
        </is>
      </c>
      <c r="E3642" t="inlineStr">
        <is>
          <t>NYNÄSHAMN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7186-2024</t>
        </is>
      </c>
      <c r="B3643" s="1" t="n">
        <v>45344</v>
      </c>
      <c r="C3643" s="1" t="n">
        <v>45350</v>
      </c>
      <c r="D3643" t="inlineStr">
        <is>
          <t>STOCKHOLMS LÄN</t>
        </is>
      </c>
      <c r="E3643" t="inlineStr">
        <is>
          <t>NORRTÄLJE</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7143-2024</t>
        </is>
      </c>
      <c r="B3644" s="1" t="n">
        <v>45344</v>
      </c>
      <c r="C3644" s="1" t="n">
        <v>45350</v>
      </c>
      <c r="D3644" t="inlineStr">
        <is>
          <t>STOCKHOLMS LÄN</t>
        </is>
      </c>
      <c r="E3644" t="inlineStr">
        <is>
          <t>SIGTUNA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45350</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7385-2024</t>
        </is>
      </c>
      <c r="B3646" s="1" t="n">
        <v>45345</v>
      </c>
      <c r="C3646" s="1" t="n">
        <v>45350</v>
      </c>
      <c r="D3646" t="inlineStr">
        <is>
          <t>STOCKHOLMS LÄN</t>
        </is>
      </c>
      <c r="E3646" t="inlineStr">
        <is>
          <t>NORRTÄLJE</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7413-2024</t>
        </is>
      </c>
      <c r="B3647" s="1" t="n">
        <v>45345</v>
      </c>
      <c r="C3647" s="1" t="n">
        <v>45350</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7408-2024</t>
        </is>
      </c>
      <c r="B3648" s="1" t="n">
        <v>45345</v>
      </c>
      <c r="C3648" s="1" t="n">
        <v>45350</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7425-2024</t>
        </is>
      </c>
      <c r="B3649" s="1" t="n">
        <v>45345</v>
      </c>
      <c r="C3649" s="1" t="n">
        <v>45350</v>
      </c>
      <c r="D3649" t="inlineStr">
        <is>
          <t>STOCKHOLMS LÄN</t>
        </is>
      </c>
      <c r="E3649" t="inlineStr">
        <is>
          <t>NORRTÄLJE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7573-2024</t>
        </is>
      </c>
      <c r="B3650" s="1" t="n">
        <v>45345</v>
      </c>
      <c r="C3650" s="1" t="n">
        <v>45350</v>
      </c>
      <c r="D3650" t="inlineStr">
        <is>
          <t>STOCKHOLMS LÄN</t>
        </is>
      </c>
      <c r="E3650" t="inlineStr">
        <is>
          <t>NORRTÄLJE</t>
        </is>
      </c>
      <c r="F3650" t="inlineStr">
        <is>
          <t>Övriga Aktiebolag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45350</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c r="A3652" t="inlineStr">
        <is>
          <t>A 7571-2024</t>
        </is>
      </c>
      <c r="B3652" s="1" t="n">
        <v>45348</v>
      </c>
      <c r="C3652" s="1" t="n">
        <v>45350</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2024-02-28T12:32:52Z</dcterms:created>
  <dcterms:modified xmlns:dcterms="http://purl.org/dc/terms/" xmlns:xsi="http://www.w3.org/2001/XMLSchema-instance" xsi:type="dcterms:W3CDTF">2024-02-28T12:32:55Z</dcterms:modified>
</cp:coreProperties>
</file>
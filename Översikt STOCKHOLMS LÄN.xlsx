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45694</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45694</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45694</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45694</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45694</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45694</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45694</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45694</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45694</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45694</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45694</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45694</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45694</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27425-2023</t>
        </is>
      </c>
      <c r="B50" s="1" t="n">
        <v>45097</v>
      </c>
      <c r="C50" s="1" t="n">
        <v>45694</v>
      </c>
      <c r="D50" t="inlineStr">
        <is>
          <t>STOCKHOLMS LÄN</t>
        </is>
      </c>
      <c r="E50" t="inlineStr">
        <is>
          <t>SIGTUNA</t>
        </is>
      </c>
      <c r="F50" t="inlineStr">
        <is>
          <t>Allmännings- och besparingsskogar</t>
        </is>
      </c>
      <c r="G50" t="n">
        <v>9.300000000000001</v>
      </c>
      <c r="H50" t="n">
        <v>13</v>
      </c>
      <c r="I50" t="n">
        <v>0</v>
      </c>
      <c r="J50" t="n">
        <v>4</v>
      </c>
      <c r="K50" t="n">
        <v>0</v>
      </c>
      <c r="L50" t="n">
        <v>0</v>
      </c>
      <c r="M50" t="n">
        <v>0</v>
      </c>
      <c r="N50" t="n">
        <v>0</v>
      </c>
      <c r="O50" t="n">
        <v>4</v>
      </c>
      <c r="P50" t="n">
        <v>0</v>
      </c>
      <c r="Q50" t="n">
        <v>13</v>
      </c>
      <c r="R50" s="2" t="inlineStr">
        <is>
          <t>Brunlångöra
Gulsparv
Nordfladdermus
Talltita
Dvärgpipistrell
Grönsiska
Järnsparv
Kungsfågel
Skogsduva
Större brunfladdermus
Trollpipistrell
Vattenfladdermus
Blåsippa</t>
        </is>
      </c>
      <c r="S50">
        <f>HYPERLINK("https://klasma.github.io/Logging_0191/artfynd/A 27425-2023 artfynd.xlsx", "A 27425-2023")</f>
        <v/>
      </c>
      <c r="T50">
        <f>HYPERLINK("https://klasma.github.io/Logging_0191/kartor/A 27425-2023 karta.png", "A 27425-2023")</f>
        <v/>
      </c>
      <c r="V50">
        <f>HYPERLINK("https://klasma.github.io/Logging_0191/klagomål/A 27425-2023 FSC-klagomål.docx", "A 27425-2023")</f>
        <v/>
      </c>
      <c r="W50">
        <f>HYPERLINK("https://klasma.github.io/Logging_0191/klagomålsmail/A 27425-2023 FSC-klagomål mail.docx", "A 27425-2023")</f>
        <v/>
      </c>
      <c r="X50">
        <f>HYPERLINK("https://klasma.github.io/Logging_0191/tillsyn/A 27425-2023 tillsynsbegäran.docx", "A 27425-2023")</f>
        <v/>
      </c>
      <c r="Y50">
        <f>HYPERLINK("https://klasma.github.io/Logging_0191/tillsynsmail/A 27425-2023 tillsynsbegäran mail.docx", "A 27425-2023")</f>
        <v/>
      </c>
      <c r="Z50">
        <f>HYPERLINK("https://klasma.github.io/Logging_0191/fåglar/A 27425-2023 prioriterade fågelarter.docx", "A 27425-2023")</f>
        <v/>
      </c>
    </row>
    <row r="51" ht="15" customHeight="1">
      <c r="A51" t="inlineStr">
        <is>
          <t>A 34343-2023</t>
        </is>
      </c>
      <c r="B51" s="1" t="n">
        <v>45139</v>
      </c>
      <c r="C51" s="1" t="n">
        <v>45694</v>
      </c>
      <c r="D51" t="inlineStr">
        <is>
          <t>STOCKHOLMS LÄN</t>
        </is>
      </c>
      <c r="E51" t="inlineStr">
        <is>
          <t>HANINGE</t>
        </is>
      </c>
      <c r="G51" t="n">
        <v>3.9</v>
      </c>
      <c r="H51" t="n">
        <v>3</v>
      </c>
      <c r="I51" t="n">
        <v>7</v>
      </c>
      <c r="J51" t="n">
        <v>3</v>
      </c>
      <c r="K51" t="n">
        <v>0</v>
      </c>
      <c r="L51" t="n">
        <v>1</v>
      </c>
      <c r="M51" t="n">
        <v>0</v>
      </c>
      <c r="N51" t="n">
        <v>0</v>
      </c>
      <c r="O51" t="n">
        <v>4</v>
      </c>
      <c r="P51" t="n">
        <v>1</v>
      </c>
      <c r="Q51" t="n">
        <v>13</v>
      </c>
      <c r="R51" s="2" t="inlineStr">
        <is>
          <t>Ask
Granticka
Grön aspvedbock
Spillkråka
Björksplintborre
Fjällig taggsvamp s.str.
Granbarkgnagare
Guldlockmossa
Stubbspretmossa
Sårläka
Vågbandad barkbock
Blåsippa
Gullviva</t>
        </is>
      </c>
      <c r="S51">
        <f>HYPERLINK("https://klasma.github.io/Logging_0136/artfynd/A 34343-2023 artfynd.xlsx", "A 34343-2023")</f>
        <v/>
      </c>
      <c r="T51">
        <f>HYPERLINK("https://klasma.github.io/Logging_0136/kartor/A 34343-2023 karta.png", "A 34343-2023")</f>
        <v/>
      </c>
      <c r="V51">
        <f>HYPERLINK("https://klasma.github.io/Logging_0136/klagomål/A 34343-2023 FSC-klagomål.docx", "A 34343-2023")</f>
        <v/>
      </c>
      <c r="W51">
        <f>HYPERLINK("https://klasma.github.io/Logging_0136/klagomålsmail/A 34343-2023 FSC-klagomål mail.docx", "A 34343-2023")</f>
        <v/>
      </c>
      <c r="X51">
        <f>HYPERLINK("https://klasma.github.io/Logging_0136/tillsyn/A 34343-2023 tillsynsbegäran.docx", "A 34343-2023")</f>
        <v/>
      </c>
      <c r="Y51">
        <f>HYPERLINK("https://klasma.github.io/Logging_0136/tillsynsmail/A 34343-2023 tillsynsbegäran mail.docx", "A 34343-2023")</f>
        <v/>
      </c>
      <c r="Z51">
        <f>HYPERLINK("https://klasma.github.io/Logging_0136/fåglar/A 34343-2023 prioriterade fågelarter.docx", "A 34343-2023")</f>
        <v/>
      </c>
    </row>
    <row r="52" ht="15" customHeight="1">
      <c r="A52" t="inlineStr">
        <is>
          <t>A 55825-2023</t>
        </is>
      </c>
      <c r="B52" s="1" t="n">
        <v>45239</v>
      </c>
      <c r="C52" s="1" t="n">
        <v>45694</v>
      </c>
      <c r="D52" t="inlineStr">
        <is>
          <t>STOCKHOLMS LÄN</t>
        </is>
      </c>
      <c r="E52" t="inlineStr">
        <is>
          <t>VALLENTUNA</t>
        </is>
      </c>
      <c r="G52" t="n">
        <v>4.9</v>
      </c>
      <c r="H52" t="n">
        <v>5</v>
      </c>
      <c r="I52" t="n">
        <v>5</v>
      </c>
      <c r="J52" t="n">
        <v>5</v>
      </c>
      <c r="K52" t="n">
        <v>0</v>
      </c>
      <c r="L52" t="n">
        <v>0</v>
      </c>
      <c r="M52" t="n">
        <v>0</v>
      </c>
      <c r="N52" t="n">
        <v>0</v>
      </c>
      <c r="O52" t="n">
        <v>5</v>
      </c>
      <c r="P52" t="n">
        <v>0</v>
      </c>
      <c r="Q52" t="n">
        <v>13</v>
      </c>
      <c r="R52" s="2" t="inlineStr">
        <is>
          <t>Garnlav
Spillkråka
Talltita
Ullticka
Vedskivlav
Björksplintborre
Blodticka
Jättesvampmal
Mindre märgborre
Vedticka
Tjäder
Fläcknycklar
Revlummer</t>
        </is>
      </c>
      <c r="S52">
        <f>HYPERLINK("https://klasma.github.io/Logging_0115/artfynd/A 55825-2023 artfynd.xlsx", "A 55825-2023")</f>
        <v/>
      </c>
      <c r="T52">
        <f>HYPERLINK("https://klasma.github.io/Logging_0115/kartor/A 55825-2023 karta.png", "A 55825-2023")</f>
        <v/>
      </c>
      <c r="U52">
        <f>HYPERLINK("https://klasma.github.io/Logging_0115/knärot/A 55825-2023 karta knärot.png", "A 55825-2023")</f>
        <v/>
      </c>
      <c r="V52">
        <f>HYPERLINK("https://klasma.github.io/Logging_0115/klagomål/A 55825-2023 FSC-klagomål.docx", "A 55825-2023")</f>
        <v/>
      </c>
      <c r="W52">
        <f>HYPERLINK("https://klasma.github.io/Logging_0115/klagomålsmail/A 55825-2023 FSC-klagomål mail.docx", "A 55825-2023")</f>
        <v/>
      </c>
      <c r="X52">
        <f>HYPERLINK("https://klasma.github.io/Logging_0115/tillsyn/A 55825-2023 tillsynsbegäran.docx", "A 55825-2023")</f>
        <v/>
      </c>
      <c r="Y52">
        <f>HYPERLINK("https://klasma.github.io/Logging_0115/tillsynsmail/A 55825-2023 tillsynsbegäran mail.docx", "A 55825-2023")</f>
        <v/>
      </c>
      <c r="Z52">
        <f>HYPERLINK("https://klasma.github.io/Logging_0115/fåglar/A 55825-2023 prioriterade fågelarter.docx", "A 55825-2023")</f>
        <v/>
      </c>
    </row>
    <row r="53" ht="15" customHeight="1">
      <c r="A53" t="inlineStr">
        <is>
          <t>A 20632-2019</t>
        </is>
      </c>
      <c r="B53" s="1" t="n">
        <v>43572</v>
      </c>
      <c r="C53" s="1" t="n">
        <v>45694</v>
      </c>
      <c r="D53" t="inlineStr">
        <is>
          <t>STOCKHOLMS LÄN</t>
        </is>
      </c>
      <c r="E53" t="inlineStr">
        <is>
          <t>NORRTÄLJE</t>
        </is>
      </c>
      <c r="G53" t="n">
        <v>6.2</v>
      </c>
      <c r="H53" t="n">
        <v>4</v>
      </c>
      <c r="I53" t="n">
        <v>6</v>
      </c>
      <c r="J53" t="n">
        <v>1</v>
      </c>
      <c r="K53" t="n">
        <v>0</v>
      </c>
      <c r="L53" t="n">
        <v>2</v>
      </c>
      <c r="M53" t="n">
        <v>0</v>
      </c>
      <c r="N53" t="n">
        <v>0</v>
      </c>
      <c r="O53" t="n">
        <v>3</v>
      </c>
      <c r="P53" t="n">
        <v>2</v>
      </c>
      <c r="Q53" t="n">
        <v>12</v>
      </c>
      <c r="R53" s="2" t="inlineStr">
        <is>
          <t>Ask
Fältgentiana
Slåtterfibbla
Svart trolldruva
Tibast
Tvåblad
Underviol
Vätteros
Vårärt
Nattviol
Blåsippa
Gullviva</t>
        </is>
      </c>
      <c r="S53">
        <f>HYPERLINK("https://klasma.github.io/Logging_0188/artfynd/A 20632-2019 artfynd.xlsx", "A 20632-2019")</f>
        <v/>
      </c>
      <c r="T53">
        <f>HYPERLINK("https://klasma.github.io/Logging_0188/kartor/A 20632-2019 karta.png", "A 20632-2019")</f>
        <v/>
      </c>
      <c r="V53">
        <f>HYPERLINK("https://klasma.github.io/Logging_0188/klagomål/A 20632-2019 FSC-klagomål.docx", "A 20632-2019")</f>
        <v/>
      </c>
      <c r="W53">
        <f>HYPERLINK("https://klasma.github.io/Logging_0188/klagomålsmail/A 20632-2019 FSC-klagomål mail.docx", "A 20632-2019")</f>
        <v/>
      </c>
      <c r="X53">
        <f>HYPERLINK("https://klasma.github.io/Logging_0188/tillsyn/A 20632-2019 tillsynsbegäran.docx", "A 20632-2019")</f>
        <v/>
      </c>
      <c r="Y53">
        <f>HYPERLINK("https://klasma.github.io/Logging_0188/tillsynsmail/A 20632-2019 tillsynsbegäran mail.docx", "A 20632-2019")</f>
        <v/>
      </c>
    </row>
    <row r="54" ht="15" customHeight="1">
      <c r="A54" t="inlineStr">
        <is>
          <t>A 68153-2019</t>
        </is>
      </c>
      <c r="B54" s="1" t="n">
        <v>43817</v>
      </c>
      <c r="C54" s="1" t="n">
        <v>45694</v>
      </c>
      <c r="D54" t="inlineStr">
        <is>
          <t>STOCKHOLMS LÄN</t>
        </is>
      </c>
      <c r="E54" t="inlineStr">
        <is>
          <t>VALLENTUNA</t>
        </is>
      </c>
      <c r="G54" t="n">
        <v>21.8</v>
      </c>
      <c r="H54" t="n">
        <v>1</v>
      </c>
      <c r="I54" t="n">
        <v>9</v>
      </c>
      <c r="J54" t="n">
        <v>3</v>
      </c>
      <c r="K54" t="n">
        <v>0</v>
      </c>
      <c r="L54" t="n">
        <v>0</v>
      </c>
      <c r="M54" t="n">
        <v>0</v>
      </c>
      <c r="N54" t="n">
        <v>0</v>
      </c>
      <c r="O54" t="n">
        <v>3</v>
      </c>
      <c r="P54" t="n">
        <v>0</v>
      </c>
      <c r="Q54" t="n">
        <v>12</v>
      </c>
      <c r="R54" s="2" t="inlineStr">
        <is>
          <t>Dofttaggsvamp
Granticka
Mörk kolflarnlav
Blåmossa
Bollvitmossa
Grön sköldmossa
Kattfotslav
Mindre märgborre
Rödgul trumpetsvamp
Skarp dropptaggsvamp
Skuggblåslav
Vedticka</t>
        </is>
      </c>
      <c r="S54">
        <f>HYPERLINK("https://klasma.github.io/Logging_0115/artfynd/A 68153-2019 artfynd.xlsx", "A 68153-2019")</f>
        <v/>
      </c>
      <c r="T54">
        <f>HYPERLINK("https://klasma.github.io/Logging_0115/kartor/A 68153-2019 karta.png", "A 68153-2019")</f>
        <v/>
      </c>
      <c r="V54">
        <f>HYPERLINK("https://klasma.github.io/Logging_0115/klagomål/A 68153-2019 FSC-klagomål.docx", "A 68153-2019")</f>
        <v/>
      </c>
      <c r="W54">
        <f>HYPERLINK("https://klasma.github.io/Logging_0115/klagomålsmail/A 68153-2019 FSC-klagomål mail.docx", "A 68153-2019")</f>
        <v/>
      </c>
      <c r="X54">
        <f>HYPERLINK("https://klasma.github.io/Logging_0115/tillsyn/A 68153-2019 tillsynsbegäran.docx", "A 68153-2019")</f>
        <v/>
      </c>
      <c r="Y54">
        <f>HYPERLINK("https://klasma.github.io/Logging_0115/tillsynsmail/A 68153-2019 tillsynsbegäran mail.docx", "A 68153-2019")</f>
        <v/>
      </c>
    </row>
    <row r="55" ht="15" customHeight="1">
      <c r="A55" t="inlineStr">
        <is>
          <t>A 40859-2022</t>
        </is>
      </c>
      <c r="B55" s="1" t="n">
        <v>44825</v>
      </c>
      <c r="C55" s="1" t="n">
        <v>45694</v>
      </c>
      <c r="D55" t="inlineStr">
        <is>
          <t>STOCKHOLMS LÄN</t>
        </is>
      </c>
      <c r="E55" t="inlineStr">
        <is>
          <t>HANINGE</t>
        </is>
      </c>
      <c r="G55" t="n">
        <v>7.8</v>
      </c>
      <c r="H55" t="n">
        <v>3</v>
      </c>
      <c r="I55" t="n">
        <v>8</v>
      </c>
      <c r="J55" t="n">
        <v>4</v>
      </c>
      <c r="K55" t="n">
        <v>0</v>
      </c>
      <c r="L55" t="n">
        <v>0</v>
      </c>
      <c r="M55" t="n">
        <v>0</v>
      </c>
      <c r="N55" t="n">
        <v>0</v>
      </c>
      <c r="O55" t="n">
        <v>4</v>
      </c>
      <c r="P55" t="n">
        <v>0</v>
      </c>
      <c r="Q55" t="n">
        <v>12</v>
      </c>
      <c r="R55" s="2" t="inlineStr">
        <is>
          <t>Granticka
Spillkråka
Talltita
Ullticka
Bronshjon
Fjällig taggsvamp s.str.
Granbarkgnagare
Grön sköldmossa
Mörk husmossa
Rödgul trumpetsvamp
Svavelriska
Thomsons trägnagare</t>
        </is>
      </c>
      <c r="S55">
        <f>HYPERLINK("https://klasma.github.io/Logging_0136/artfynd/A 40859-2022 artfynd.xlsx", "A 40859-2022")</f>
        <v/>
      </c>
      <c r="T55">
        <f>HYPERLINK("https://klasma.github.io/Logging_0136/kartor/A 40859-2022 karta.png", "A 40859-2022")</f>
        <v/>
      </c>
      <c r="V55">
        <f>HYPERLINK("https://klasma.github.io/Logging_0136/klagomål/A 40859-2022 FSC-klagomål.docx", "A 40859-2022")</f>
        <v/>
      </c>
      <c r="W55">
        <f>HYPERLINK("https://klasma.github.io/Logging_0136/klagomålsmail/A 40859-2022 FSC-klagomål mail.docx", "A 40859-2022")</f>
        <v/>
      </c>
      <c r="X55">
        <f>HYPERLINK("https://klasma.github.io/Logging_0136/tillsyn/A 40859-2022 tillsynsbegäran.docx", "A 40859-2022")</f>
        <v/>
      </c>
      <c r="Y55">
        <f>HYPERLINK("https://klasma.github.io/Logging_0136/tillsynsmail/A 40859-2022 tillsynsbegäran mail.docx", "A 40859-2022")</f>
        <v/>
      </c>
      <c r="Z55">
        <f>HYPERLINK("https://klasma.github.io/Logging_0136/fåglar/A 40859-2022 prioriterade fågelarter.docx", "A 40859-2022")</f>
        <v/>
      </c>
    </row>
    <row r="56" ht="15" customHeight="1">
      <c r="A56" t="inlineStr">
        <is>
          <t>A 60543-2022</t>
        </is>
      </c>
      <c r="B56" s="1" t="n">
        <v>44911</v>
      </c>
      <c r="C56" s="1" t="n">
        <v>45694</v>
      </c>
      <c r="D56" t="inlineStr">
        <is>
          <t>STOCKHOLMS LÄN</t>
        </is>
      </c>
      <c r="E56" t="inlineStr">
        <is>
          <t>NORRTÄLJE</t>
        </is>
      </c>
      <c r="G56" t="n">
        <v>4.3</v>
      </c>
      <c r="H56" t="n">
        <v>2</v>
      </c>
      <c r="I56" t="n">
        <v>5</v>
      </c>
      <c r="J56" t="n">
        <v>5</v>
      </c>
      <c r="K56" t="n">
        <v>1</v>
      </c>
      <c r="L56" t="n">
        <v>0</v>
      </c>
      <c r="M56" t="n">
        <v>0</v>
      </c>
      <c r="N56" t="n">
        <v>0</v>
      </c>
      <c r="O56" t="n">
        <v>6</v>
      </c>
      <c r="P56" t="n">
        <v>1</v>
      </c>
      <c r="Q56" t="n">
        <v>12</v>
      </c>
      <c r="R56" s="2" t="inlineStr">
        <is>
          <t>Läderlappslav
Granticka
Grönhjon
Rosenticka
Tretåig hackspett
Ullticka
Bronshjon
Grönpyrola
Gulnål
Kornig nållav
Vågbandad barkbock
Blåsippa</t>
        </is>
      </c>
      <c r="S56">
        <f>HYPERLINK("https://klasma.github.io/Logging_0188/artfynd/A 60543-2022 artfynd.xlsx", "A 60543-2022")</f>
        <v/>
      </c>
      <c r="T56">
        <f>HYPERLINK("https://klasma.github.io/Logging_0188/kartor/A 60543-2022 karta.png", "A 60543-2022")</f>
        <v/>
      </c>
      <c r="V56">
        <f>HYPERLINK("https://klasma.github.io/Logging_0188/klagomål/A 60543-2022 FSC-klagomål.docx", "A 60543-2022")</f>
        <v/>
      </c>
      <c r="W56">
        <f>HYPERLINK("https://klasma.github.io/Logging_0188/klagomålsmail/A 60543-2022 FSC-klagomål mail.docx", "A 60543-2022")</f>
        <v/>
      </c>
      <c r="X56">
        <f>HYPERLINK("https://klasma.github.io/Logging_0188/tillsyn/A 60543-2022 tillsynsbegäran.docx", "A 60543-2022")</f>
        <v/>
      </c>
      <c r="Y56">
        <f>HYPERLINK("https://klasma.github.io/Logging_0188/tillsynsmail/A 60543-2022 tillsynsbegäran mail.docx", "A 60543-2022")</f>
        <v/>
      </c>
      <c r="Z56">
        <f>HYPERLINK("https://klasma.github.io/Logging_0188/fåglar/A 60543-2022 prioriterade fågelarter.docx", "A 60543-2022")</f>
        <v/>
      </c>
    </row>
    <row r="57" ht="15" customHeight="1">
      <c r="A57" t="inlineStr">
        <is>
          <t>A 31418-2023</t>
        </is>
      </c>
      <c r="B57" s="1" t="n">
        <v>45114</v>
      </c>
      <c r="C57" s="1" t="n">
        <v>45694</v>
      </c>
      <c r="D57" t="inlineStr">
        <is>
          <t>STOCKHOLMS LÄN</t>
        </is>
      </c>
      <c r="E57" t="inlineStr">
        <is>
          <t>NORRTÄLJE</t>
        </is>
      </c>
      <c r="G57" t="n">
        <v>4.1</v>
      </c>
      <c r="H57" t="n">
        <v>0</v>
      </c>
      <c r="I57" t="n">
        <v>7</v>
      </c>
      <c r="J57" t="n">
        <v>2</v>
      </c>
      <c r="K57" t="n">
        <v>3</v>
      </c>
      <c r="L57" t="n">
        <v>0</v>
      </c>
      <c r="M57" t="n">
        <v>0</v>
      </c>
      <c r="N57" t="n">
        <v>0</v>
      </c>
      <c r="O57" t="n">
        <v>5</v>
      </c>
      <c r="P57" t="n">
        <v>3</v>
      </c>
      <c r="Q57" t="n">
        <v>12</v>
      </c>
      <c r="R57" s="2" t="inlineStr">
        <is>
          <t>Duvspindling
Koppartaggsvamp
Läderdoftande fingersvamp
Odörspindling
Orange taggsvamp
Anisspindling
Dropptaggsvamp
Grönpyrola
Mörk husmossa
Skarp dropptaggsvamp
Skogshakmossa
Tjockfotad fingersvamp</t>
        </is>
      </c>
      <c r="S57">
        <f>HYPERLINK("https://klasma.github.io/Logging_0188/artfynd/A 31418-2023 artfynd.xlsx", "A 31418-2023")</f>
        <v/>
      </c>
      <c r="T57">
        <f>HYPERLINK("https://klasma.github.io/Logging_0188/kartor/A 31418-2023 karta.png", "A 31418-2023")</f>
        <v/>
      </c>
      <c r="U57">
        <f>HYPERLINK("https://klasma.github.io/Logging_0188/knärot/A 31418-2023 karta knärot.png", "A 31418-2023")</f>
        <v/>
      </c>
      <c r="V57">
        <f>HYPERLINK("https://klasma.github.io/Logging_0188/klagomål/A 31418-2023 FSC-klagomål.docx", "A 31418-2023")</f>
        <v/>
      </c>
      <c r="W57">
        <f>HYPERLINK("https://klasma.github.io/Logging_0188/klagomålsmail/A 31418-2023 FSC-klagomål mail.docx", "A 31418-2023")</f>
        <v/>
      </c>
      <c r="X57">
        <f>HYPERLINK("https://klasma.github.io/Logging_0188/tillsyn/A 31418-2023 tillsynsbegäran.docx", "A 31418-2023")</f>
        <v/>
      </c>
      <c r="Y57">
        <f>HYPERLINK("https://klasma.github.io/Logging_0188/tillsynsmail/A 31418-2023 tillsynsbegäran mail.docx", "A 31418-2023")</f>
        <v/>
      </c>
    </row>
    <row r="58" ht="15" customHeight="1">
      <c r="A58" t="inlineStr">
        <is>
          <t>A 46004-2023</t>
        </is>
      </c>
      <c r="B58" s="1" t="n">
        <v>45196</v>
      </c>
      <c r="C58" s="1" t="n">
        <v>45694</v>
      </c>
      <c r="D58" t="inlineStr">
        <is>
          <t>STOCKHOLMS LÄN</t>
        </is>
      </c>
      <c r="E58" t="inlineStr">
        <is>
          <t>VÄRMDÖ</t>
        </is>
      </c>
      <c r="G58" t="n">
        <v>12.3</v>
      </c>
      <c r="H58" t="n">
        <v>4</v>
      </c>
      <c r="I58" t="n">
        <v>6</v>
      </c>
      <c r="J58" t="n">
        <v>4</v>
      </c>
      <c r="K58" t="n">
        <v>1</v>
      </c>
      <c r="L58" t="n">
        <v>0</v>
      </c>
      <c r="M58" t="n">
        <v>0</v>
      </c>
      <c r="N58" t="n">
        <v>0</v>
      </c>
      <c r="O58" t="n">
        <v>5</v>
      </c>
      <c r="P58" t="n">
        <v>1</v>
      </c>
      <c r="Q58" t="n">
        <v>12</v>
      </c>
      <c r="R58" s="2" t="inlineStr">
        <is>
          <t>Knärot
Reliktbock
Spillkråka
Tallticka
Talltita
Björksplintborre
Bronshjon
Granbarkgnagare
Sårläka
Thomsons trägnagare
Trådticka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44237-2024</t>
        </is>
      </c>
      <c r="B59" s="1" t="n">
        <v>45573</v>
      </c>
      <c r="C59" s="1" t="n">
        <v>45694</v>
      </c>
      <c r="D59" t="inlineStr">
        <is>
          <t>STOCKHOLMS LÄN</t>
        </is>
      </c>
      <c r="E59" t="inlineStr">
        <is>
          <t>NORRTÄLJE</t>
        </is>
      </c>
      <c r="G59" t="n">
        <v>7.7</v>
      </c>
      <c r="H59" t="n">
        <v>3</v>
      </c>
      <c r="I59" t="n">
        <v>5</v>
      </c>
      <c r="J59" t="n">
        <v>5</v>
      </c>
      <c r="K59" t="n">
        <v>1</v>
      </c>
      <c r="L59" t="n">
        <v>0</v>
      </c>
      <c r="M59" t="n">
        <v>0</v>
      </c>
      <c r="N59" t="n">
        <v>0</v>
      </c>
      <c r="O59" t="n">
        <v>6</v>
      </c>
      <c r="P59" t="n">
        <v>1</v>
      </c>
      <c r="Q59" t="n">
        <v>12</v>
      </c>
      <c r="R59" s="2" t="inlineStr">
        <is>
          <t>Knärot
Motaggsvamp
Tallticka
Tretåig hackspett
Vedskivlav
Vedtrappmossa
Dropptaggsvamp
Grönpyrola
Kattfotslav
Nästlav
Sårläka
Blåsippa</t>
        </is>
      </c>
      <c r="S59">
        <f>HYPERLINK("https://klasma.github.io/Logging_0188/artfynd/A 44237-2024 artfynd.xlsx", "A 44237-2024")</f>
        <v/>
      </c>
      <c r="T59">
        <f>HYPERLINK("https://klasma.github.io/Logging_0188/kartor/A 44237-2024 karta.png", "A 44237-2024")</f>
        <v/>
      </c>
      <c r="U59">
        <f>HYPERLINK("https://klasma.github.io/Logging_0188/knärot/A 44237-2024 karta knärot.png", "A 44237-2024")</f>
        <v/>
      </c>
      <c r="V59">
        <f>HYPERLINK("https://klasma.github.io/Logging_0188/klagomål/A 44237-2024 FSC-klagomål.docx", "A 44237-2024")</f>
        <v/>
      </c>
      <c r="W59">
        <f>HYPERLINK("https://klasma.github.io/Logging_0188/klagomålsmail/A 44237-2024 FSC-klagomål mail.docx", "A 44237-2024")</f>
        <v/>
      </c>
      <c r="X59">
        <f>HYPERLINK("https://klasma.github.io/Logging_0188/tillsyn/A 44237-2024 tillsynsbegäran.docx", "A 44237-2024")</f>
        <v/>
      </c>
      <c r="Y59">
        <f>HYPERLINK("https://klasma.github.io/Logging_0188/tillsynsmail/A 44237-2024 tillsynsbegäran mail.docx", "A 44237-2024")</f>
        <v/>
      </c>
      <c r="Z59">
        <f>HYPERLINK("https://klasma.github.io/Logging_0188/fåglar/A 44237-2024 prioriterade fågelarter.docx", "A 44237-2024")</f>
        <v/>
      </c>
    </row>
    <row r="60" ht="15" customHeight="1">
      <c r="A60" t="inlineStr">
        <is>
          <t>A 55611-2024</t>
        </is>
      </c>
      <c r="B60" s="1" t="n">
        <v>45622</v>
      </c>
      <c r="C60" s="1" t="n">
        <v>45694</v>
      </c>
      <c r="D60" t="inlineStr">
        <is>
          <t>STOCKHOLMS LÄN</t>
        </is>
      </c>
      <c r="E60" t="inlineStr">
        <is>
          <t>VALLENTUNA</t>
        </is>
      </c>
      <c r="G60" t="n">
        <v>11.1</v>
      </c>
      <c r="H60" t="n">
        <v>5</v>
      </c>
      <c r="I60" t="n">
        <v>6</v>
      </c>
      <c r="J60" t="n">
        <v>4</v>
      </c>
      <c r="K60" t="n">
        <v>0</v>
      </c>
      <c r="L60" t="n">
        <v>0</v>
      </c>
      <c r="M60" t="n">
        <v>0</v>
      </c>
      <c r="N60" t="n">
        <v>0</v>
      </c>
      <c r="O60" t="n">
        <v>4</v>
      </c>
      <c r="P60" t="n">
        <v>0</v>
      </c>
      <c r="Q60" t="n">
        <v>12</v>
      </c>
      <c r="R60" s="2" t="inlineStr">
        <is>
          <t>Duvhök
Spillkråka
Talltita
Ullticka
Björksplintborre
Brandticka
Bronshjon
Kornknutmossa
Mindre märgborre
Vågbandad barkbock
Kungsfågel
Blåsippa</t>
        </is>
      </c>
      <c r="S60">
        <f>HYPERLINK("https://klasma.github.io/Logging_0115/artfynd/A 55611-2024 artfynd.xlsx", "A 55611-2024")</f>
        <v/>
      </c>
      <c r="T60">
        <f>HYPERLINK("https://klasma.github.io/Logging_0115/kartor/A 55611-2024 karta.png", "A 55611-2024")</f>
        <v/>
      </c>
      <c r="V60">
        <f>HYPERLINK("https://klasma.github.io/Logging_0115/klagomål/A 55611-2024 FSC-klagomål.docx", "A 55611-2024")</f>
        <v/>
      </c>
      <c r="W60">
        <f>HYPERLINK("https://klasma.github.io/Logging_0115/klagomålsmail/A 55611-2024 FSC-klagomål mail.docx", "A 55611-2024")</f>
        <v/>
      </c>
      <c r="X60">
        <f>HYPERLINK("https://klasma.github.io/Logging_0115/tillsyn/A 55611-2024 tillsynsbegäran.docx", "A 55611-2024")</f>
        <v/>
      </c>
      <c r="Y60">
        <f>HYPERLINK("https://klasma.github.io/Logging_0115/tillsynsmail/A 55611-2024 tillsynsbegäran mail.docx", "A 55611-2024")</f>
        <v/>
      </c>
      <c r="Z60">
        <f>HYPERLINK("https://klasma.github.io/Logging_0115/fåglar/A 55611-2024 prioriterade fågelarter.docx", "A 55611-2024")</f>
        <v/>
      </c>
    </row>
    <row r="61" ht="15" customHeight="1">
      <c r="A61" t="inlineStr">
        <is>
          <t>A 56743-2024</t>
        </is>
      </c>
      <c r="B61" s="1" t="n">
        <v>45628</v>
      </c>
      <c r="C61" s="1" t="n">
        <v>45694</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56743-2024 artfynd.xlsx", "A 56743-2024")</f>
        <v/>
      </c>
      <c r="T61">
        <f>HYPERLINK("https://klasma.github.io/Logging_0188/kartor/A 56743-2024 karta.png", "A 56743-2024")</f>
        <v/>
      </c>
      <c r="V61">
        <f>HYPERLINK("https://klasma.github.io/Logging_0188/klagomål/A 56743-2024 FSC-klagomål.docx", "A 56743-2024")</f>
        <v/>
      </c>
      <c r="W61">
        <f>HYPERLINK("https://klasma.github.io/Logging_0188/klagomålsmail/A 56743-2024 FSC-klagomål mail.docx", "A 56743-2024")</f>
        <v/>
      </c>
      <c r="X61">
        <f>HYPERLINK("https://klasma.github.io/Logging_0188/tillsyn/A 56743-2024 tillsynsbegäran.docx", "A 56743-2024")</f>
        <v/>
      </c>
      <c r="Y61">
        <f>HYPERLINK("https://klasma.github.io/Logging_0188/tillsynsmail/A 56743-2024 tillsynsbegäran mail.docx", "A 56743-2024")</f>
        <v/>
      </c>
      <c r="Z61">
        <f>HYPERLINK("https://klasma.github.io/Logging_0188/fåglar/A 56743-2024 prioriterade fågelarter.docx", "A 56743-2024")</f>
        <v/>
      </c>
    </row>
    <row r="62" ht="15" customHeight="1">
      <c r="A62" t="inlineStr">
        <is>
          <t>A 56742-2024</t>
        </is>
      </c>
      <c r="B62" s="1" t="n">
        <v>45628</v>
      </c>
      <c r="C62" s="1" t="n">
        <v>45694</v>
      </c>
      <c r="D62" t="inlineStr">
        <is>
          <t>STOCKHOLMS LÄN</t>
        </is>
      </c>
      <c r="E62" t="inlineStr">
        <is>
          <t>NORRTÄLJE</t>
        </is>
      </c>
      <c r="G62" t="n">
        <v>10.5</v>
      </c>
      <c r="H62" t="n">
        <v>3</v>
      </c>
      <c r="I62" t="n">
        <v>6</v>
      </c>
      <c r="J62" t="n">
        <v>2</v>
      </c>
      <c r="K62" t="n">
        <v>2</v>
      </c>
      <c r="L62" t="n">
        <v>0</v>
      </c>
      <c r="M62" t="n">
        <v>0</v>
      </c>
      <c r="N62" t="n">
        <v>0</v>
      </c>
      <c r="O62" t="n">
        <v>4</v>
      </c>
      <c r="P62" t="n">
        <v>2</v>
      </c>
      <c r="Q62" t="n">
        <v>12</v>
      </c>
      <c r="R62" s="2" t="inlineStr">
        <is>
          <t>Koppartaggsvamp
Violgubbe
Orange taggsvamp
Spillkråka
Bronshjon
Grovticka
Grönpyrola
Skarp dropptaggsvamp
Svavelriska
Vedticka
Blåsippa
Revlummer</t>
        </is>
      </c>
      <c r="S62">
        <f>HYPERLINK("https://klasma.github.io/Logging_0188/artfynd/A 56742-2024 artfynd.xlsx", "A 56742-2024")</f>
        <v/>
      </c>
      <c r="T62">
        <f>HYPERLINK("https://klasma.github.io/Logging_0188/kartor/A 56742-2024 karta.png", "A 56742-2024")</f>
        <v/>
      </c>
      <c r="V62">
        <f>HYPERLINK("https://klasma.github.io/Logging_0188/klagomål/A 56742-2024 FSC-klagomål.docx", "A 56742-2024")</f>
        <v/>
      </c>
      <c r="W62">
        <f>HYPERLINK("https://klasma.github.io/Logging_0188/klagomålsmail/A 56742-2024 FSC-klagomål mail.docx", "A 56742-2024")</f>
        <v/>
      </c>
      <c r="X62">
        <f>HYPERLINK("https://klasma.github.io/Logging_0188/tillsyn/A 56742-2024 tillsynsbegäran.docx", "A 56742-2024")</f>
        <v/>
      </c>
      <c r="Y62">
        <f>HYPERLINK("https://klasma.github.io/Logging_0188/tillsynsmail/A 56742-2024 tillsynsbegäran mail.docx", "A 56742-2024")</f>
        <v/>
      </c>
      <c r="Z62">
        <f>HYPERLINK("https://klasma.github.io/Logging_0188/fåglar/A 56742-2024 prioriterade fågelarter.docx", "A 56742-2024")</f>
        <v/>
      </c>
    </row>
    <row r="63" ht="15" customHeight="1">
      <c r="A63" t="inlineStr">
        <is>
          <t>A 60838-2021</t>
        </is>
      </c>
      <c r="B63" s="1" t="n">
        <v>44497</v>
      </c>
      <c r="C63" s="1" t="n">
        <v>45694</v>
      </c>
      <c r="D63" t="inlineStr">
        <is>
          <t>STOCKHOLMS LÄN</t>
        </is>
      </c>
      <c r="E63" t="inlineStr">
        <is>
          <t>SIGTUNA</t>
        </is>
      </c>
      <c r="G63" t="n">
        <v>13.7</v>
      </c>
      <c r="H63" t="n">
        <v>11</v>
      </c>
      <c r="I63" t="n">
        <v>0</v>
      </c>
      <c r="J63" t="n">
        <v>6</v>
      </c>
      <c r="K63" t="n">
        <v>0</v>
      </c>
      <c r="L63" t="n">
        <v>0</v>
      </c>
      <c r="M63" t="n">
        <v>0</v>
      </c>
      <c r="N63" t="n">
        <v>0</v>
      </c>
      <c r="O63" t="n">
        <v>6</v>
      </c>
      <c r="P63" t="n">
        <v>0</v>
      </c>
      <c r="Q63" t="n">
        <v>11</v>
      </c>
      <c r="R63" s="2" t="inlineStr">
        <is>
          <t>Björktrast
Blå kärrhök
Duvhök
Gulsparv
Rödvingetrast
Skrattmås
Grönsiska
Kungsfågel
Nattskärra
Trädlärka
Törnskata</t>
        </is>
      </c>
      <c r="S63">
        <f>HYPERLINK("https://klasma.github.io/Logging_0191/artfynd/A 60838-2021 artfynd.xlsx", "A 60838-2021")</f>
        <v/>
      </c>
      <c r="T63">
        <f>HYPERLINK("https://klasma.github.io/Logging_0191/kartor/A 60838-2021 karta.png", "A 60838-2021")</f>
        <v/>
      </c>
      <c r="V63">
        <f>HYPERLINK("https://klasma.github.io/Logging_0191/klagomål/A 60838-2021 FSC-klagomål.docx", "A 60838-2021")</f>
        <v/>
      </c>
      <c r="W63">
        <f>HYPERLINK("https://klasma.github.io/Logging_0191/klagomålsmail/A 60838-2021 FSC-klagomål mail.docx", "A 60838-2021")</f>
        <v/>
      </c>
      <c r="X63">
        <f>HYPERLINK("https://klasma.github.io/Logging_0191/tillsyn/A 60838-2021 tillsynsbegäran.docx", "A 60838-2021")</f>
        <v/>
      </c>
      <c r="Y63">
        <f>HYPERLINK("https://klasma.github.io/Logging_0191/tillsynsmail/A 60838-2021 tillsynsbegäran mail.docx", "A 60838-2021")</f>
        <v/>
      </c>
      <c r="Z63">
        <f>HYPERLINK("https://klasma.github.io/Logging_0191/fåglar/A 60838-2021 prioriterade fågelarter.docx", "A 60838-2021")</f>
        <v/>
      </c>
    </row>
    <row r="64" ht="15" customHeight="1">
      <c r="A64" t="inlineStr">
        <is>
          <t>A 66797-2021</t>
        </is>
      </c>
      <c r="B64" s="1" t="n">
        <v>44519</v>
      </c>
      <c r="C64" s="1" t="n">
        <v>45694</v>
      </c>
      <c r="D64" t="inlineStr">
        <is>
          <t>STOCKHOLMS LÄN</t>
        </is>
      </c>
      <c r="E64" t="inlineStr">
        <is>
          <t>HANINGE</t>
        </is>
      </c>
      <c r="G64" t="n">
        <v>3</v>
      </c>
      <c r="H64" t="n">
        <v>0</v>
      </c>
      <c r="I64" t="n">
        <v>2</v>
      </c>
      <c r="J64" t="n">
        <v>6</v>
      </c>
      <c r="K64" t="n">
        <v>3</v>
      </c>
      <c r="L64" t="n">
        <v>0</v>
      </c>
      <c r="M64" t="n">
        <v>0</v>
      </c>
      <c r="N64" t="n">
        <v>0</v>
      </c>
      <c r="O64" t="n">
        <v>9</v>
      </c>
      <c r="P64" t="n">
        <v>3</v>
      </c>
      <c r="Q64" t="n">
        <v>11</v>
      </c>
      <c r="R64" s="2" t="inlineStr">
        <is>
          <t>Gulbrunt nejlikfly
Korkmusslingsmal
Tajgafältmätare
Hedjordfly
Mindre aspvårvecklare
Snedstreckad fältmätare
Spybollsmal
Större aspvårvecklare
Svartfläckig högstjärt
Jättesvampmal
Större aspvedbock</t>
        </is>
      </c>
      <c r="S64">
        <f>HYPERLINK("https://klasma.github.io/Logging_0136/artfynd/A 66797-2021 artfynd.xlsx", "A 66797-2021")</f>
        <v/>
      </c>
      <c r="T64">
        <f>HYPERLINK("https://klasma.github.io/Logging_0136/kartor/A 66797-2021 karta.png", "A 66797-2021")</f>
        <v/>
      </c>
      <c r="V64">
        <f>HYPERLINK("https://klasma.github.io/Logging_0136/klagomål/A 66797-2021 FSC-klagomål.docx", "A 66797-2021")</f>
        <v/>
      </c>
      <c r="W64">
        <f>HYPERLINK("https://klasma.github.io/Logging_0136/klagomålsmail/A 66797-2021 FSC-klagomål mail.docx", "A 66797-2021")</f>
        <v/>
      </c>
      <c r="X64">
        <f>HYPERLINK("https://klasma.github.io/Logging_0136/tillsyn/A 66797-2021 tillsynsbegäran.docx", "A 66797-2021")</f>
        <v/>
      </c>
      <c r="Y64">
        <f>HYPERLINK("https://klasma.github.io/Logging_0136/tillsynsmail/A 66797-2021 tillsynsbegäran mail.docx", "A 66797-2021")</f>
        <v/>
      </c>
    </row>
    <row r="65" ht="15" customHeight="1">
      <c r="A65" t="inlineStr">
        <is>
          <t>A 22060-2022</t>
        </is>
      </c>
      <c r="B65" s="1" t="n">
        <v>44711</v>
      </c>
      <c r="C65" s="1" t="n">
        <v>45694</v>
      </c>
      <c r="D65" t="inlineStr">
        <is>
          <t>STOCKHOLMS LÄN</t>
        </is>
      </c>
      <c r="E65" t="inlineStr">
        <is>
          <t>VALLENTUNA</t>
        </is>
      </c>
      <c r="G65" t="n">
        <v>5.4</v>
      </c>
      <c r="H65" t="n">
        <v>3</v>
      </c>
      <c r="I65" t="n">
        <v>7</v>
      </c>
      <c r="J65" t="n">
        <v>2</v>
      </c>
      <c r="K65" t="n">
        <v>0</v>
      </c>
      <c r="L65" t="n">
        <v>0</v>
      </c>
      <c r="M65" t="n">
        <v>0</v>
      </c>
      <c r="N65" t="n">
        <v>0</v>
      </c>
      <c r="O65" t="n">
        <v>2</v>
      </c>
      <c r="P65" t="n">
        <v>0</v>
      </c>
      <c r="Q65" t="n">
        <v>11</v>
      </c>
      <c r="R65" s="2" t="inlineStr">
        <is>
          <t>Grönhjon
Ullticka
Bronshjon
Granbarkgnagare
Grönpyrola
Korallrot
Stubbspretmossa
Vågbandad barkbock
Ögonpyrola
Fläcknycklar
Blåsippa</t>
        </is>
      </c>
      <c r="S65">
        <f>HYPERLINK("https://klasma.github.io/Logging_0115/artfynd/A 22060-2022 artfynd.xlsx", "A 22060-2022")</f>
        <v/>
      </c>
      <c r="T65">
        <f>HYPERLINK("https://klasma.github.io/Logging_0115/kartor/A 22060-2022 karta.png", "A 22060-2022")</f>
        <v/>
      </c>
      <c r="V65">
        <f>HYPERLINK("https://klasma.github.io/Logging_0115/klagomål/A 22060-2022 FSC-klagomål.docx", "A 22060-2022")</f>
        <v/>
      </c>
      <c r="W65">
        <f>HYPERLINK("https://klasma.github.io/Logging_0115/klagomålsmail/A 22060-2022 FSC-klagomål mail.docx", "A 22060-2022")</f>
        <v/>
      </c>
      <c r="X65">
        <f>HYPERLINK("https://klasma.github.io/Logging_0115/tillsyn/A 22060-2022 tillsynsbegäran.docx", "A 22060-2022")</f>
        <v/>
      </c>
      <c r="Y65">
        <f>HYPERLINK("https://klasma.github.io/Logging_0115/tillsynsmail/A 22060-2022 tillsynsbegäran mail.docx", "A 22060-2022")</f>
        <v/>
      </c>
    </row>
    <row r="66" ht="15" customHeight="1">
      <c r="A66" t="inlineStr">
        <is>
          <t>A 57943-2022</t>
        </is>
      </c>
      <c r="B66" s="1" t="n">
        <v>44900</v>
      </c>
      <c r="C66" s="1" t="n">
        <v>45694</v>
      </c>
      <c r="D66" t="inlineStr">
        <is>
          <t>STOCKHOLMS LÄN</t>
        </is>
      </c>
      <c r="E66" t="inlineStr">
        <is>
          <t>SIGTUNA</t>
        </is>
      </c>
      <c r="G66" t="n">
        <v>15</v>
      </c>
      <c r="H66" t="n">
        <v>9</v>
      </c>
      <c r="I66" t="n">
        <v>2</v>
      </c>
      <c r="J66" t="n">
        <v>2</v>
      </c>
      <c r="K66" t="n">
        <v>0</v>
      </c>
      <c r="L66" t="n">
        <v>0</v>
      </c>
      <c r="M66" t="n">
        <v>0</v>
      </c>
      <c r="N66" t="n">
        <v>0</v>
      </c>
      <c r="O66" t="n">
        <v>2</v>
      </c>
      <c r="P66" t="n">
        <v>0</v>
      </c>
      <c r="Q66" t="n">
        <v>11</v>
      </c>
      <c r="R66" s="2" t="inlineStr">
        <is>
          <t>Nordfladdermus
Spillkråka
Thomsons trägnagare
Vanlig flatbagge
Dvärgpipistrell
Grönsiska
Järnsparv
Kungsfågel
Större brunfladdermus
Skogsödla
Gullviva</t>
        </is>
      </c>
      <c r="S66">
        <f>HYPERLINK("https://klasma.github.io/Logging_0191/artfynd/A 57943-2022 artfynd.xlsx", "A 57943-2022")</f>
        <v/>
      </c>
      <c r="T66">
        <f>HYPERLINK("https://klasma.github.io/Logging_0191/kartor/A 57943-2022 karta.png", "A 57943-2022")</f>
        <v/>
      </c>
      <c r="V66">
        <f>HYPERLINK("https://klasma.github.io/Logging_0191/klagomål/A 57943-2022 FSC-klagomål.docx", "A 57943-2022")</f>
        <v/>
      </c>
      <c r="W66">
        <f>HYPERLINK("https://klasma.github.io/Logging_0191/klagomålsmail/A 57943-2022 FSC-klagomål mail.docx", "A 57943-2022")</f>
        <v/>
      </c>
      <c r="X66">
        <f>HYPERLINK("https://klasma.github.io/Logging_0191/tillsyn/A 57943-2022 tillsynsbegäran.docx", "A 57943-2022")</f>
        <v/>
      </c>
      <c r="Y66">
        <f>HYPERLINK("https://klasma.github.io/Logging_0191/tillsynsmail/A 57943-2022 tillsynsbegäran mail.docx", "A 57943-2022")</f>
        <v/>
      </c>
      <c r="Z66">
        <f>HYPERLINK("https://klasma.github.io/Logging_0191/fåglar/A 57943-2022 prioriterade fågelarter.docx", "A 57943-2022")</f>
        <v/>
      </c>
    </row>
    <row r="67" ht="15" customHeight="1">
      <c r="A67" t="inlineStr">
        <is>
          <t>A 61724-2022</t>
        </is>
      </c>
      <c r="B67" s="1" t="n">
        <v>44917</v>
      </c>
      <c r="C67" s="1" t="n">
        <v>45694</v>
      </c>
      <c r="D67" t="inlineStr">
        <is>
          <t>STOCKHOLMS LÄN</t>
        </is>
      </c>
      <c r="E67" t="inlineStr">
        <is>
          <t>ÖSTERÅKER</t>
        </is>
      </c>
      <c r="G67" t="n">
        <v>3.5</v>
      </c>
      <c r="H67" t="n">
        <v>2</v>
      </c>
      <c r="I67" t="n">
        <v>9</v>
      </c>
      <c r="J67" t="n">
        <v>1</v>
      </c>
      <c r="K67" t="n">
        <v>0</v>
      </c>
      <c r="L67" t="n">
        <v>0</v>
      </c>
      <c r="M67" t="n">
        <v>0</v>
      </c>
      <c r="N67" t="n">
        <v>0</v>
      </c>
      <c r="O67" t="n">
        <v>1</v>
      </c>
      <c r="P67" t="n">
        <v>0</v>
      </c>
      <c r="Q67" t="n">
        <v>11</v>
      </c>
      <c r="R67" s="2" t="inlineStr">
        <is>
          <t>Spillkråka
Bronshjon
Granbarkgnagare
Mörk husmossa
Skogshakmossa
Stubbspretmossa
Tibast
Västlig hakmossa
Vätteros
Vårärt
Blåsippa</t>
        </is>
      </c>
      <c r="S67">
        <f>HYPERLINK("https://klasma.github.io/Logging_0117/artfynd/A 61724-2022 artfynd.xlsx", "A 61724-2022")</f>
        <v/>
      </c>
      <c r="T67">
        <f>HYPERLINK("https://klasma.github.io/Logging_0117/kartor/A 61724-2022 karta.png", "A 61724-2022")</f>
        <v/>
      </c>
      <c r="V67">
        <f>HYPERLINK("https://klasma.github.io/Logging_0117/klagomål/A 61724-2022 FSC-klagomål.docx", "A 61724-2022")</f>
        <v/>
      </c>
      <c r="W67">
        <f>HYPERLINK("https://klasma.github.io/Logging_0117/klagomålsmail/A 61724-2022 FSC-klagomål mail.docx", "A 61724-2022")</f>
        <v/>
      </c>
      <c r="X67">
        <f>HYPERLINK("https://klasma.github.io/Logging_0117/tillsyn/A 61724-2022 tillsynsbegäran.docx", "A 61724-2022")</f>
        <v/>
      </c>
      <c r="Y67">
        <f>HYPERLINK("https://klasma.github.io/Logging_0117/tillsynsmail/A 61724-2022 tillsynsbegäran mail.docx", "A 61724-2022")</f>
        <v/>
      </c>
      <c r="Z67">
        <f>HYPERLINK("https://klasma.github.io/Logging_0117/fåglar/A 61724-2022 prioriterade fågelarter.docx", "A 61724-2022")</f>
        <v/>
      </c>
    </row>
    <row r="68" ht="15" customHeight="1">
      <c r="A68" t="inlineStr">
        <is>
          <t>A 3472-2023</t>
        </is>
      </c>
      <c r="B68" s="1" t="n">
        <v>44949</v>
      </c>
      <c r="C68" s="1" t="n">
        <v>45694</v>
      </c>
      <c r="D68" t="inlineStr">
        <is>
          <t>STOCKHOLMS LÄN</t>
        </is>
      </c>
      <c r="E68" t="inlineStr">
        <is>
          <t>NORRTÄLJE</t>
        </is>
      </c>
      <c r="G68" t="n">
        <v>26.3</v>
      </c>
      <c r="H68" t="n">
        <v>1</v>
      </c>
      <c r="I68" t="n">
        <v>7</v>
      </c>
      <c r="J68" t="n">
        <v>2</v>
      </c>
      <c r="K68" t="n">
        <v>1</v>
      </c>
      <c r="L68" t="n">
        <v>0</v>
      </c>
      <c r="M68" t="n">
        <v>0</v>
      </c>
      <c r="N68" t="n">
        <v>0</v>
      </c>
      <c r="O68" t="n">
        <v>3</v>
      </c>
      <c r="P68" t="n">
        <v>1</v>
      </c>
      <c r="Q68" t="n">
        <v>11</v>
      </c>
      <c r="R68" s="2" t="inlineStr">
        <is>
          <t>Blackticka
Tallticka
Ullticka
Aspvedgnagare
Platt fjädermossa
Rävticka
Rökmusseron
Stor aspticka
Svavelriska
Vårärt
Blåsippa</t>
        </is>
      </c>
      <c r="S68">
        <f>HYPERLINK("https://klasma.github.io/Logging_0188/artfynd/A 3472-2023 artfynd.xlsx", "A 3472-2023")</f>
        <v/>
      </c>
      <c r="T68">
        <f>HYPERLINK("https://klasma.github.io/Logging_0188/kartor/A 3472-2023 karta.png", "A 3472-2023")</f>
        <v/>
      </c>
      <c r="V68">
        <f>HYPERLINK("https://klasma.github.io/Logging_0188/klagomål/A 3472-2023 FSC-klagomål.docx", "A 3472-2023")</f>
        <v/>
      </c>
      <c r="W68">
        <f>HYPERLINK("https://klasma.github.io/Logging_0188/klagomålsmail/A 3472-2023 FSC-klagomål mail.docx", "A 3472-2023")</f>
        <v/>
      </c>
      <c r="X68">
        <f>HYPERLINK("https://klasma.github.io/Logging_0188/tillsyn/A 3472-2023 tillsynsbegäran.docx", "A 3472-2023")</f>
        <v/>
      </c>
      <c r="Y68">
        <f>HYPERLINK("https://klasma.github.io/Logging_0188/tillsynsmail/A 3472-2023 tillsynsbegäran mail.docx", "A 3472-2023")</f>
        <v/>
      </c>
    </row>
    <row r="69" ht="15" customHeight="1">
      <c r="A69" t="inlineStr">
        <is>
          <t>A 16743-2023</t>
        </is>
      </c>
      <c r="B69" s="1" t="n">
        <v>45030</v>
      </c>
      <c r="C69" s="1" t="n">
        <v>45694</v>
      </c>
      <c r="D69" t="inlineStr">
        <is>
          <t>STOCKHOLMS LÄN</t>
        </is>
      </c>
      <c r="E69" t="inlineStr">
        <is>
          <t>NORRTÄLJE</t>
        </is>
      </c>
      <c r="G69" t="n">
        <v>6</v>
      </c>
      <c r="H69" t="n">
        <v>3</v>
      </c>
      <c r="I69" t="n">
        <v>6</v>
      </c>
      <c r="J69" t="n">
        <v>1</v>
      </c>
      <c r="K69" t="n">
        <v>2</v>
      </c>
      <c r="L69" t="n">
        <v>0</v>
      </c>
      <c r="M69" t="n">
        <v>0</v>
      </c>
      <c r="N69" t="n">
        <v>0</v>
      </c>
      <c r="O69" t="n">
        <v>3</v>
      </c>
      <c r="P69" t="n">
        <v>2</v>
      </c>
      <c r="Q69" t="n">
        <v>11</v>
      </c>
      <c r="R69" s="2" t="inlineStr">
        <is>
          <t>Grangråticka
Koppartaggsvamp
Granticka
Fjällig taggsvamp s.str.
Grönpyrola
Jättesvampmal
Skarp dropptaggsvamp
Skogsknipprot
Zontaggsvamp
Nattviol
Blåsippa</t>
        </is>
      </c>
      <c r="S69">
        <f>HYPERLINK("https://klasma.github.io/Logging_0188/artfynd/A 16743-2023 artfynd.xlsx", "A 16743-2023")</f>
        <v/>
      </c>
      <c r="T69">
        <f>HYPERLINK("https://klasma.github.io/Logging_0188/kartor/A 16743-2023 karta.png", "A 16743-2023")</f>
        <v/>
      </c>
      <c r="V69">
        <f>HYPERLINK("https://klasma.github.io/Logging_0188/klagomål/A 16743-2023 FSC-klagomål.docx", "A 16743-2023")</f>
        <v/>
      </c>
      <c r="W69">
        <f>HYPERLINK("https://klasma.github.io/Logging_0188/klagomålsmail/A 16743-2023 FSC-klagomål mail.docx", "A 16743-2023")</f>
        <v/>
      </c>
      <c r="X69">
        <f>HYPERLINK("https://klasma.github.io/Logging_0188/tillsyn/A 16743-2023 tillsynsbegäran.docx", "A 16743-2023")</f>
        <v/>
      </c>
      <c r="Y69">
        <f>HYPERLINK("https://klasma.github.io/Logging_0188/tillsynsmail/A 16743-2023 tillsynsbegäran mail.docx", "A 16743-2023")</f>
        <v/>
      </c>
    </row>
    <row r="70" ht="15" customHeight="1">
      <c r="A70" t="inlineStr">
        <is>
          <t>A 31462-2023</t>
        </is>
      </c>
      <c r="B70" s="1" t="n">
        <v>45114</v>
      </c>
      <c r="C70" s="1" t="n">
        <v>45694</v>
      </c>
      <c r="D70" t="inlineStr">
        <is>
          <t>STOCKHOLMS LÄN</t>
        </is>
      </c>
      <c r="E70" t="inlineStr">
        <is>
          <t>NORRTÄLJE</t>
        </is>
      </c>
      <c r="G70" t="n">
        <v>6.8</v>
      </c>
      <c r="H70" t="n">
        <v>7</v>
      </c>
      <c r="I70" t="n">
        <v>4</v>
      </c>
      <c r="J70" t="n">
        <v>1</v>
      </c>
      <c r="K70" t="n">
        <v>0</v>
      </c>
      <c r="L70" t="n">
        <v>0</v>
      </c>
      <c r="M70" t="n">
        <v>0</v>
      </c>
      <c r="N70" t="n">
        <v>0</v>
      </c>
      <c r="O70" t="n">
        <v>1</v>
      </c>
      <c r="P70" t="n">
        <v>0</v>
      </c>
      <c r="Q70" t="n">
        <v>11</v>
      </c>
      <c r="R70" s="2" t="inlineStr">
        <is>
          <t>Ängsstarr
Gräsull
Skogsknipprot
Terpentinmossa
Vågbandad barkbock
Gröngöling
Vanlig groda
Kärrknipprot
Ängsnycklar
Blåsippa
Revlummer</t>
        </is>
      </c>
      <c r="S70">
        <f>HYPERLINK("https://klasma.github.io/Logging_0188/artfynd/A 31462-2023 artfynd.xlsx", "A 31462-2023")</f>
        <v/>
      </c>
      <c r="T70">
        <f>HYPERLINK("https://klasma.github.io/Logging_0188/kartor/A 31462-2023 karta.png", "A 31462-2023")</f>
        <v/>
      </c>
      <c r="V70">
        <f>HYPERLINK("https://klasma.github.io/Logging_0188/klagomål/A 31462-2023 FSC-klagomål.docx", "A 31462-2023")</f>
        <v/>
      </c>
      <c r="W70">
        <f>HYPERLINK("https://klasma.github.io/Logging_0188/klagomålsmail/A 31462-2023 FSC-klagomål mail.docx", "A 31462-2023")</f>
        <v/>
      </c>
      <c r="X70">
        <f>HYPERLINK("https://klasma.github.io/Logging_0188/tillsyn/A 31462-2023 tillsynsbegäran.docx", "A 31462-2023")</f>
        <v/>
      </c>
      <c r="Y70">
        <f>HYPERLINK("https://klasma.github.io/Logging_0188/tillsynsmail/A 31462-2023 tillsynsbegäran mail.docx", "A 31462-2023")</f>
        <v/>
      </c>
      <c r="Z70">
        <f>HYPERLINK("https://klasma.github.io/Logging_0188/fåglar/A 31462-2023 prioriterade fågelarter.docx", "A 31462-2023")</f>
        <v/>
      </c>
    </row>
    <row r="71" ht="15" customHeight="1">
      <c r="A71" t="inlineStr">
        <is>
          <t>A 44481-2023</t>
        </is>
      </c>
      <c r="B71" s="1" t="n">
        <v>45189</v>
      </c>
      <c r="C71" s="1" t="n">
        <v>45694</v>
      </c>
      <c r="D71" t="inlineStr">
        <is>
          <t>STOCKHOLMS LÄN</t>
        </is>
      </c>
      <c r="E71" t="inlineStr">
        <is>
          <t>NORRTÄLJE</t>
        </is>
      </c>
      <c r="G71" t="n">
        <v>10.1</v>
      </c>
      <c r="H71" t="n">
        <v>4</v>
      </c>
      <c r="I71" t="n">
        <v>7</v>
      </c>
      <c r="J71" t="n">
        <v>0</v>
      </c>
      <c r="K71" t="n">
        <v>1</v>
      </c>
      <c r="L71" t="n">
        <v>0</v>
      </c>
      <c r="M71" t="n">
        <v>0</v>
      </c>
      <c r="N71" t="n">
        <v>0</v>
      </c>
      <c r="O71" t="n">
        <v>1</v>
      </c>
      <c r="P71" t="n">
        <v>1</v>
      </c>
      <c r="Q71" t="n">
        <v>11</v>
      </c>
      <c r="R71" s="2" t="inlineStr">
        <is>
          <t>Gul lammticka
Diskvaxskivling
Dropptaggsvamp
Fjällig taggsvamp s.str.
Rödgul trumpetsvamp
Rökmusseron
Skogsknipprot
Zontaggsvamp
Tjäder
Blåsippa
Revlummer</t>
        </is>
      </c>
      <c r="S71">
        <f>HYPERLINK("https://klasma.github.io/Logging_0188/artfynd/A 44481-2023 artfynd.xlsx", "A 44481-2023")</f>
        <v/>
      </c>
      <c r="T71">
        <f>HYPERLINK("https://klasma.github.io/Logging_0188/kartor/A 44481-2023 karta.png", "A 44481-2023")</f>
        <v/>
      </c>
      <c r="V71">
        <f>HYPERLINK("https://klasma.github.io/Logging_0188/klagomål/A 44481-2023 FSC-klagomål.docx", "A 44481-2023")</f>
        <v/>
      </c>
      <c r="W71">
        <f>HYPERLINK("https://klasma.github.io/Logging_0188/klagomålsmail/A 44481-2023 FSC-klagomål mail.docx", "A 44481-2023")</f>
        <v/>
      </c>
      <c r="X71">
        <f>HYPERLINK("https://klasma.github.io/Logging_0188/tillsyn/A 44481-2023 tillsynsbegäran.docx", "A 44481-2023")</f>
        <v/>
      </c>
      <c r="Y71">
        <f>HYPERLINK("https://klasma.github.io/Logging_0188/tillsynsmail/A 44481-2023 tillsynsbegäran mail.docx", "A 44481-2023")</f>
        <v/>
      </c>
      <c r="Z71">
        <f>HYPERLINK("https://klasma.github.io/Logging_0188/fåglar/A 44481-2023 prioriterade fågelarter.docx", "A 44481-2023")</f>
        <v/>
      </c>
    </row>
    <row r="72" ht="15" customHeight="1">
      <c r="A72" t="inlineStr">
        <is>
          <t>A 35652-2024</t>
        </is>
      </c>
      <c r="B72" s="1" t="n">
        <v>45532</v>
      </c>
      <c r="C72" s="1" t="n">
        <v>45694</v>
      </c>
      <c r="D72" t="inlineStr">
        <is>
          <t>STOCKHOLMS LÄN</t>
        </is>
      </c>
      <c r="E72" t="inlineStr">
        <is>
          <t>NORRTÄLJE</t>
        </is>
      </c>
      <c r="G72" t="n">
        <v>23.7</v>
      </c>
      <c r="H72" t="n">
        <v>0</v>
      </c>
      <c r="I72" t="n">
        <v>6</v>
      </c>
      <c r="J72" t="n">
        <v>2</v>
      </c>
      <c r="K72" t="n">
        <v>3</v>
      </c>
      <c r="L72" t="n">
        <v>0</v>
      </c>
      <c r="M72" t="n">
        <v>0</v>
      </c>
      <c r="N72" t="n">
        <v>0</v>
      </c>
      <c r="O72" t="n">
        <v>5</v>
      </c>
      <c r="P72" t="n">
        <v>3</v>
      </c>
      <c r="Q72" t="n">
        <v>11</v>
      </c>
      <c r="R72" s="2" t="inlineStr">
        <is>
          <t>Läderdoftande fingersvamp
Ostticka
Rynkskinn
Grönhjon
Ullticka
Bronshjon
Fjällig taggsvamp s.str.
Grönpyrola
Rödgul trumpetsvamp
Vedticka
Vågbandad barkbock</t>
        </is>
      </c>
      <c r="S72">
        <f>HYPERLINK("https://klasma.github.io/Logging_0188/artfynd/A 35652-2024 artfynd.xlsx", "A 35652-2024")</f>
        <v/>
      </c>
      <c r="T72">
        <f>HYPERLINK("https://klasma.github.io/Logging_0188/kartor/A 35652-2024 karta.png", "A 35652-2024")</f>
        <v/>
      </c>
      <c r="V72">
        <f>HYPERLINK("https://klasma.github.io/Logging_0188/klagomål/A 35652-2024 FSC-klagomål.docx", "A 35652-2024")</f>
        <v/>
      </c>
      <c r="W72">
        <f>HYPERLINK("https://klasma.github.io/Logging_0188/klagomålsmail/A 35652-2024 FSC-klagomål mail.docx", "A 35652-2024")</f>
        <v/>
      </c>
      <c r="X72">
        <f>HYPERLINK("https://klasma.github.io/Logging_0188/tillsyn/A 35652-2024 tillsynsbegäran.docx", "A 35652-2024")</f>
        <v/>
      </c>
      <c r="Y72">
        <f>HYPERLINK("https://klasma.github.io/Logging_0188/tillsynsmail/A 35652-2024 tillsynsbegäran mail.docx", "A 35652-2024")</f>
        <v/>
      </c>
    </row>
    <row r="73" ht="15" customHeight="1">
      <c r="A73" t="inlineStr">
        <is>
          <t>A 21999-2019</t>
        </is>
      </c>
      <c r="B73" s="1" t="n">
        <v>43584</v>
      </c>
      <c r="C73" s="1" t="n">
        <v>45694</v>
      </c>
      <c r="D73" t="inlineStr">
        <is>
          <t>STOCKHOLMS LÄN</t>
        </is>
      </c>
      <c r="E73" t="inlineStr">
        <is>
          <t>NORRTÄLJE</t>
        </is>
      </c>
      <c r="G73" t="n">
        <v>6.4</v>
      </c>
      <c r="H73" t="n">
        <v>0</v>
      </c>
      <c r="I73" t="n">
        <v>7</v>
      </c>
      <c r="J73" t="n">
        <v>3</v>
      </c>
      <c r="K73" t="n">
        <v>0</v>
      </c>
      <c r="L73" t="n">
        <v>0</v>
      </c>
      <c r="M73" t="n">
        <v>0</v>
      </c>
      <c r="N73" t="n">
        <v>0</v>
      </c>
      <c r="O73" t="n">
        <v>3</v>
      </c>
      <c r="P73" t="n">
        <v>0</v>
      </c>
      <c r="Q73" t="n">
        <v>10</v>
      </c>
      <c r="R73" s="2" t="inlineStr">
        <is>
          <t>Dofttaggsvamp
Granticka
Orange taggsvamp
Fjällig taggsvamp s.str.
Granbräken
Skarp dropptaggsvamp
Sårläka
Thomsons trägnagare
Tibast
Vårärt</t>
        </is>
      </c>
      <c r="S73">
        <f>HYPERLINK("https://klasma.github.io/Logging_0188/artfynd/A 21999-2019 artfynd.xlsx", "A 21999-2019")</f>
        <v/>
      </c>
      <c r="T73">
        <f>HYPERLINK("https://klasma.github.io/Logging_0188/kartor/A 21999-2019 karta.png", "A 21999-2019")</f>
        <v/>
      </c>
      <c r="V73">
        <f>HYPERLINK("https://klasma.github.io/Logging_0188/klagomål/A 21999-2019 FSC-klagomål.docx", "A 21999-2019")</f>
        <v/>
      </c>
      <c r="W73">
        <f>HYPERLINK("https://klasma.github.io/Logging_0188/klagomålsmail/A 21999-2019 FSC-klagomål mail.docx", "A 21999-2019")</f>
        <v/>
      </c>
      <c r="X73">
        <f>HYPERLINK("https://klasma.github.io/Logging_0188/tillsyn/A 21999-2019 tillsynsbegäran.docx", "A 21999-2019")</f>
        <v/>
      </c>
      <c r="Y73">
        <f>HYPERLINK("https://klasma.github.io/Logging_0188/tillsynsmail/A 21999-2019 tillsynsbegäran mail.docx", "A 21999-2019")</f>
        <v/>
      </c>
    </row>
    <row r="74" ht="15" customHeight="1">
      <c r="A74" t="inlineStr">
        <is>
          <t>A 27195-2019</t>
        </is>
      </c>
      <c r="B74" s="1" t="n">
        <v>43614</v>
      </c>
      <c r="C74" s="1" t="n">
        <v>45694</v>
      </c>
      <c r="D74" t="inlineStr">
        <is>
          <t>STOCKHOLMS LÄN</t>
        </is>
      </c>
      <c r="E74" t="inlineStr">
        <is>
          <t>NORRTÄLJE</t>
        </is>
      </c>
      <c r="G74" t="n">
        <v>6.8</v>
      </c>
      <c r="H74" t="n">
        <v>0</v>
      </c>
      <c r="I74" t="n">
        <v>6</v>
      </c>
      <c r="J74" t="n">
        <v>3</v>
      </c>
      <c r="K74" t="n">
        <v>1</v>
      </c>
      <c r="L74" t="n">
        <v>0</v>
      </c>
      <c r="M74" t="n">
        <v>0</v>
      </c>
      <c r="N74" t="n">
        <v>0</v>
      </c>
      <c r="O74" t="n">
        <v>4</v>
      </c>
      <c r="P74" t="n">
        <v>1</v>
      </c>
      <c r="Q74" t="n">
        <v>10</v>
      </c>
      <c r="R74" s="2" t="inlineStr">
        <is>
          <t>Violgubbe
Granticka
Gropticka
Kandelabersvamp
Barkticka
Bronshjon
Dvärgtufs
Fjällig taggsvamp s.str.
Jättesvampmal
Skarp dropptaggsvamp</t>
        </is>
      </c>
      <c r="S74">
        <f>HYPERLINK("https://klasma.github.io/Logging_0188/artfynd/A 27195-2019 artfynd.xlsx", "A 27195-2019")</f>
        <v/>
      </c>
      <c r="T74">
        <f>HYPERLINK("https://klasma.github.io/Logging_0188/kartor/A 27195-2019 karta.png", "A 27195-2019")</f>
        <v/>
      </c>
      <c r="V74">
        <f>HYPERLINK("https://klasma.github.io/Logging_0188/klagomål/A 27195-2019 FSC-klagomål.docx", "A 27195-2019")</f>
        <v/>
      </c>
      <c r="W74">
        <f>HYPERLINK("https://klasma.github.io/Logging_0188/klagomålsmail/A 27195-2019 FSC-klagomål mail.docx", "A 27195-2019")</f>
        <v/>
      </c>
      <c r="X74">
        <f>HYPERLINK("https://klasma.github.io/Logging_0188/tillsyn/A 27195-2019 tillsynsbegäran.docx", "A 27195-2019")</f>
        <v/>
      </c>
      <c r="Y74">
        <f>HYPERLINK("https://klasma.github.io/Logging_0188/tillsynsmail/A 27195-2019 tillsynsbegäran mail.docx", "A 27195-2019")</f>
        <v/>
      </c>
    </row>
    <row r="75" ht="15" customHeight="1">
      <c r="A75" t="inlineStr">
        <is>
          <t>A 20030-2020</t>
        </is>
      </c>
      <c r="B75" s="1" t="n">
        <v>43942</v>
      </c>
      <c r="C75" s="1" t="n">
        <v>45694</v>
      </c>
      <c r="D75" t="inlineStr">
        <is>
          <t>STOCKHOLMS LÄN</t>
        </is>
      </c>
      <c r="E75" t="inlineStr">
        <is>
          <t>SIGTUNA</t>
        </is>
      </c>
      <c r="G75" t="n">
        <v>11.5</v>
      </c>
      <c r="H75" t="n">
        <v>9</v>
      </c>
      <c r="I75" t="n">
        <v>1</v>
      </c>
      <c r="J75" t="n">
        <v>2</v>
      </c>
      <c r="K75" t="n">
        <v>1</v>
      </c>
      <c r="L75" t="n">
        <v>1</v>
      </c>
      <c r="M75" t="n">
        <v>0</v>
      </c>
      <c r="N75" t="n">
        <v>0</v>
      </c>
      <c r="O75" t="n">
        <v>4</v>
      </c>
      <c r="P75" t="n">
        <v>2</v>
      </c>
      <c r="Q75" t="n">
        <v>10</v>
      </c>
      <c r="R75" s="2" t="inlineStr">
        <is>
          <t>Grönfink
Tofsvipa
Svartvit flugsnappare
Talltita
Vågbandad barkbock
Gröngöling
Grönsiska
Järnsparv
Kungsfågel
Blåsippa</t>
        </is>
      </c>
      <c r="S75">
        <f>HYPERLINK("https://klasma.github.io/Logging_0191/artfynd/A 20030-2020 artfynd.xlsx", "A 20030-2020")</f>
        <v/>
      </c>
      <c r="T75">
        <f>HYPERLINK("https://klasma.github.io/Logging_0191/kartor/A 20030-2020 karta.png", "A 20030-2020")</f>
        <v/>
      </c>
      <c r="V75">
        <f>HYPERLINK("https://klasma.github.io/Logging_0191/klagomål/A 20030-2020 FSC-klagomål.docx", "A 20030-2020")</f>
        <v/>
      </c>
      <c r="W75">
        <f>HYPERLINK("https://klasma.github.io/Logging_0191/klagomålsmail/A 20030-2020 FSC-klagomål mail.docx", "A 20030-2020")</f>
        <v/>
      </c>
      <c r="X75">
        <f>HYPERLINK("https://klasma.github.io/Logging_0191/tillsyn/A 20030-2020 tillsynsbegäran.docx", "A 20030-2020")</f>
        <v/>
      </c>
      <c r="Y75">
        <f>HYPERLINK("https://klasma.github.io/Logging_0191/tillsynsmail/A 20030-2020 tillsynsbegäran mail.docx", "A 20030-2020")</f>
        <v/>
      </c>
      <c r="Z75">
        <f>HYPERLINK("https://klasma.github.io/Logging_0191/fåglar/A 20030-2020 prioriterade fågelarter.docx", "A 20030-2020")</f>
        <v/>
      </c>
    </row>
    <row r="76" ht="15" customHeight="1">
      <c r="A76" t="inlineStr">
        <is>
          <t>A 11231-2021</t>
        </is>
      </c>
      <c r="B76" s="1" t="n">
        <v>44263</v>
      </c>
      <c r="C76" s="1" t="n">
        <v>45694</v>
      </c>
      <c r="D76" t="inlineStr">
        <is>
          <t>STOCKHOLMS LÄN</t>
        </is>
      </c>
      <c r="E76" t="inlineStr">
        <is>
          <t>NORRTÄLJE</t>
        </is>
      </c>
      <c r="F76" t="inlineStr">
        <is>
          <t>Holmen skog AB</t>
        </is>
      </c>
      <c r="G76" t="n">
        <v>12</v>
      </c>
      <c r="H76" t="n">
        <v>6</v>
      </c>
      <c r="I76" t="n">
        <v>2</v>
      </c>
      <c r="J76" t="n">
        <v>5</v>
      </c>
      <c r="K76" t="n">
        <v>0</v>
      </c>
      <c r="L76" t="n">
        <v>2</v>
      </c>
      <c r="M76" t="n">
        <v>0</v>
      </c>
      <c r="N76" t="n">
        <v>0</v>
      </c>
      <c r="O76" t="n">
        <v>7</v>
      </c>
      <c r="P76" t="n">
        <v>2</v>
      </c>
      <c r="Q76" t="n">
        <v>10</v>
      </c>
      <c r="R76" s="2" t="inlineStr">
        <is>
          <t>Grönfink
Tornseglare
Fiskmås
Havsörn
Motaggsvamp
Talltita
Vedskivlav
Björksplintborre
Dropptaggsvamp
Tjäder</t>
        </is>
      </c>
      <c r="S76">
        <f>HYPERLINK("https://klasma.github.io/Logging_0188/artfynd/A 11231-2021 artfynd.xlsx", "A 11231-2021")</f>
        <v/>
      </c>
      <c r="T76">
        <f>HYPERLINK("https://klasma.github.io/Logging_0188/kartor/A 11231-2021 karta.png", "A 11231-2021")</f>
        <v/>
      </c>
      <c r="V76">
        <f>HYPERLINK("https://klasma.github.io/Logging_0188/klagomål/A 11231-2021 FSC-klagomål.docx", "A 11231-2021")</f>
        <v/>
      </c>
      <c r="W76">
        <f>HYPERLINK("https://klasma.github.io/Logging_0188/klagomålsmail/A 11231-2021 FSC-klagomål mail.docx", "A 11231-2021")</f>
        <v/>
      </c>
      <c r="X76">
        <f>HYPERLINK("https://klasma.github.io/Logging_0188/tillsyn/A 11231-2021 tillsynsbegäran.docx", "A 11231-2021")</f>
        <v/>
      </c>
      <c r="Y76">
        <f>HYPERLINK("https://klasma.github.io/Logging_0188/tillsynsmail/A 11231-2021 tillsynsbegäran mail.docx", "A 11231-2021")</f>
        <v/>
      </c>
      <c r="Z76">
        <f>HYPERLINK("https://klasma.github.io/Logging_0188/fåglar/A 11231-2021 prioriterade fågelarter.docx", "A 11231-2021")</f>
        <v/>
      </c>
    </row>
    <row r="77" ht="15" customHeight="1">
      <c r="A77" t="inlineStr">
        <is>
          <t>A 43913-2021</t>
        </is>
      </c>
      <c r="B77" s="1" t="n">
        <v>44434</v>
      </c>
      <c r="C77" s="1" t="n">
        <v>45694</v>
      </c>
      <c r="D77" t="inlineStr">
        <is>
          <t>STOCKHOLMS LÄN</t>
        </is>
      </c>
      <c r="E77" t="inlineStr">
        <is>
          <t>BOTKYRKA</t>
        </is>
      </c>
      <c r="F77" t="inlineStr">
        <is>
          <t>Kommuner</t>
        </is>
      </c>
      <c r="G77" t="n">
        <v>2.8</v>
      </c>
      <c r="H77" t="n">
        <v>1</v>
      </c>
      <c r="I77" t="n">
        <v>7</v>
      </c>
      <c r="J77" t="n">
        <v>3</v>
      </c>
      <c r="K77" t="n">
        <v>0</v>
      </c>
      <c r="L77" t="n">
        <v>0</v>
      </c>
      <c r="M77" t="n">
        <v>0</v>
      </c>
      <c r="N77" t="n">
        <v>0</v>
      </c>
      <c r="O77" t="n">
        <v>3</v>
      </c>
      <c r="P77" t="n">
        <v>0</v>
      </c>
      <c r="Q77" t="n">
        <v>10</v>
      </c>
      <c r="R77" s="2" t="inlineStr">
        <is>
          <t>Blek fingersvamp
Gul taggsvamp
Tallticka
Brandticka
Dropptaggsvamp
Fjällig taggsvamp s.str.
Grovticka
Grön sköldmossa
Jättesvampmal
Trådticka</t>
        </is>
      </c>
      <c r="S77">
        <f>HYPERLINK("https://klasma.github.io/Logging_0127/artfynd/A 43913-2021 artfynd.xlsx", "A 43913-2021")</f>
        <v/>
      </c>
      <c r="T77">
        <f>HYPERLINK("https://klasma.github.io/Logging_0127/kartor/A 43913-2021 karta.png", "A 43913-2021")</f>
        <v/>
      </c>
      <c r="U77">
        <f>HYPERLINK("https://klasma.github.io/Logging_0127/knärot/A 43913-2021 karta knärot.png", "A 43913-2021")</f>
        <v/>
      </c>
      <c r="V77">
        <f>HYPERLINK("https://klasma.github.io/Logging_0127/klagomål/A 43913-2021 FSC-klagomål.docx", "A 43913-2021")</f>
        <v/>
      </c>
      <c r="W77">
        <f>HYPERLINK("https://klasma.github.io/Logging_0127/klagomålsmail/A 43913-2021 FSC-klagomål mail.docx", "A 43913-2021")</f>
        <v/>
      </c>
      <c r="X77">
        <f>HYPERLINK("https://klasma.github.io/Logging_0127/tillsyn/A 43913-2021 tillsynsbegäran.docx", "A 43913-2021")</f>
        <v/>
      </c>
      <c r="Y77">
        <f>HYPERLINK("https://klasma.github.io/Logging_0127/tillsynsmail/A 43913-2021 tillsynsbegäran mail.docx", "A 43913-2021")</f>
        <v/>
      </c>
    </row>
    <row r="78" ht="15" customHeight="1">
      <c r="A78" t="inlineStr">
        <is>
          <t>A 1212-2023</t>
        </is>
      </c>
      <c r="B78" s="1" t="n">
        <v>44935</v>
      </c>
      <c r="C78" s="1" t="n">
        <v>45694</v>
      </c>
      <c r="D78" t="inlineStr">
        <is>
          <t>STOCKHOLMS LÄN</t>
        </is>
      </c>
      <c r="E78" t="inlineStr">
        <is>
          <t>NYNÄSHAMN</t>
        </is>
      </c>
      <c r="G78" t="n">
        <v>3.9</v>
      </c>
      <c r="H78" t="n">
        <v>4</v>
      </c>
      <c r="I78" t="n">
        <v>8</v>
      </c>
      <c r="J78" t="n">
        <v>0</v>
      </c>
      <c r="K78" t="n">
        <v>1</v>
      </c>
      <c r="L78" t="n">
        <v>0</v>
      </c>
      <c r="M78" t="n">
        <v>0</v>
      </c>
      <c r="N78" t="n">
        <v>0</v>
      </c>
      <c r="O78" t="n">
        <v>1</v>
      </c>
      <c r="P78" t="n">
        <v>1</v>
      </c>
      <c r="Q78" t="n">
        <v>10</v>
      </c>
      <c r="R78" s="2" t="inlineStr">
        <is>
          <t>Knärot
Grön sköldmossa
Hasselticka
Kattfotslav
Kornknutmossa
Skogsknipprot
Stor revmossa
Sårläka
Västlig hakmossa
Blåsippa</t>
        </is>
      </c>
      <c r="S78">
        <f>HYPERLINK("https://klasma.github.io/Logging_0192/artfynd/A 1212-2023 artfynd.xlsx", "A 1212-2023")</f>
        <v/>
      </c>
      <c r="T78">
        <f>HYPERLINK("https://klasma.github.io/Logging_0192/kartor/A 1212-2023 karta.png", "A 1212-2023")</f>
        <v/>
      </c>
      <c r="U78">
        <f>HYPERLINK("https://klasma.github.io/Logging_0192/knärot/A 1212-2023 karta knärot.png", "A 1212-2023")</f>
        <v/>
      </c>
      <c r="V78">
        <f>HYPERLINK("https://klasma.github.io/Logging_0192/klagomål/A 1212-2023 FSC-klagomål.docx", "A 1212-2023")</f>
        <v/>
      </c>
      <c r="W78">
        <f>HYPERLINK("https://klasma.github.io/Logging_0192/klagomålsmail/A 1212-2023 FSC-klagomål mail.docx", "A 1212-2023")</f>
        <v/>
      </c>
      <c r="X78">
        <f>HYPERLINK("https://klasma.github.io/Logging_0192/tillsyn/A 1212-2023 tillsynsbegäran.docx", "A 1212-2023")</f>
        <v/>
      </c>
      <c r="Y78">
        <f>HYPERLINK("https://klasma.github.io/Logging_0192/tillsynsmail/A 1212-2023 tillsynsbegäran mail.docx", "A 1212-2023")</f>
        <v/>
      </c>
    </row>
    <row r="79" ht="15" customHeight="1">
      <c r="A79" t="inlineStr">
        <is>
          <t>A 4262-2023</t>
        </is>
      </c>
      <c r="B79" s="1" t="n">
        <v>44953</v>
      </c>
      <c r="C79" s="1" t="n">
        <v>45694</v>
      </c>
      <c r="D79" t="inlineStr">
        <is>
          <t>STOCKHOLMS LÄN</t>
        </is>
      </c>
      <c r="E79" t="inlineStr">
        <is>
          <t>NORRTÄLJE</t>
        </is>
      </c>
      <c r="G79" t="n">
        <v>8.699999999999999</v>
      </c>
      <c r="H79" t="n">
        <v>0</v>
      </c>
      <c r="I79" t="n">
        <v>9</v>
      </c>
      <c r="J79" t="n">
        <v>0</v>
      </c>
      <c r="K79" t="n">
        <v>1</v>
      </c>
      <c r="L79" t="n">
        <v>0</v>
      </c>
      <c r="M79" t="n">
        <v>0</v>
      </c>
      <c r="N79" t="n">
        <v>0</v>
      </c>
      <c r="O79" t="n">
        <v>1</v>
      </c>
      <c r="P79" t="n">
        <v>1</v>
      </c>
      <c r="Q79" t="n">
        <v>10</v>
      </c>
      <c r="R79" s="2" t="inlineStr">
        <is>
          <t>Grangråticka
Dofttråding
Fjällig taggsvamp s.str.
Guldkremla
Kryddspindling
Olivspindling
Rödgul trumpetsvamp
Skarp dropptaggsvamp
Strimspindling
Svavelriska</t>
        </is>
      </c>
      <c r="S79">
        <f>HYPERLINK("https://klasma.github.io/Logging_0188/artfynd/A 4262-2023 artfynd.xlsx", "A 4262-2023")</f>
        <v/>
      </c>
      <c r="T79">
        <f>HYPERLINK("https://klasma.github.io/Logging_0188/kartor/A 4262-2023 karta.png", "A 4262-2023")</f>
        <v/>
      </c>
      <c r="V79">
        <f>HYPERLINK("https://klasma.github.io/Logging_0188/klagomål/A 4262-2023 FSC-klagomål.docx", "A 4262-2023")</f>
        <v/>
      </c>
      <c r="W79">
        <f>HYPERLINK("https://klasma.github.io/Logging_0188/klagomålsmail/A 4262-2023 FSC-klagomål mail.docx", "A 4262-2023")</f>
        <v/>
      </c>
      <c r="X79">
        <f>HYPERLINK("https://klasma.github.io/Logging_0188/tillsyn/A 4262-2023 tillsynsbegäran.docx", "A 4262-2023")</f>
        <v/>
      </c>
      <c r="Y79">
        <f>HYPERLINK("https://klasma.github.io/Logging_0188/tillsynsmail/A 4262-2023 tillsynsbegäran mail.docx", "A 4262-2023")</f>
        <v/>
      </c>
    </row>
    <row r="80" ht="15" customHeight="1">
      <c r="A80" t="inlineStr">
        <is>
          <t>A 15265-2023</t>
        </is>
      </c>
      <c r="B80" s="1" t="n">
        <v>45019</v>
      </c>
      <c r="C80" s="1" t="n">
        <v>45694</v>
      </c>
      <c r="D80" t="inlineStr">
        <is>
          <t>STOCKHOLMS LÄN</t>
        </is>
      </c>
      <c r="E80" t="inlineStr">
        <is>
          <t>VALLENTUNA</t>
        </is>
      </c>
      <c r="G80" t="n">
        <v>4.2</v>
      </c>
      <c r="H80" t="n">
        <v>3</v>
      </c>
      <c r="I80" t="n">
        <v>5</v>
      </c>
      <c r="J80" t="n">
        <v>4</v>
      </c>
      <c r="K80" t="n">
        <v>0</v>
      </c>
      <c r="L80" t="n">
        <v>0</v>
      </c>
      <c r="M80" t="n">
        <v>0</v>
      </c>
      <c r="N80" t="n">
        <v>0</v>
      </c>
      <c r="O80" t="n">
        <v>4</v>
      </c>
      <c r="P80" t="n">
        <v>0</v>
      </c>
      <c r="Q80" t="n">
        <v>10</v>
      </c>
      <c r="R80" s="2" t="inlineStr">
        <is>
          <t>Asppraktbagge
Gullklöver
Mindre bastardsvärmare
Spillkråka
Ljus vedstrit
Skogsknipprot
Spindelbock
Stekelbock
Tibast
Skogsödla</t>
        </is>
      </c>
      <c r="S80">
        <f>HYPERLINK("https://klasma.github.io/Logging_0115/artfynd/A 15265-2023 artfynd.xlsx", "A 15265-2023")</f>
        <v/>
      </c>
      <c r="T80">
        <f>HYPERLINK("https://klasma.github.io/Logging_0115/kartor/A 15265-2023 karta.png", "A 15265-2023")</f>
        <v/>
      </c>
      <c r="V80">
        <f>HYPERLINK("https://klasma.github.io/Logging_0115/klagomål/A 15265-2023 FSC-klagomål.docx", "A 15265-2023")</f>
        <v/>
      </c>
      <c r="W80">
        <f>HYPERLINK("https://klasma.github.io/Logging_0115/klagomålsmail/A 15265-2023 FSC-klagomål mail.docx", "A 15265-2023")</f>
        <v/>
      </c>
      <c r="X80">
        <f>HYPERLINK("https://klasma.github.io/Logging_0115/tillsyn/A 15265-2023 tillsynsbegäran.docx", "A 15265-2023")</f>
        <v/>
      </c>
      <c r="Y80">
        <f>HYPERLINK("https://klasma.github.io/Logging_0115/tillsynsmail/A 15265-2023 tillsynsbegäran mail.docx", "A 15265-2023")</f>
        <v/>
      </c>
      <c r="Z80">
        <f>HYPERLINK("https://klasma.github.io/Logging_0115/fåglar/A 15265-2023 prioriterade fågelarter.docx", "A 15265-2023")</f>
        <v/>
      </c>
    </row>
    <row r="81" ht="15" customHeight="1">
      <c r="A81" t="inlineStr">
        <is>
          <t>A 44847-2023</t>
        </is>
      </c>
      <c r="B81" s="1" t="n">
        <v>45190</v>
      </c>
      <c r="C81" s="1" t="n">
        <v>45694</v>
      </c>
      <c r="D81" t="inlineStr">
        <is>
          <t>STOCKHOLMS LÄN</t>
        </is>
      </c>
      <c r="E81" t="inlineStr">
        <is>
          <t>NORRTÄLJE</t>
        </is>
      </c>
      <c r="G81" t="n">
        <v>8.5</v>
      </c>
      <c r="H81" t="n">
        <v>10</v>
      </c>
      <c r="I81" t="n">
        <v>0</v>
      </c>
      <c r="J81" t="n">
        <v>4</v>
      </c>
      <c r="K81" t="n">
        <v>4</v>
      </c>
      <c r="L81" t="n">
        <v>1</v>
      </c>
      <c r="M81" t="n">
        <v>0</v>
      </c>
      <c r="N81" t="n">
        <v>0</v>
      </c>
      <c r="O81" t="n">
        <v>9</v>
      </c>
      <c r="P81" t="n">
        <v>5</v>
      </c>
      <c r="Q81" t="n">
        <v>10</v>
      </c>
      <c r="R81" s="2" t="inlineStr">
        <is>
          <t>Ejder
Gråtrut
Havstrut
Knärot
Stare
Fiskmås
Havsörn
Skrattmås
Strandskata
Gråkråka</t>
        </is>
      </c>
      <c r="S81">
        <f>HYPERLINK("https://klasma.github.io/Logging_0188/artfynd/A 44847-2023 artfynd.xlsx", "A 44847-2023")</f>
        <v/>
      </c>
      <c r="T81">
        <f>HYPERLINK("https://klasma.github.io/Logging_0188/kartor/A 44847-2023 karta.png", "A 44847-2023")</f>
        <v/>
      </c>
      <c r="U81">
        <f>HYPERLINK("https://klasma.github.io/Logging_0188/knärot/A 44847-2023 karta knärot.png", "A 44847-2023")</f>
        <v/>
      </c>
      <c r="V81">
        <f>HYPERLINK("https://klasma.github.io/Logging_0188/klagomål/A 44847-2023 FSC-klagomål.docx", "A 44847-2023")</f>
        <v/>
      </c>
      <c r="W81">
        <f>HYPERLINK("https://klasma.github.io/Logging_0188/klagomålsmail/A 44847-2023 FSC-klagomål mail.docx", "A 44847-2023")</f>
        <v/>
      </c>
      <c r="X81">
        <f>HYPERLINK("https://klasma.github.io/Logging_0188/tillsyn/A 44847-2023 tillsynsbegäran.docx", "A 44847-2023")</f>
        <v/>
      </c>
      <c r="Y81">
        <f>HYPERLINK("https://klasma.github.io/Logging_0188/tillsynsmail/A 44847-2023 tillsynsbegäran mail.docx", "A 44847-2023")</f>
        <v/>
      </c>
      <c r="Z81">
        <f>HYPERLINK("https://klasma.github.io/Logging_0188/fåglar/A 44847-2023 prioriterade fågelarter.docx", "A 44847-2023")</f>
        <v/>
      </c>
    </row>
    <row r="82" ht="15" customHeight="1">
      <c r="A82" t="inlineStr">
        <is>
          <t>A 47690-2023</t>
        </is>
      </c>
      <c r="B82" s="1" t="n">
        <v>45198</v>
      </c>
      <c r="C82" s="1" t="n">
        <v>45694</v>
      </c>
      <c r="D82" t="inlineStr">
        <is>
          <t>STOCKHOLMS LÄN</t>
        </is>
      </c>
      <c r="E82" t="inlineStr">
        <is>
          <t>SÖDERTÄLJE</t>
        </is>
      </c>
      <c r="G82" t="n">
        <v>17.6</v>
      </c>
      <c r="H82" t="n">
        <v>3</v>
      </c>
      <c r="I82" t="n">
        <v>5</v>
      </c>
      <c r="J82" t="n">
        <v>3</v>
      </c>
      <c r="K82" t="n">
        <v>0</v>
      </c>
      <c r="L82" t="n">
        <v>0</v>
      </c>
      <c r="M82" t="n">
        <v>0</v>
      </c>
      <c r="N82" t="n">
        <v>0</v>
      </c>
      <c r="O82" t="n">
        <v>3</v>
      </c>
      <c r="P82" t="n">
        <v>0</v>
      </c>
      <c r="Q82" t="n">
        <v>10</v>
      </c>
      <c r="R82" s="2" t="inlineStr">
        <is>
          <t>Motaggsvamp
Spillkråka
Vedtrappmossa
Fjällig taggsvamp s.str.
Grönpyrola
Rödgul trumpetsvamp
Trådticka
Zontaggsvamp
Gröngöling
Blåsippa</t>
        </is>
      </c>
      <c r="S82">
        <f>HYPERLINK("https://klasma.github.io/Logging_0181/artfynd/A 47690-2023 artfynd.xlsx", "A 47690-2023")</f>
        <v/>
      </c>
      <c r="T82">
        <f>HYPERLINK("https://klasma.github.io/Logging_0181/kartor/A 47690-2023 karta.png", "A 47690-2023")</f>
        <v/>
      </c>
      <c r="V82">
        <f>HYPERLINK("https://klasma.github.io/Logging_0181/klagomål/A 47690-2023 FSC-klagomål.docx", "A 47690-2023")</f>
        <v/>
      </c>
      <c r="W82">
        <f>HYPERLINK("https://klasma.github.io/Logging_0181/klagomålsmail/A 47690-2023 FSC-klagomål mail.docx", "A 47690-2023")</f>
        <v/>
      </c>
      <c r="X82">
        <f>HYPERLINK("https://klasma.github.io/Logging_0181/tillsyn/A 47690-2023 tillsynsbegäran.docx", "A 47690-2023")</f>
        <v/>
      </c>
      <c r="Y82">
        <f>HYPERLINK("https://klasma.github.io/Logging_0181/tillsynsmail/A 47690-2023 tillsynsbegäran mail.docx", "A 47690-2023")</f>
        <v/>
      </c>
      <c r="Z82">
        <f>HYPERLINK("https://klasma.github.io/Logging_0181/fåglar/A 47690-2023 prioriterade fågelarter.docx", "A 47690-2023")</f>
        <v/>
      </c>
    </row>
    <row r="83" ht="15" customHeight="1">
      <c r="A83" t="inlineStr">
        <is>
          <t>A 49418-2023</t>
        </is>
      </c>
      <c r="B83" s="1" t="n">
        <v>45211</v>
      </c>
      <c r="C83" s="1" t="n">
        <v>45694</v>
      </c>
      <c r="D83" t="inlineStr">
        <is>
          <t>STOCKHOLMS LÄN</t>
        </is>
      </c>
      <c r="E83" t="inlineStr">
        <is>
          <t>HUDDINGE</t>
        </is>
      </c>
      <c r="F83" t="inlineStr">
        <is>
          <t>Kommuner</t>
        </is>
      </c>
      <c r="G83" t="n">
        <v>3.5</v>
      </c>
      <c r="H83" t="n">
        <v>6</v>
      </c>
      <c r="I83" t="n">
        <v>4</v>
      </c>
      <c r="J83" t="n">
        <v>2</v>
      </c>
      <c r="K83" t="n">
        <v>0</v>
      </c>
      <c r="L83" t="n">
        <v>1</v>
      </c>
      <c r="M83" t="n">
        <v>0</v>
      </c>
      <c r="N83" t="n">
        <v>0</v>
      </c>
      <c r="O83" t="n">
        <v>3</v>
      </c>
      <c r="P83" t="n">
        <v>1</v>
      </c>
      <c r="Q83" t="n">
        <v>10</v>
      </c>
      <c r="R83" s="2" t="inlineStr">
        <is>
          <t>Grönfink
Entita
Gulsparv
Bronshjon
Grovticka
Vedticka
Vågbandad barkbock
Grönsiska
Järnsparv
Kungsfågel</t>
        </is>
      </c>
      <c r="S83">
        <f>HYPERLINK("https://klasma.github.io/Logging_0126/artfynd/A 49418-2023 artfynd.xlsx", "A 49418-2023")</f>
        <v/>
      </c>
      <c r="T83">
        <f>HYPERLINK("https://klasma.github.io/Logging_0126/kartor/A 49418-2023 karta.png", "A 49418-2023")</f>
        <v/>
      </c>
      <c r="V83">
        <f>HYPERLINK("https://klasma.github.io/Logging_0126/klagomål/A 49418-2023 FSC-klagomål.docx", "A 49418-2023")</f>
        <v/>
      </c>
      <c r="W83">
        <f>HYPERLINK("https://klasma.github.io/Logging_0126/klagomålsmail/A 49418-2023 FSC-klagomål mail.docx", "A 49418-2023")</f>
        <v/>
      </c>
      <c r="X83">
        <f>HYPERLINK("https://klasma.github.io/Logging_0126/tillsyn/A 49418-2023 tillsynsbegäran.docx", "A 49418-2023")</f>
        <v/>
      </c>
      <c r="Y83">
        <f>HYPERLINK("https://klasma.github.io/Logging_0126/tillsynsmail/A 49418-2023 tillsynsbegäran mail.docx", "A 49418-2023")</f>
        <v/>
      </c>
      <c r="Z83">
        <f>HYPERLINK("https://klasma.github.io/Logging_0126/fåglar/A 49418-2023 prioriterade fågelarter.docx", "A 49418-2023")</f>
        <v/>
      </c>
    </row>
    <row r="84" ht="15" customHeight="1">
      <c r="A84" t="inlineStr">
        <is>
          <t>A 55773-2023</t>
        </is>
      </c>
      <c r="B84" s="1" t="n">
        <v>45232</v>
      </c>
      <c r="C84" s="1" t="n">
        <v>45694</v>
      </c>
      <c r="D84" t="inlineStr">
        <is>
          <t>STOCKHOLMS LÄN</t>
        </is>
      </c>
      <c r="E84" t="inlineStr">
        <is>
          <t>UPPLANDS-BRO</t>
        </is>
      </c>
      <c r="G84" t="n">
        <v>4.9</v>
      </c>
      <c r="H84" t="n">
        <v>2</v>
      </c>
      <c r="I84" t="n">
        <v>5</v>
      </c>
      <c r="J84" t="n">
        <v>3</v>
      </c>
      <c r="K84" t="n">
        <v>0</v>
      </c>
      <c r="L84" t="n">
        <v>0</v>
      </c>
      <c r="M84" t="n">
        <v>0</v>
      </c>
      <c r="N84" t="n">
        <v>0</v>
      </c>
      <c r="O84" t="n">
        <v>3</v>
      </c>
      <c r="P84" t="n">
        <v>0</v>
      </c>
      <c r="Q84" t="n">
        <v>10</v>
      </c>
      <c r="R84" s="2" t="inlineStr">
        <is>
          <t>Flattoppad klubbsvamp
Fyrflikig jordstjärna
Grantaggsvamp
Fjällig taggsvamp s.str.
Kamjordstjärna
Skarp dropptaggsvamp
Svavelriska
Zontaggsvamp
Kopparödla
Nattviol</t>
        </is>
      </c>
      <c r="S84">
        <f>HYPERLINK("https://klasma.github.io/Logging_0139/artfynd/A 55773-2023 artfynd.xlsx", "A 55773-2023")</f>
        <v/>
      </c>
      <c r="T84">
        <f>HYPERLINK("https://klasma.github.io/Logging_0139/kartor/A 55773-2023 karta.png", "A 55773-2023")</f>
        <v/>
      </c>
      <c r="V84">
        <f>HYPERLINK("https://klasma.github.io/Logging_0139/klagomål/A 55773-2023 FSC-klagomål.docx", "A 55773-2023")</f>
        <v/>
      </c>
      <c r="W84">
        <f>HYPERLINK("https://klasma.github.io/Logging_0139/klagomålsmail/A 55773-2023 FSC-klagomål mail.docx", "A 55773-2023")</f>
        <v/>
      </c>
      <c r="X84">
        <f>HYPERLINK("https://klasma.github.io/Logging_0139/tillsyn/A 55773-2023 tillsynsbegäran.docx", "A 55773-2023")</f>
        <v/>
      </c>
      <c r="Y84">
        <f>HYPERLINK("https://klasma.github.io/Logging_0139/tillsynsmail/A 55773-2023 tillsynsbegäran mail.docx", "A 55773-2023")</f>
        <v/>
      </c>
    </row>
    <row r="85" ht="15" customHeight="1">
      <c r="A85" t="inlineStr">
        <is>
          <t>A 20722-2024</t>
        </is>
      </c>
      <c r="B85" s="1" t="n">
        <v>45436</v>
      </c>
      <c r="C85" s="1" t="n">
        <v>45694</v>
      </c>
      <c r="D85" t="inlineStr">
        <is>
          <t>STOCKHOLMS LÄN</t>
        </is>
      </c>
      <c r="E85" t="inlineStr">
        <is>
          <t>NORRTÄLJE</t>
        </is>
      </c>
      <c r="G85" t="n">
        <v>5.2</v>
      </c>
      <c r="H85" t="n">
        <v>4</v>
      </c>
      <c r="I85" t="n">
        <v>2</v>
      </c>
      <c r="J85" t="n">
        <v>6</v>
      </c>
      <c r="K85" t="n">
        <v>1</v>
      </c>
      <c r="L85" t="n">
        <v>0</v>
      </c>
      <c r="M85" t="n">
        <v>0</v>
      </c>
      <c r="N85" t="n">
        <v>0</v>
      </c>
      <c r="O85" t="n">
        <v>7</v>
      </c>
      <c r="P85" t="n">
        <v>1</v>
      </c>
      <c r="Q85" t="n">
        <v>10</v>
      </c>
      <c r="R85" s="2" t="inlineStr">
        <is>
          <t>Knärot
Garnlav
Granticka
Gränsticka
Spillkråka
Svartvit flugsnappare
Ullticka
Bronshjon
Vågbandad barkbock
Blåsippa</t>
        </is>
      </c>
      <c r="S85">
        <f>HYPERLINK("https://klasma.github.io/Logging_0188/artfynd/A 20722-2024 artfynd.xlsx", "A 20722-2024")</f>
        <v/>
      </c>
      <c r="T85">
        <f>HYPERLINK("https://klasma.github.io/Logging_0188/kartor/A 20722-2024 karta.png", "A 20722-2024")</f>
        <v/>
      </c>
      <c r="U85">
        <f>HYPERLINK("https://klasma.github.io/Logging_0188/knärot/A 20722-2024 karta knärot.png", "A 20722-2024")</f>
        <v/>
      </c>
      <c r="V85">
        <f>HYPERLINK("https://klasma.github.io/Logging_0188/klagomål/A 20722-2024 FSC-klagomål.docx", "A 20722-2024")</f>
        <v/>
      </c>
      <c r="W85">
        <f>HYPERLINK("https://klasma.github.io/Logging_0188/klagomålsmail/A 20722-2024 FSC-klagomål mail.docx", "A 20722-2024")</f>
        <v/>
      </c>
      <c r="X85">
        <f>HYPERLINK("https://klasma.github.io/Logging_0188/tillsyn/A 20722-2024 tillsynsbegäran.docx", "A 20722-2024")</f>
        <v/>
      </c>
      <c r="Y85">
        <f>HYPERLINK("https://klasma.github.io/Logging_0188/tillsynsmail/A 20722-2024 tillsynsbegäran mail.docx", "A 20722-2024")</f>
        <v/>
      </c>
      <c r="Z85">
        <f>HYPERLINK("https://klasma.github.io/Logging_0188/fåglar/A 20722-2024 prioriterade fågelarter.docx", "A 20722-2024")</f>
        <v/>
      </c>
    </row>
    <row r="86" ht="15" customHeight="1">
      <c r="A86" t="inlineStr">
        <is>
          <t>A 21482-2024</t>
        </is>
      </c>
      <c r="B86" s="1" t="n">
        <v>45441</v>
      </c>
      <c r="C86" s="1" t="n">
        <v>45694</v>
      </c>
      <c r="D86" t="inlineStr">
        <is>
          <t>STOCKHOLMS LÄN</t>
        </is>
      </c>
      <c r="E86" t="inlineStr">
        <is>
          <t>HANINGE</t>
        </is>
      </c>
      <c r="G86" t="n">
        <v>3.9</v>
      </c>
      <c r="H86" t="n">
        <v>7</v>
      </c>
      <c r="I86" t="n">
        <v>4</v>
      </c>
      <c r="J86" t="n">
        <v>3</v>
      </c>
      <c r="K86" t="n">
        <v>0</v>
      </c>
      <c r="L86" t="n">
        <v>0</v>
      </c>
      <c r="M86" t="n">
        <v>0</v>
      </c>
      <c r="N86" t="n">
        <v>0</v>
      </c>
      <c r="O86" t="n">
        <v>3</v>
      </c>
      <c r="P86" t="n">
        <v>0</v>
      </c>
      <c r="Q86" t="n">
        <v>10</v>
      </c>
      <c r="R86" s="2" t="inlineStr">
        <is>
          <t>Gulsparv
Spillkråka
Tallticka
Blåmossa
Skogsknipprot
Sårläka
Tvåblad
Nattviol
Blåsippa
Gullviva</t>
        </is>
      </c>
      <c r="S86">
        <f>HYPERLINK("https://klasma.github.io/Logging_0136/artfynd/A 21482-2024 artfynd.xlsx", "A 21482-2024")</f>
        <v/>
      </c>
      <c r="T86">
        <f>HYPERLINK("https://klasma.github.io/Logging_0136/kartor/A 21482-2024 karta.png", "A 21482-2024")</f>
        <v/>
      </c>
      <c r="V86">
        <f>HYPERLINK("https://klasma.github.io/Logging_0136/klagomål/A 21482-2024 FSC-klagomål.docx", "A 21482-2024")</f>
        <v/>
      </c>
      <c r="W86">
        <f>HYPERLINK("https://klasma.github.io/Logging_0136/klagomålsmail/A 21482-2024 FSC-klagomål mail.docx", "A 21482-2024")</f>
        <v/>
      </c>
      <c r="X86">
        <f>HYPERLINK("https://klasma.github.io/Logging_0136/tillsyn/A 21482-2024 tillsynsbegäran.docx", "A 21482-2024")</f>
        <v/>
      </c>
      <c r="Y86">
        <f>HYPERLINK("https://klasma.github.io/Logging_0136/tillsynsmail/A 21482-2024 tillsynsbegäran mail.docx", "A 21482-2024")</f>
        <v/>
      </c>
      <c r="Z86">
        <f>HYPERLINK("https://klasma.github.io/Logging_0136/fåglar/A 21482-2024 prioriterade fågelarter.docx", "A 21482-2024")</f>
        <v/>
      </c>
    </row>
    <row r="87" ht="15" customHeight="1">
      <c r="A87" t="inlineStr">
        <is>
          <t>A 60084-2024</t>
        </is>
      </c>
      <c r="B87" s="1" t="n">
        <v>45642</v>
      </c>
      <c r="C87" s="1" t="n">
        <v>45694</v>
      </c>
      <c r="D87" t="inlineStr">
        <is>
          <t>STOCKHOLMS LÄN</t>
        </is>
      </c>
      <c r="E87" t="inlineStr">
        <is>
          <t>NORRTÄLJE</t>
        </is>
      </c>
      <c r="G87" t="n">
        <v>5.3</v>
      </c>
      <c r="H87" t="n">
        <v>2</v>
      </c>
      <c r="I87" t="n">
        <v>6</v>
      </c>
      <c r="J87" t="n">
        <v>1</v>
      </c>
      <c r="K87" t="n">
        <v>0</v>
      </c>
      <c r="L87" t="n">
        <v>0</v>
      </c>
      <c r="M87" t="n">
        <v>1</v>
      </c>
      <c r="N87" t="n">
        <v>0</v>
      </c>
      <c r="O87" t="n">
        <v>2</v>
      </c>
      <c r="P87" t="n">
        <v>1</v>
      </c>
      <c r="Q87" t="n">
        <v>10</v>
      </c>
      <c r="R87" s="2" t="inlineStr">
        <is>
          <t>Skogsalm
Granticka
Fjällig taggsvamp s.str.
Hasselticka
Rödgul trumpetsvamp
Skarp dropptaggsvamp
Svavelriska
Trådticka
Blåsippa
Revlummer</t>
        </is>
      </c>
      <c r="S87">
        <f>HYPERLINK("https://klasma.github.io/Logging_0188/artfynd/A 60084-2024 artfynd.xlsx", "A 60084-2024")</f>
        <v/>
      </c>
      <c r="T87">
        <f>HYPERLINK("https://klasma.github.io/Logging_0188/kartor/A 60084-2024 karta.png", "A 60084-2024")</f>
        <v/>
      </c>
      <c r="V87">
        <f>HYPERLINK("https://klasma.github.io/Logging_0188/klagomål/A 60084-2024 FSC-klagomål.docx", "A 60084-2024")</f>
        <v/>
      </c>
      <c r="W87">
        <f>HYPERLINK("https://klasma.github.io/Logging_0188/klagomålsmail/A 60084-2024 FSC-klagomål mail.docx", "A 60084-2024")</f>
        <v/>
      </c>
      <c r="X87">
        <f>HYPERLINK("https://klasma.github.io/Logging_0188/tillsyn/A 60084-2024 tillsynsbegäran.docx", "A 60084-2024")</f>
        <v/>
      </c>
      <c r="Y87">
        <f>HYPERLINK("https://klasma.github.io/Logging_0188/tillsynsmail/A 60084-2024 tillsynsbegäran mail.docx", "A 60084-2024")</f>
        <v/>
      </c>
    </row>
    <row r="88" ht="15" customHeight="1">
      <c r="A88" t="inlineStr">
        <is>
          <t>A 3155-2025</t>
        </is>
      </c>
      <c r="B88" s="1" t="n">
        <v>45679</v>
      </c>
      <c r="C88" s="1" t="n">
        <v>45694</v>
      </c>
      <c r="D88" t="inlineStr">
        <is>
          <t>STOCKHOLMS LÄN</t>
        </is>
      </c>
      <c r="E88" t="inlineStr">
        <is>
          <t>HANINGE</t>
        </is>
      </c>
      <c r="G88" t="n">
        <v>17.7</v>
      </c>
      <c r="H88" t="n">
        <v>2</v>
      </c>
      <c r="I88" t="n">
        <v>6</v>
      </c>
      <c r="J88" t="n">
        <v>3</v>
      </c>
      <c r="K88" t="n">
        <v>0</v>
      </c>
      <c r="L88" t="n">
        <v>0</v>
      </c>
      <c r="M88" t="n">
        <v>0</v>
      </c>
      <c r="N88" t="n">
        <v>0</v>
      </c>
      <c r="O88" t="n">
        <v>3</v>
      </c>
      <c r="P88" t="n">
        <v>0</v>
      </c>
      <c r="Q88" t="n">
        <v>10</v>
      </c>
      <c r="R88" s="2" t="inlineStr">
        <is>
          <t>Granticka
Kandelabersvamp
Vedtrappmossa
Brandticka
Grön sköldmossa
Grönpyrola
Mörk husmossa
Rödgul trumpetsvamp
Sårläka
Blåsippa</t>
        </is>
      </c>
      <c r="S88">
        <f>HYPERLINK("https://klasma.github.io/Logging_0136/artfynd/A 3155-2025 artfynd.xlsx", "A 3155-2025")</f>
        <v/>
      </c>
      <c r="T88">
        <f>HYPERLINK("https://klasma.github.io/Logging_0136/kartor/A 3155-2025 karta.png", "A 3155-2025")</f>
        <v/>
      </c>
      <c r="V88">
        <f>HYPERLINK("https://klasma.github.io/Logging_0136/klagomål/A 3155-2025 FSC-klagomål.docx", "A 3155-2025")</f>
        <v/>
      </c>
      <c r="W88">
        <f>HYPERLINK("https://klasma.github.io/Logging_0136/klagomålsmail/A 3155-2025 FSC-klagomål mail.docx", "A 3155-2025")</f>
        <v/>
      </c>
      <c r="X88">
        <f>HYPERLINK("https://klasma.github.io/Logging_0136/tillsyn/A 3155-2025 tillsynsbegäran.docx", "A 3155-2025")</f>
        <v/>
      </c>
      <c r="Y88">
        <f>HYPERLINK("https://klasma.github.io/Logging_0136/tillsynsmail/A 3155-2025 tillsynsbegäran mail.docx", "A 3155-2025")</f>
        <v/>
      </c>
    </row>
    <row r="89" ht="15" customHeight="1">
      <c r="A89" t="inlineStr">
        <is>
          <t>A 6703-2020</t>
        </is>
      </c>
      <c r="B89" s="1" t="n">
        <v>43865</v>
      </c>
      <c r="C89" s="1" t="n">
        <v>45694</v>
      </c>
      <c r="D89" t="inlineStr">
        <is>
          <t>STOCKHOLMS LÄN</t>
        </is>
      </c>
      <c r="E89" t="inlineStr">
        <is>
          <t>HANINGE</t>
        </is>
      </c>
      <c r="G89" t="n">
        <v>2.3</v>
      </c>
      <c r="H89" t="n">
        <v>4</v>
      </c>
      <c r="I89" t="n">
        <v>4</v>
      </c>
      <c r="J89" t="n">
        <v>3</v>
      </c>
      <c r="K89" t="n">
        <v>0</v>
      </c>
      <c r="L89" t="n">
        <v>1</v>
      </c>
      <c r="M89" t="n">
        <v>0</v>
      </c>
      <c r="N89" t="n">
        <v>0</v>
      </c>
      <c r="O89" t="n">
        <v>4</v>
      </c>
      <c r="P89" t="n">
        <v>1</v>
      </c>
      <c r="Q89" t="n">
        <v>9</v>
      </c>
      <c r="R89" s="2" t="inlineStr">
        <is>
          <t>Ask
Gulsparv
Spillkråka
Tallticka
Grön sköldmossa
Scharlakansvårskål agg.
Skogshakmossa
Västlig hakmossa
Blåsippa</t>
        </is>
      </c>
      <c r="S89">
        <f>HYPERLINK("https://klasma.github.io/Logging_0136/artfynd/A 6703-2020 artfynd.xlsx", "A 6703-2020")</f>
        <v/>
      </c>
      <c r="T89">
        <f>HYPERLINK("https://klasma.github.io/Logging_0136/kartor/A 6703-2020 karta.png", "A 6703-2020")</f>
        <v/>
      </c>
      <c r="V89">
        <f>HYPERLINK("https://klasma.github.io/Logging_0136/klagomål/A 6703-2020 FSC-klagomål.docx", "A 6703-2020")</f>
        <v/>
      </c>
      <c r="W89">
        <f>HYPERLINK("https://klasma.github.io/Logging_0136/klagomålsmail/A 6703-2020 FSC-klagomål mail.docx", "A 6703-2020")</f>
        <v/>
      </c>
      <c r="X89">
        <f>HYPERLINK("https://klasma.github.io/Logging_0136/tillsyn/A 6703-2020 tillsynsbegäran.docx", "A 6703-2020")</f>
        <v/>
      </c>
      <c r="Y89">
        <f>HYPERLINK("https://klasma.github.io/Logging_0136/tillsynsmail/A 6703-2020 tillsynsbegäran mail.docx", "A 6703-2020")</f>
        <v/>
      </c>
      <c r="Z89">
        <f>HYPERLINK("https://klasma.github.io/Logging_0136/fåglar/A 6703-2020 prioriterade fågelarter.docx", "A 6703-2020")</f>
        <v/>
      </c>
    </row>
    <row r="90" ht="15" customHeight="1">
      <c r="A90" t="inlineStr">
        <is>
          <t>A 7430-2020</t>
        </is>
      </c>
      <c r="B90" s="1" t="n">
        <v>43871</v>
      </c>
      <c r="C90" s="1" t="n">
        <v>45694</v>
      </c>
      <c r="D90" t="inlineStr">
        <is>
          <t>STOCKHOLMS LÄN</t>
        </is>
      </c>
      <c r="E90" t="inlineStr">
        <is>
          <t>NYNÄSHAMN</t>
        </is>
      </c>
      <c r="F90" t="inlineStr">
        <is>
          <t>Kommuner</t>
        </is>
      </c>
      <c r="G90" t="n">
        <v>1.5</v>
      </c>
      <c r="H90" t="n">
        <v>6</v>
      </c>
      <c r="I90" t="n">
        <v>2</v>
      </c>
      <c r="J90" t="n">
        <v>3</v>
      </c>
      <c r="K90" t="n">
        <v>0</v>
      </c>
      <c r="L90" t="n">
        <v>0</v>
      </c>
      <c r="M90" t="n">
        <v>0</v>
      </c>
      <c r="N90" t="n">
        <v>0</v>
      </c>
      <c r="O90" t="n">
        <v>3</v>
      </c>
      <c r="P90" t="n">
        <v>0</v>
      </c>
      <c r="Q90" t="n">
        <v>9</v>
      </c>
      <c r="R90" s="2" t="inlineStr">
        <is>
          <t>Nordfladdermus
Sydfladdermus
Ullticka
Stubbspretmossa
Vågbandad barkbock
Dvärgpipistrell
Gråskimlig fladdermus
Större brunfladdermus
Vattenfladdermus</t>
        </is>
      </c>
      <c r="S90">
        <f>HYPERLINK("https://klasma.github.io/Logging_0192/artfynd/A 7430-2020 artfynd.xlsx", "A 7430-2020")</f>
        <v/>
      </c>
      <c r="T90">
        <f>HYPERLINK("https://klasma.github.io/Logging_0192/kartor/A 7430-2020 karta.png", "A 7430-2020")</f>
        <v/>
      </c>
      <c r="V90">
        <f>HYPERLINK("https://klasma.github.io/Logging_0192/klagomål/A 7430-2020 FSC-klagomål.docx", "A 7430-2020")</f>
        <v/>
      </c>
      <c r="W90">
        <f>HYPERLINK("https://klasma.github.io/Logging_0192/klagomålsmail/A 7430-2020 FSC-klagomål mail.docx", "A 7430-2020")</f>
        <v/>
      </c>
      <c r="X90">
        <f>HYPERLINK("https://klasma.github.io/Logging_0192/tillsyn/A 7430-2020 tillsynsbegäran.docx", "A 7430-2020")</f>
        <v/>
      </c>
      <c r="Y90">
        <f>HYPERLINK("https://klasma.github.io/Logging_0192/tillsynsmail/A 7430-2020 tillsynsbegäran mail.docx", "A 7430-2020")</f>
        <v/>
      </c>
    </row>
    <row r="91" ht="15" customHeight="1">
      <c r="A91" t="inlineStr">
        <is>
          <t>A 9148-2020</t>
        </is>
      </c>
      <c r="B91" s="1" t="n">
        <v>43879</v>
      </c>
      <c r="C91" s="1" t="n">
        <v>45694</v>
      </c>
      <c r="D91" t="inlineStr">
        <is>
          <t>STOCKHOLMS LÄN</t>
        </is>
      </c>
      <c r="E91" t="inlineStr">
        <is>
          <t>SALEM</t>
        </is>
      </c>
      <c r="F91" t="inlineStr">
        <is>
          <t>Kommuner</t>
        </is>
      </c>
      <c r="G91" t="n">
        <v>2.1</v>
      </c>
      <c r="H91" t="n">
        <v>2</v>
      </c>
      <c r="I91" t="n">
        <v>6</v>
      </c>
      <c r="J91" t="n">
        <v>3</v>
      </c>
      <c r="K91" t="n">
        <v>0</v>
      </c>
      <c r="L91" t="n">
        <v>0</v>
      </c>
      <c r="M91" t="n">
        <v>0</v>
      </c>
      <c r="N91" t="n">
        <v>0</v>
      </c>
      <c r="O91" t="n">
        <v>3</v>
      </c>
      <c r="P91" t="n">
        <v>0</v>
      </c>
      <c r="Q91" t="n">
        <v>9</v>
      </c>
      <c r="R91" s="2" t="inlineStr">
        <is>
          <t>Granticka
Kandelabersvamp
Mindre hackspett
Bronshjon
Fjällig taggsvamp s.str.
Grovticka
Grön sköldmossa
Hasselticka
Skarp dropptaggsvamp</t>
        </is>
      </c>
      <c r="S91">
        <f>HYPERLINK("https://klasma.github.io/Logging_0128/artfynd/A 9148-2020 artfynd.xlsx", "A 9148-2020")</f>
        <v/>
      </c>
      <c r="T91">
        <f>HYPERLINK("https://klasma.github.io/Logging_0128/kartor/A 9148-2020 karta.png", "A 9148-2020")</f>
        <v/>
      </c>
      <c r="V91">
        <f>HYPERLINK("https://klasma.github.io/Logging_0128/klagomål/A 9148-2020 FSC-klagomål.docx", "A 9148-2020")</f>
        <v/>
      </c>
      <c r="W91">
        <f>HYPERLINK("https://klasma.github.io/Logging_0128/klagomålsmail/A 9148-2020 FSC-klagomål mail.docx", "A 9148-2020")</f>
        <v/>
      </c>
      <c r="X91">
        <f>HYPERLINK("https://klasma.github.io/Logging_0128/tillsyn/A 9148-2020 tillsynsbegäran.docx", "A 9148-2020")</f>
        <v/>
      </c>
      <c r="Y91">
        <f>HYPERLINK("https://klasma.github.io/Logging_0128/tillsynsmail/A 9148-2020 tillsynsbegäran mail.docx", "A 9148-2020")</f>
        <v/>
      </c>
      <c r="Z91">
        <f>HYPERLINK("https://klasma.github.io/Logging_0128/fåglar/A 9148-2020 prioriterade fågelarter.docx", "A 9148-2020")</f>
        <v/>
      </c>
    </row>
    <row r="92" ht="15" customHeight="1">
      <c r="A92" t="inlineStr">
        <is>
          <t>A 31366-2021</t>
        </is>
      </c>
      <c r="B92" s="1" t="n">
        <v>44368</v>
      </c>
      <c r="C92" s="1" t="n">
        <v>45694</v>
      </c>
      <c r="D92" t="inlineStr">
        <is>
          <t>STOCKHOLMS LÄN</t>
        </is>
      </c>
      <c r="E92" t="inlineStr">
        <is>
          <t>UPPLANDS-BRO</t>
        </is>
      </c>
      <c r="G92" t="n">
        <v>8.5</v>
      </c>
      <c r="H92" t="n">
        <v>2</v>
      </c>
      <c r="I92" t="n">
        <v>5</v>
      </c>
      <c r="J92" t="n">
        <v>2</v>
      </c>
      <c r="K92" t="n">
        <v>1</v>
      </c>
      <c r="L92" t="n">
        <v>0</v>
      </c>
      <c r="M92" t="n">
        <v>0</v>
      </c>
      <c r="N92" t="n">
        <v>0</v>
      </c>
      <c r="O92" t="n">
        <v>3</v>
      </c>
      <c r="P92" t="n">
        <v>1</v>
      </c>
      <c r="Q92" t="n">
        <v>9</v>
      </c>
      <c r="R92" s="2" t="inlineStr">
        <is>
          <t>Klotsporig murkla
Motaggsvamp
Spillkråka
Blåmossa
Rödbrun jordstjärna
Stubbspretmossa
Svavelriska
Thomsons trägnagare
Blåsippa</t>
        </is>
      </c>
      <c r="S92">
        <f>HYPERLINK("https://klasma.github.io/Logging_0139/artfynd/A 31366-2021 artfynd.xlsx", "A 31366-2021")</f>
        <v/>
      </c>
      <c r="T92">
        <f>HYPERLINK("https://klasma.github.io/Logging_0139/kartor/A 31366-2021 karta.png", "A 31366-2021")</f>
        <v/>
      </c>
      <c r="V92">
        <f>HYPERLINK("https://klasma.github.io/Logging_0139/klagomål/A 31366-2021 FSC-klagomål.docx", "A 31366-2021")</f>
        <v/>
      </c>
      <c r="W92">
        <f>HYPERLINK("https://klasma.github.io/Logging_0139/klagomålsmail/A 31366-2021 FSC-klagomål mail.docx", "A 31366-2021")</f>
        <v/>
      </c>
      <c r="X92">
        <f>HYPERLINK("https://klasma.github.io/Logging_0139/tillsyn/A 31366-2021 tillsynsbegäran.docx", "A 31366-2021")</f>
        <v/>
      </c>
      <c r="Y92">
        <f>HYPERLINK("https://klasma.github.io/Logging_0139/tillsynsmail/A 31366-2021 tillsynsbegäran mail.docx", "A 31366-2021")</f>
        <v/>
      </c>
      <c r="Z92">
        <f>HYPERLINK("https://klasma.github.io/Logging_0139/fåglar/A 31366-2021 prioriterade fågelarter.docx", "A 31366-2021")</f>
        <v/>
      </c>
    </row>
    <row r="93" ht="15" customHeight="1">
      <c r="A93" t="inlineStr">
        <is>
          <t>A 52815-2021</t>
        </is>
      </c>
      <c r="B93" s="1" t="n">
        <v>44467</v>
      </c>
      <c r="C93" s="1" t="n">
        <v>45694</v>
      </c>
      <c r="D93" t="inlineStr">
        <is>
          <t>STOCKHOLMS LÄN</t>
        </is>
      </c>
      <c r="E93" t="inlineStr">
        <is>
          <t>NORRTÄLJE</t>
        </is>
      </c>
      <c r="G93" t="n">
        <v>2.8</v>
      </c>
      <c r="H93" t="n">
        <v>0</v>
      </c>
      <c r="I93" t="n">
        <v>2</v>
      </c>
      <c r="J93" t="n">
        <v>2</v>
      </c>
      <c r="K93" t="n">
        <v>4</v>
      </c>
      <c r="L93" t="n">
        <v>1</v>
      </c>
      <c r="M93" t="n">
        <v>0</v>
      </c>
      <c r="N93" t="n">
        <v>0</v>
      </c>
      <c r="O93" t="n">
        <v>7</v>
      </c>
      <c r="P93" t="n">
        <v>5</v>
      </c>
      <c r="Q93" t="n">
        <v>9</v>
      </c>
      <c r="R93" s="2" t="inlineStr">
        <is>
          <t>Raggtaggsvamp
Gul lammticka
Koppartaggsvamp
Spricktaggsvamp
Svartfjällig musseron
Bittermusseron
Flattoppad klubbsvamp
Diskvaxskivling
Fjällig taggsvamp s.str.</t>
        </is>
      </c>
      <c r="S93">
        <f>HYPERLINK("https://klasma.github.io/Logging_0188/artfynd/A 52815-2021 artfynd.xlsx", "A 52815-2021")</f>
        <v/>
      </c>
      <c r="T93">
        <f>HYPERLINK("https://klasma.github.io/Logging_0188/kartor/A 52815-2021 karta.png", "A 52815-2021")</f>
        <v/>
      </c>
      <c r="V93">
        <f>HYPERLINK("https://klasma.github.io/Logging_0188/klagomål/A 52815-2021 FSC-klagomål.docx", "A 52815-2021")</f>
        <v/>
      </c>
      <c r="W93">
        <f>HYPERLINK("https://klasma.github.io/Logging_0188/klagomålsmail/A 52815-2021 FSC-klagomål mail.docx", "A 52815-2021")</f>
        <v/>
      </c>
      <c r="X93">
        <f>HYPERLINK("https://klasma.github.io/Logging_0188/tillsyn/A 52815-2021 tillsynsbegäran.docx", "A 52815-2021")</f>
        <v/>
      </c>
      <c r="Y93">
        <f>HYPERLINK("https://klasma.github.io/Logging_0188/tillsynsmail/A 52815-2021 tillsynsbegäran mail.docx", "A 52815-2021")</f>
        <v/>
      </c>
    </row>
    <row r="94" ht="15" customHeight="1">
      <c r="A94" t="inlineStr">
        <is>
          <t>A 73093-2021</t>
        </is>
      </c>
      <c r="B94" s="1" t="n">
        <v>44550</v>
      </c>
      <c r="C94" s="1" t="n">
        <v>45694</v>
      </c>
      <c r="D94" t="inlineStr">
        <is>
          <t>STOCKHOLMS LÄN</t>
        </is>
      </c>
      <c r="E94" t="inlineStr">
        <is>
          <t>NORRTÄLJE</t>
        </is>
      </c>
      <c r="G94" t="n">
        <v>5.1</v>
      </c>
      <c r="H94" t="n">
        <v>6</v>
      </c>
      <c r="I94" t="n">
        <v>6</v>
      </c>
      <c r="J94" t="n">
        <v>1</v>
      </c>
      <c r="K94" t="n">
        <v>0</v>
      </c>
      <c r="L94" t="n">
        <v>0</v>
      </c>
      <c r="M94" t="n">
        <v>0</v>
      </c>
      <c r="N94" t="n">
        <v>0</v>
      </c>
      <c r="O94" t="n">
        <v>1</v>
      </c>
      <c r="P94" t="n">
        <v>0</v>
      </c>
      <c r="Q94" t="n">
        <v>9</v>
      </c>
      <c r="R94" s="2" t="inlineStr">
        <is>
          <t>Rödvingetrast
Guckusko
Myskmadra
Nästrot
Skogsknipprot
Tibast
Vätteros
Nattviol
Blåsippa</t>
        </is>
      </c>
      <c r="S94">
        <f>HYPERLINK("https://klasma.github.io/Logging_0188/artfynd/A 73093-2021 artfynd.xlsx", "A 73093-2021")</f>
        <v/>
      </c>
      <c r="T94">
        <f>HYPERLINK("https://klasma.github.io/Logging_0188/kartor/A 73093-2021 karta.png", "A 73093-2021")</f>
        <v/>
      </c>
      <c r="V94">
        <f>HYPERLINK("https://klasma.github.io/Logging_0188/klagomål/A 73093-2021 FSC-klagomål.docx", "A 73093-2021")</f>
        <v/>
      </c>
      <c r="W94">
        <f>HYPERLINK("https://klasma.github.io/Logging_0188/klagomålsmail/A 73093-2021 FSC-klagomål mail.docx", "A 73093-2021")</f>
        <v/>
      </c>
      <c r="X94">
        <f>HYPERLINK("https://klasma.github.io/Logging_0188/tillsyn/A 73093-2021 tillsynsbegäran.docx", "A 73093-2021")</f>
        <v/>
      </c>
      <c r="Y94">
        <f>HYPERLINK("https://klasma.github.io/Logging_0188/tillsynsmail/A 73093-2021 tillsynsbegäran mail.docx", "A 73093-2021")</f>
        <v/>
      </c>
      <c r="Z94">
        <f>HYPERLINK("https://klasma.github.io/Logging_0188/fåglar/A 73093-2021 prioriterade fågelarter.docx", "A 73093-2021")</f>
        <v/>
      </c>
    </row>
    <row r="95" ht="15" customHeight="1">
      <c r="A95" t="inlineStr">
        <is>
          <t>A 13137-2022</t>
        </is>
      </c>
      <c r="B95" s="1" t="n">
        <v>44643</v>
      </c>
      <c r="C95" s="1" t="n">
        <v>45694</v>
      </c>
      <c r="D95" t="inlineStr">
        <is>
          <t>STOCKHOLMS LÄN</t>
        </is>
      </c>
      <c r="E95" t="inlineStr">
        <is>
          <t>HANINGE</t>
        </is>
      </c>
      <c r="G95" t="n">
        <v>5.6</v>
      </c>
      <c r="H95" t="n">
        <v>4</v>
      </c>
      <c r="I95" t="n">
        <v>5</v>
      </c>
      <c r="J95" t="n">
        <v>2</v>
      </c>
      <c r="K95" t="n">
        <v>1</v>
      </c>
      <c r="L95" t="n">
        <v>0</v>
      </c>
      <c r="M95" t="n">
        <v>0</v>
      </c>
      <c r="N95" t="n">
        <v>0</v>
      </c>
      <c r="O95" t="n">
        <v>3</v>
      </c>
      <c r="P95" t="n">
        <v>1</v>
      </c>
      <c r="Q95" t="n">
        <v>9</v>
      </c>
      <c r="R95" s="2" t="inlineStr">
        <is>
          <t>Knärot
Spillkråka
Vedskivlav
Blodticka
Granbarkgnagare
Grön sköldmossa
Mindre märgborre
Stubbspretmossa
Revlummer</t>
        </is>
      </c>
      <c r="S95">
        <f>HYPERLINK("https://klasma.github.io/Logging_0136/artfynd/A 13137-2022 artfynd.xlsx", "A 13137-2022")</f>
        <v/>
      </c>
      <c r="T95">
        <f>HYPERLINK("https://klasma.github.io/Logging_0136/kartor/A 13137-2022 karta.png", "A 13137-2022")</f>
        <v/>
      </c>
      <c r="U95">
        <f>HYPERLINK("https://klasma.github.io/Logging_0136/knärot/A 13137-2022 karta knärot.png", "A 13137-2022")</f>
        <v/>
      </c>
      <c r="V95">
        <f>HYPERLINK("https://klasma.github.io/Logging_0136/klagomål/A 13137-2022 FSC-klagomål.docx", "A 13137-2022")</f>
        <v/>
      </c>
      <c r="W95">
        <f>HYPERLINK("https://klasma.github.io/Logging_0136/klagomålsmail/A 13137-2022 FSC-klagomål mail.docx", "A 13137-2022")</f>
        <v/>
      </c>
      <c r="X95">
        <f>HYPERLINK("https://klasma.github.io/Logging_0136/tillsyn/A 13137-2022 tillsynsbegäran.docx", "A 13137-2022")</f>
        <v/>
      </c>
      <c r="Y95">
        <f>HYPERLINK("https://klasma.github.io/Logging_0136/tillsynsmail/A 13137-2022 tillsynsbegäran mail.docx", "A 13137-2022")</f>
        <v/>
      </c>
      <c r="Z95">
        <f>HYPERLINK("https://klasma.github.io/Logging_0136/fåglar/A 13137-2022 prioriterade fågelarter.docx", "A 13137-2022")</f>
        <v/>
      </c>
    </row>
    <row r="96" ht="15" customHeight="1">
      <c r="A96" t="inlineStr">
        <is>
          <t>A 22064-2022</t>
        </is>
      </c>
      <c r="B96" s="1" t="n">
        <v>44711</v>
      </c>
      <c r="C96" s="1" t="n">
        <v>45694</v>
      </c>
      <c r="D96" t="inlineStr">
        <is>
          <t>STOCKHOLMS LÄN</t>
        </is>
      </c>
      <c r="E96" t="inlineStr">
        <is>
          <t>VALLENTUNA</t>
        </is>
      </c>
      <c r="G96" t="n">
        <v>4.3</v>
      </c>
      <c r="H96" t="n">
        <v>2</v>
      </c>
      <c r="I96" t="n">
        <v>7</v>
      </c>
      <c r="J96" t="n">
        <v>1</v>
      </c>
      <c r="K96" t="n">
        <v>0</v>
      </c>
      <c r="L96" t="n">
        <v>0</v>
      </c>
      <c r="M96" t="n">
        <v>0</v>
      </c>
      <c r="N96" t="n">
        <v>0</v>
      </c>
      <c r="O96" t="n">
        <v>1</v>
      </c>
      <c r="P96" t="n">
        <v>0</v>
      </c>
      <c r="Q96" t="n">
        <v>9</v>
      </c>
      <c r="R96" s="2" t="inlineStr">
        <is>
          <t>Spillkråka
Björksplintborre
Blåmossa
Bronshjon
Fjällig taggsvamp s.str.
Granbarkgnagare
Stubbspretmossa
Vågbandad barkbock
Blåsippa</t>
        </is>
      </c>
      <c r="S96">
        <f>HYPERLINK("https://klasma.github.io/Logging_0115/artfynd/A 22064-2022 artfynd.xlsx", "A 22064-2022")</f>
        <v/>
      </c>
      <c r="T96">
        <f>HYPERLINK("https://klasma.github.io/Logging_0115/kartor/A 22064-2022 karta.png", "A 22064-2022")</f>
        <v/>
      </c>
      <c r="V96">
        <f>HYPERLINK("https://klasma.github.io/Logging_0115/klagomål/A 22064-2022 FSC-klagomål.docx", "A 22064-2022")</f>
        <v/>
      </c>
      <c r="W96">
        <f>HYPERLINK("https://klasma.github.io/Logging_0115/klagomålsmail/A 22064-2022 FSC-klagomål mail.docx", "A 22064-2022")</f>
        <v/>
      </c>
      <c r="X96">
        <f>HYPERLINK("https://klasma.github.io/Logging_0115/tillsyn/A 22064-2022 tillsynsbegäran.docx", "A 22064-2022")</f>
        <v/>
      </c>
      <c r="Y96">
        <f>HYPERLINK("https://klasma.github.io/Logging_0115/tillsynsmail/A 22064-2022 tillsynsbegäran mail.docx", "A 22064-2022")</f>
        <v/>
      </c>
      <c r="Z96">
        <f>HYPERLINK("https://klasma.github.io/Logging_0115/fåglar/A 22064-2022 prioriterade fågelarter.docx", "A 22064-2022")</f>
        <v/>
      </c>
    </row>
    <row r="97" ht="15" customHeight="1">
      <c r="A97" t="inlineStr">
        <is>
          <t>A 24264-2023</t>
        </is>
      </c>
      <c r="B97" s="1" t="n">
        <v>45076</v>
      </c>
      <c r="C97" s="1" t="n">
        <v>45694</v>
      </c>
      <c r="D97" t="inlineStr">
        <is>
          <t>STOCKHOLMS LÄN</t>
        </is>
      </c>
      <c r="E97" t="inlineStr">
        <is>
          <t>HUDDINGE</t>
        </is>
      </c>
      <c r="G97" t="n">
        <v>7.3</v>
      </c>
      <c r="H97" t="n">
        <v>1</v>
      </c>
      <c r="I97" t="n">
        <v>5</v>
      </c>
      <c r="J97" t="n">
        <v>3</v>
      </c>
      <c r="K97" t="n">
        <v>0</v>
      </c>
      <c r="L97" t="n">
        <v>0</v>
      </c>
      <c r="M97" t="n">
        <v>0</v>
      </c>
      <c r="N97" t="n">
        <v>0</v>
      </c>
      <c r="O97" t="n">
        <v>3</v>
      </c>
      <c r="P97" t="n">
        <v>0</v>
      </c>
      <c r="Q97" t="n">
        <v>9</v>
      </c>
      <c r="R97" s="2" t="inlineStr">
        <is>
          <t>Motaggsvamp
Tallticka
Ullticka
Björksplintborre
Bronshjon
Granbarkgnagare
Mindre märgborre
Vågbandad barkbock
Revlummer</t>
        </is>
      </c>
      <c r="S97">
        <f>HYPERLINK("https://klasma.github.io/Logging_0126/artfynd/A 24264-2023 artfynd.xlsx", "A 24264-2023")</f>
        <v/>
      </c>
      <c r="T97">
        <f>HYPERLINK("https://klasma.github.io/Logging_0126/kartor/A 24264-2023 karta.png", "A 24264-2023")</f>
        <v/>
      </c>
      <c r="V97">
        <f>HYPERLINK("https://klasma.github.io/Logging_0126/klagomål/A 24264-2023 FSC-klagomål.docx", "A 24264-2023")</f>
        <v/>
      </c>
      <c r="W97">
        <f>HYPERLINK("https://klasma.github.io/Logging_0126/klagomålsmail/A 24264-2023 FSC-klagomål mail.docx", "A 24264-2023")</f>
        <v/>
      </c>
      <c r="X97">
        <f>HYPERLINK("https://klasma.github.io/Logging_0126/tillsyn/A 24264-2023 tillsynsbegäran.docx", "A 24264-2023")</f>
        <v/>
      </c>
      <c r="Y97">
        <f>HYPERLINK("https://klasma.github.io/Logging_0126/tillsynsmail/A 24264-2023 tillsynsbegäran mail.docx", "A 24264-2023")</f>
        <v/>
      </c>
    </row>
    <row r="98" ht="15" customHeight="1">
      <c r="A98" t="inlineStr">
        <is>
          <t>A 58658-2023</t>
        </is>
      </c>
      <c r="B98" s="1" t="n">
        <v>45251</v>
      </c>
      <c r="C98" s="1" t="n">
        <v>45694</v>
      </c>
      <c r="D98" t="inlineStr">
        <is>
          <t>STOCKHOLMS LÄN</t>
        </is>
      </c>
      <c r="E98" t="inlineStr">
        <is>
          <t>SIGTUNA</t>
        </is>
      </c>
      <c r="F98" t="inlineStr">
        <is>
          <t>Kommuner</t>
        </is>
      </c>
      <c r="G98" t="n">
        <v>4.8</v>
      </c>
      <c r="H98" t="n">
        <v>5</v>
      </c>
      <c r="I98" t="n">
        <v>2</v>
      </c>
      <c r="J98" t="n">
        <v>4</v>
      </c>
      <c r="K98" t="n">
        <v>0</v>
      </c>
      <c r="L98" t="n">
        <v>0</v>
      </c>
      <c r="M98" t="n">
        <v>0</v>
      </c>
      <c r="N98" t="n">
        <v>0</v>
      </c>
      <c r="O98" t="n">
        <v>4</v>
      </c>
      <c r="P98" t="n">
        <v>0</v>
      </c>
      <c r="Q98" t="n">
        <v>9</v>
      </c>
      <c r="R98" s="2" t="inlineStr">
        <is>
          <t>Aspborre
Entita
Grön aspvedbock
Spillkråka
Granbarkgnagare
Myskbock
Skogsödla
Blåsippa
Gullviva</t>
        </is>
      </c>
      <c r="S98">
        <f>HYPERLINK("https://klasma.github.io/Logging_0191/artfynd/A 58658-2023 artfynd.xlsx", "A 58658-2023")</f>
        <v/>
      </c>
      <c r="T98">
        <f>HYPERLINK("https://klasma.github.io/Logging_0191/kartor/A 58658-2023 karta.png", "A 58658-2023")</f>
        <v/>
      </c>
      <c r="V98">
        <f>HYPERLINK("https://klasma.github.io/Logging_0191/klagomål/A 58658-2023 FSC-klagomål.docx", "A 58658-2023")</f>
        <v/>
      </c>
      <c r="W98">
        <f>HYPERLINK("https://klasma.github.io/Logging_0191/klagomålsmail/A 58658-2023 FSC-klagomål mail.docx", "A 58658-2023")</f>
        <v/>
      </c>
      <c r="X98">
        <f>HYPERLINK("https://klasma.github.io/Logging_0191/tillsyn/A 58658-2023 tillsynsbegäran.docx", "A 58658-2023")</f>
        <v/>
      </c>
      <c r="Y98">
        <f>HYPERLINK("https://klasma.github.io/Logging_0191/tillsynsmail/A 58658-2023 tillsynsbegäran mail.docx", "A 58658-2023")</f>
        <v/>
      </c>
      <c r="Z98">
        <f>HYPERLINK("https://klasma.github.io/Logging_0191/fåglar/A 58658-2023 prioriterade fågelarter.docx", "A 58658-2023")</f>
        <v/>
      </c>
    </row>
    <row r="99" ht="15" customHeight="1">
      <c r="A99" t="inlineStr">
        <is>
          <t>A 14469-2024</t>
        </is>
      </c>
      <c r="B99" s="1" t="n">
        <v>45394</v>
      </c>
      <c r="C99" s="1" t="n">
        <v>45694</v>
      </c>
      <c r="D99" t="inlineStr">
        <is>
          <t>STOCKHOLMS LÄN</t>
        </is>
      </c>
      <c r="E99" t="inlineStr">
        <is>
          <t>VALLENTUNA</t>
        </is>
      </c>
      <c r="G99" t="n">
        <v>17.6</v>
      </c>
      <c r="H99" t="n">
        <v>1</v>
      </c>
      <c r="I99" t="n">
        <v>6</v>
      </c>
      <c r="J99" t="n">
        <v>3</v>
      </c>
      <c r="K99" t="n">
        <v>0</v>
      </c>
      <c r="L99" t="n">
        <v>0</v>
      </c>
      <c r="M99" t="n">
        <v>0</v>
      </c>
      <c r="N99" t="n">
        <v>0</v>
      </c>
      <c r="O99" t="n">
        <v>3</v>
      </c>
      <c r="P99" t="n">
        <v>0</v>
      </c>
      <c r="Q99" t="n">
        <v>9</v>
      </c>
      <c r="R99" s="2" t="inlineStr">
        <is>
          <t>Spillkråka
Ullticka
Vedskivlav
Björksplintborre
Bronshjon
Grönpyrola
Mindre märgborre
Vedticka
Vågbandad barkbock</t>
        </is>
      </c>
      <c r="S99">
        <f>HYPERLINK("https://klasma.github.io/Logging_0115/artfynd/A 14469-2024 artfynd.xlsx", "A 14469-2024")</f>
        <v/>
      </c>
      <c r="T99">
        <f>HYPERLINK("https://klasma.github.io/Logging_0115/kartor/A 14469-2024 karta.png", "A 14469-2024")</f>
        <v/>
      </c>
      <c r="V99">
        <f>HYPERLINK("https://klasma.github.io/Logging_0115/klagomål/A 14469-2024 FSC-klagomål.docx", "A 14469-2024")</f>
        <v/>
      </c>
      <c r="W99">
        <f>HYPERLINK("https://klasma.github.io/Logging_0115/klagomålsmail/A 14469-2024 FSC-klagomål mail.docx", "A 14469-2024")</f>
        <v/>
      </c>
      <c r="X99">
        <f>HYPERLINK("https://klasma.github.io/Logging_0115/tillsyn/A 14469-2024 tillsynsbegäran.docx", "A 14469-2024")</f>
        <v/>
      </c>
      <c r="Y99">
        <f>HYPERLINK("https://klasma.github.io/Logging_0115/tillsynsmail/A 14469-2024 tillsynsbegäran mail.docx", "A 14469-2024")</f>
        <v/>
      </c>
      <c r="Z99">
        <f>HYPERLINK("https://klasma.github.io/Logging_0115/fåglar/A 14469-2024 prioriterade fågelarter.docx", "A 14469-2024")</f>
        <v/>
      </c>
    </row>
    <row r="100" ht="15" customHeight="1">
      <c r="A100" t="inlineStr">
        <is>
          <t>A 36440-2024</t>
        </is>
      </c>
      <c r="B100" s="1" t="n">
        <v>45535</v>
      </c>
      <c r="C100" s="1" t="n">
        <v>45694</v>
      </c>
      <c r="D100" t="inlineStr">
        <is>
          <t>STOCKHOLMS LÄN</t>
        </is>
      </c>
      <c r="E100" t="inlineStr">
        <is>
          <t>SIGTUNA</t>
        </is>
      </c>
      <c r="G100" t="n">
        <v>15.2</v>
      </c>
      <c r="H100" t="n">
        <v>7</v>
      </c>
      <c r="I100" t="n">
        <v>2</v>
      </c>
      <c r="J100" t="n">
        <v>3</v>
      </c>
      <c r="K100" t="n">
        <v>0</v>
      </c>
      <c r="L100" t="n">
        <v>0</v>
      </c>
      <c r="M100" t="n">
        <v>0</v>
      </c>
      <c r="N100" t="n">
        <v>0</v>
      </c>
      <c r="O100" t="n">
        <v>3</v>
      </c>
      <c r="P100" t="n">
        <v>0</v>
      </c>
      <c r="Q100" t="n">
        <v>9</v>
      </c>
      <c r="R100" s="2" t="inlineStr">
        <is>
          <t>Gulsparv
Talltita
Ärtsångare
Bronshjon
Granbarkgnagare
Grönsiska
Kungsfågel
Vanlig padda
Revlummer</t>
        </is>
      </c>
      <c r="S100">
        <f>HYPERLINK("https://klasma.github.io/Logging_0191/artfynd/A 36440-2024 artfynd.xlsx", "A 36440-2024")</f>
        <v/>
      </c>
      <c r="T100">
        <f>HYPERLINK("https://klasma.github.io/Logging_0191/kartor/A 36440-2024 karta.png", "A 36440-2024")</f>
        <v/>
      </c>
      <c r="V100">
        <f>HYPERLINK("https://klasma.github.io/Logging_0191/klagomål/A 36440-2024 FSC-klagomål.docx", "A 36440-2024")</f>
        <v/>
      </c>
      <c r="W100">
        <f>HYPERLINK("https://klasma.github.io/Logging_0191/klagomålsmail/A 36440-2024 FSC-klagomål mail.docx", "A 36440-2024")</f>
        <v/>
      </c>
      <c r="X100">
        <f>HYPERLINK("https://klasma.github.io/Logging_0191/tillsyn/A 36440-2024 tillsynsbegäran.docx", "A 36440-2024")</f>
        <v/>
      </c>
      <c r="Y100">
        <f>HYPERLINK("https://klasma.github.io/Logging_0191/tillsynsmail/A 36440-2024 tillsynsbegäran mail.docx", "A 36440-2024")</f>
        <v/>
      </c>
      <c r="Z100">
        <f>HYPERLINK("https://klasma.github.io/Logging_0191/fåglar/A 36440-2024 prioriterade fågelarter.docx", "A 36440-2024")</f>
        <v/>
      </c>
    </row>
    <row r="101" ht="15" customHeight="1">
      <c r="A101" t="inlineStr">
        <is>
          <t>A 47274-2024</t>
        </is>
      </c>
      <c r="B101" s="1" t="n">
        <v>45586</v>
      </c>
      <c r="C101" s="1" t="n">
        <v>45694</v>
      </c>
      <c r="D101" t="inlineStr">
        <is>
          <t>STOCKHOLMS LÄN</t>
        </is>
      </c>
      <c r="E101" t="inlineStr">
        <is>
          <t>NORRTÄLJE</t>
        </is>
      </c>
      <c r="G101" t="n">
        <v>20.1</v>
      </c>
      <c r="H101" t="n">
        <v>2</v>
      </c>
      <c r="I101" t="n">
        <v>3</v>
      </c>
      <c r="J101" t="n">
        <v>4</v>
      </c>
      <c r="K101" t="n">
        <v>1</v>
      </c>
      <c r="L101" t="n">
        <v>0</v>
      </c>
      <c r="M101" t="n">
        <v>0</v>
      </c>
      <c r="N101" t="n">
        <v>0</v>
      </c>
      <c r="O101" t="n">
        <v>5</v>
      </c>
      <c r="P101" t="n">
        <v>1</v>
      </c>
      <c r="Q101" t="n">
        <v>9</v>
      </c>
      <c r="R101" s="2" t="inlineStr">
        <is>
          <t>Knärot
Grönhjon
Motaggsvamp
Ullticka
Vedskivlav
Dropptaggsvamp
Grönpyrola
Svavelriska
Blåsippa</t>
        </is>
      </c>
      <c r="S101">
        <f>HYPERLINK("https://klasma.github.io/Logging_0188/artfynd/A 47274-2024 artfynd.xlsx", "A 47274-2024")</f>
        <v/>
      </c>
      <c r="T101">
        <f>HYPERLINK("https://klasma.github.io/Logging_0188/kartor/A 47274-2024 karta.png", "A 47274-2024")</f>
        <v/>
      </c>
      <c r="U101">
        <f>HYPERLINK("https://klasma.github.io/Logging_0188/knärot/A 47274-2024 karta knärot.png", "A 47274-2024")</f>
        <v/>
      </c>
      <c r="V101">
        <f>HYPERLINK("https://klasma.github.io/Logging_0188/klagomål/A 47274-2024 FSC-klagomål.docx", "A 47274-2024")</f>
        <v/>
      </c>
      <c r="W101">
        <f>HYPERLINK("https://klasma.github.io/Logging_0188/klagomålsmail/A 47274-2024 FSC-klagomål mail.docx", "A 47274-2024")</f>
        <v/>
      </c>
      <c r="X101">
        <f>HYPERLINK("https://klasma.github.io/Logging_0188/tillsyn/A 47274-2024 tillsynsbegäran.docx", "A 47274-2024")</f>
        <v/>
      </c>
      <c r="Y101">
        <f>HYPERLINK("https://klasma.github.io/Logging_0188/tillsynsmail/A 47274-2024 tillsynsbegäran mail.docx", "A 47274-2024")</f>
        <v/>
      </c>
    </row>
    <row r="102" ht="15" customHeight="1">
      <c r="A102" t="inlineStr">
        <is>
          <t>A 2228-2025</t>
        </is>
      </c>
      <c r="B102" s="1" t="n">
        <v>45672</v>
      </c>
      <c r="C102" s="1" t="n">
        <v>45694</v>
      </c>
      <c r="D102" t="inlineStr">
        <is>
          <t>STOCKHOLMS LÄN</t>
        </is>
      </c>
      <c r="E102" t="inlineStr">
        <is>
          <t>HANINGE</t>
        </is>
      </c>
      <c r="G102" t="n">
        <v>1.9</v>
      </c>
      <c r="H102" t="n">
        <v>4</v>
      </c>
      <c r="I102" t="n">
        <v>4</v>
      </c>
      <c r="J102" t="n">
        <v>2</v>
      </c>
      <c r="K102" t="n">
        <v>0</v>
      </c>
      <c r="L102" t="n">
        <v>0</v>
      </c>
      <c r="M102" t="n">
        <v>0</v>
      </c>
      <c r="N102" t="n">
        <v>0</v>
      </c>
      <c r="O102" t="n">
        <v>2</v>
      </c>
      <c r="P102" t="n">
        <v>0</v>
      </c>
      <c r="Q102" t="n">
        <v>9</v>
      </c>
      <c r="R102" s="2" t="inlineStr">
        <is>
          <t>Spillkråka
Tallticka
Blåmossa
Granbarkgnagare
Mindre märgborre
Sårläka
Vanlig padda
Blåsippa
Gullviva</t>
        </is>
      </c>
      <c r="S102">
        <f>HYPERLINK("https://klasma.github.io/Logging_0136/artfynd/A 2228-2025 artfynd.xlsx", "A 2228-2025")</f>
        <v/>
      </c>
      <c r="T102">
        <f>HYPERLINK("https://klasma.github.io/Logging_0136/kartor/A 2228-2025 karta.png", "A 2228-2025")</f>
        <v/>
      </c>
      <c r="V102">
        <f>HYPERLINK("https://klasma.github.io/Logging_0136/klagomål/A 2228-2025 FSC-klagomål.docx", "A 2228-2025")</f>
        <v/>
      </c>
      <c r="W102">
        <f>HYPERLINK("https://klasma.github.io/Logging_0136/klagomålsmail/A 2228-2025 FSC-klagomål mail.docx", "A 2228-2025")</f>
        <v/>
      </c>
      <c r="X102">
        <f>HYPERLINK("https://klasma.github.io/Logging_0136/tillsyn/A 2228-2025 tillsynsbegäran.docx", "A 2228-2025")</f>
        <v/>
      </c>
      <c r="Y102">
        <f>HYPERLINK("https://klasma.github.io/Logging_0136/tillsynsmail/A 2228-2025 tillsynsbegäran mail.docx", "A 2228-2025")</f>
        <v/>
      </c>
      <c r="Z102">
        <f>HYPERLINK("https://klasma.github.io/Logging_0136/fåglar/A 2228-2025 prioriterade fågelarter.docx", "A 2228-2025")</f>
        <v/>
      </c>
    </row>
    <row r="103" ht="15" customHeight="1">
      <c r="A103" t="inlineStr">
        <is>
          <t>A 27838-2021</t>
        </is>
      </c>
      <c r="B103" s="1" t="n">
        <v>44354</v>
      </c>
      <c r="C103" s="1" t="n">
        <v>45694</v>
      </c>
      <c r="D103" t="inlineStr">
        <is>
          <t>STOCKHOLMS LÄN</t>
        </is>
      </c>
      <c r="E103" t="inlineStr">
        <is>
          <t>SÖDERTÄLJE</t>
        </is>
      </c>
      <c r="F103" t="inlineStr">
        <is>
          <t>Sveaskog</t>
        </is>
      </c>
      <c r="G103" t="n">
        <v>3.8</v>
      </c>
      <c r="H103" t="n">
        <v>1</v>
      </c>
      <c r="I103" t="n">
        <v>5</v>
      </c>
      <c r="J103" t="n">
        <v>3</v>
      </c>
      <c r="K103" t="n">
        <v>0</v>
      </c>
      <c r="L103" t="n">
        <v>0</v>
      </c>
      <c r="M103" t="n">
        <v>0</v>
      </c>
      <c r="N103" t="n">
        <v>0</v>
      </c>
      <c r="O103" t="n">
        <v>3</v>
      </c>
      <c r="P103" t="n">
        <v>0</v>
      </c>
      <c r="Q103" t="n">
        <v>8</v>
      </c>
      <c r="R103" s="2" t="inlineStr">
        <is>
          <t>Ekticka
Kortskaftad ärgspik
Rödbrun blekspik
Grön sköldmossa
Guldlockmossa
Kornig nållav
Rostfläck
Vätteros</t>
        </is>
      </c>
      <c r="S103">
        <f>HYPERLINK("https://klasma.github.io/Logging_0181/artfynd/A 27838-2021 artfynd.xlsx", "A 27838-2021")</f>
        <v/>
      </c>
      <c r="T103">
        <f>HYPERLINK("https://klasma.github.io/Logging_0181/kartor/A 27838-2021 karta.png", "A 27838-2021")</f>
        <v/>
      </c>
      <c r="V103">
        <f>HYPERLINK("https://klasma.github.io/Logging_0181/klagomål/A 27838-2021 FSC-klagomål.docx", "A 27838-2021")</f>
        <v/>
      </c>
      <c r="W103">
        <f>HYPERLINK("https://klasma.github.io/Logging_0181/klagomålsmail/A 27838-2021 FSC-klagomål mail.docx", "A 27838-2021")</f>
        <v/>
      </c>
      <c r="X103">
        <f>HYPERLINK("https://klasma.github.io/Logging_0181/tillsyn/A 27838-2021 tillsynsbegäran.docx", "A 27838-2021")</f>
        <v/>
      </c>
      <c r="Y103">
        <f>HYPERLINK("https://klasma.github.io/Logging_0181/tillsynsmail/A 27838-2021 tillsynsbegäran mail.docx", "A 27838-2021")</f>
        <v/>
      </c>
    </row>
    <row r="104" ht="15" customHeight="1">
      <c r="A104" t="inlineStr">
        <is>
          <t>A 29817-2021</t>
        </is>
      </c>
      <c r="B104" s="1" t="n">
        <v>44362</v>
      </c>
      <c r="C104" s="1" t="n">
        <v>45694</v>
      </c>
      <c r="D104" t="inlineStr">
        <is>
          <t>STOCKHOLMS LÄN</t>
        </is>
      </c>
      <c r="E104" t="inlineStr">
        <is>
          <t>VÄRMDÖ</t>
        </is>
      </c>
      <c r="F104" t="inlineStr">
        <is>
          <t>Övriga Aktiebolag</t>
        </is>
      </c>
      <c r="G104" t="n">
        <v>5</v>
      </c>
      <c r="H104" t="n">
        <v>2</v>
      </c>
      <c r="I104" t="n">
        <v>4</v>
      </c>
      <c r="J104" t="n">
        <v>2</v>
      </c>
      <c r="K104" t="n">
        <v>0</v>
      </c>
      <c r="L104" t="n">
        <v>1</v>
      </c>
      <c r="M104" t="n">
        <v>0</v>
      </c>
      <c r="N104" t="n">
        <v>0</v>
      </c>
      <c r="O104" t="n">
        <v>3</v>
      </c>
      <c r="P104" t="n">
        <v>1</v>
      </c>
      <c r="Q104" t="n">
        <v>8</v>
      </c>
      <c r="R104" s="2" t="inlineStr">
        <is>
          <t>Ryl
Svartvit flugsnappare
Tallticka
Granbarkgnagare
Grovticka
Myskbock
Stubbspretmossa
Blåsippa</t>
        </is>
      </c>
      <c r="S104">
        <f>HYPERLINK("https://klasma.github.io/Logging_0120/artfynd/A 29817-2021 artfynd.xlsx", "A 29817-2021")</f>
        <v/>
      </c>
      <c r="T104">
        <f>HYPERLINK("https://klasma.github.io/Logging_0120/kartor/A 29817-2021 karta.png", "A 29817-2021")</f>
        <v/>
      </c>
      <c r="V104">
        <f>HYPERLINK("https://klasma.github.io/Logging_0120/klagomål/A 29817-2021 FSC-klagomål.docx", "A 29817-2021")</f>
        <v/>
      </c>
      <c r="W104">
        <f>HYPERLINK("https://klasma.github.io/Logging_0120/klagomålsmail/A 29817-2021 FSC-klagomål mail.docx", "A 29817-2021")</f>
        <v/>
      </c>
      <c r="X104">
        <f>HYPERLINK("https://klasma.github.io/Logging_0120/tillsyn/A 29817-2021 tillsynsbegäran.docx", "A 29817-2021")</f>
        <v/>
      </c>
      <c r="Y104">
        <f>HYPERLINK("https://klasma.github.io/Logging_0120/tillsynsmail/A 29817-2021 tillsynsbegäran mail.docx", "A 29817-2021")</f>
        <v/>
      </c>
      <c r="Z104">
        <f>HYPERLINK("https://klasma.github.io/Logging_0120/fåglar/A 29817-2021 prioriterade fågelarter.docx", "A 29817-2021")</f>
        <v/>
      </c>
    </row>
    <row r="105" ht="15" customHeight="1">
      <c r="A105" t="inlineStr">
        <is>
          <t>A 22061-2022</t>
        </is>
      </c>
      <c r="B105" s="1" t="n">
        <v>44711</v>
      </c>
      <c r="C105" s="1" t="n">
        <v>45694</v>
      </c>
      <c r="D105" t="inlineStr">
        <is>
          <t>STOCKHOLMS LÄN</t>
        </is>
      </c>
      <c r="E105" t="inlineStr">
        <is>
          <t>VALLENTUNA</t>
        </is>
      </c>
      <c r="G105" t="n">
        <v>6.2</v>
      </c>
      <c r="H105" t="n">
        <v>2</v>
      </c>
      <c r="I105" t="n">
        <v>4</v>
      </c>
      <c r="J105" t="n">
        <v>2</v>
      </c>
      <c r="K105" t="n">
        <v>1</v>
      </c>
      <c r="L105" t="n">
        <v>0</v>
      </c>
      <c r="M105" t="n">
        <v>0</v>
      </c>
      <c r="N105" t="n">
        <v>0</v>
      </c>
      <c r="O105" t="n">
        <v>3</v>
      </c>
      <c r="P105" t="n">
        <v>1</v>
      </c>
      <c r="Q105" t="n">
        <v>8</v>
      </c>
      <c r="R105" s="2" t="inlineStr">
        <is>
          <t>Knärot
Orange taggsvamp
Ullticka
Fjällig taggsvamp s.str.
Grönpyrola
Rostfläck
Stubbspretmossa
Blåsippa</t>
        </is>
      </c>
      <c r="S105">
        <f>HYPERLINK("https://klasma.github.io/Logging_0115/artfynd/A 22061-2022 artfynd.xlsx", "A 22061-2022")</f>
        <v/>
      </c>
      <c r="T105">
        <f>HYPERLINK("https://klasma.github.io/Logging_0115/kartor/A 22061-2022 karta.png", "A 22061-2022")</f>
        <v/>
      </c>
      <c r="U105">
        <f>HYPERLINK("https://klasma.github.io/Logging_0115/knärot/A 22061-2022 karta knärot.png", "A 22061-2022")</f>
        <v/>
      </c>
      <c r="V105">
        <f>HYPERLINK("https://klasma.github.io/Logging_0115/klagomål/A 22061-2022 FSC-klagomål.docx", "A 22061-2022")</f>
        <v/>
      </c>
      <c r="W105">
        <f>HYPERLINK("https://klasma.github.io/Logging_0115/klagomålsmail/A 22061-2022 FSC-klagomål mail.docx", "A 22061-2022")</f>
        <v/>
      </c>
      <c r="X105">
        <f>HYPERLINK("https://klasma.github.io/Logging_0115/tillsyn/A 22061-2022 tillsynsbegäran.docx", "A 22061-2022")</f>
        <v/>
      </c>
      <c r="Y105">
        <f>HYPERLINK("https://klasma.github.io/Logging_0115/tillsynsmail/A 22061-2022 tillsynsbegäran mail.docx", "A 22061-2022")</f>
        <v/>
      </c>
    </row>
    <row r="106" ht="15" customHeight="1">
      <c r="A106" t="inlineStr">
        <is>
          <t>A 24687-2022</t>
        </is>
      </c>
      <c r="B106" s="1" t="n">
        <v>44727</v>
      </c>
      <c r="C106" s="1" t="n">
        <v>45694</v>
      </c>
      <c r="D106" t="inlineStr">
        <is>
          <t>STOCKHOLMS LÄN</t>
        </is>
      </c>
      <c r="E106" t="inlineStr">
        <is>
          <t>NORRTÄLJE</t>
        </is>
      </c>
      <c r="G106" t="n">
        <v>5.8</v>
      </c>
      <c r="H106" t="n">
        <v>3</v>
      </c>
      <c r="I106" t="n">
        <v>4</v>
      </c>
      <c r="J106" t="n">
        <v>0</v>
      </c>
      <c r="K106" t="n">
        <v>1</v>
      </c>
      <c r="L106" t="n">
        <v>0</v>
      </c>
      <c r="M106" t="n">
        <v>0</v>
      </c>
      <c r="N106" t="n">
        <v>0</v>
      </c>
      <c r="O106" t="n">
        <v>1</v>
      </c>
      <c r="P106" t="n">
        <v>1</v>
      </c>
      <c r="Q106" t="n">
        <v>8</v>
      </c>
      <c r="R106" s="2" t="inlineStr">
        <is>
          <t>Gul lammticka
Anisspindling
Diskvaxskivling
Fjällig taggsvamp s.str.
Rödgul trumpetsvamp
Tjäder
Blåsippa
Revlummer</t>
        </is>
      </c>
      <c r="S106">
        <f>HYPERLINK("https://klasma.github.io/Logging_0188/artfynd/A 24687-2022 artfynd.xlsx", "A 24687-2022")</f>
        <v/>
      </c>
      <c r="T106">
        <f>HYPERLINK("https://klasma.github.io/Logging_0188/kartor/A 24687-2022 karta.png", "A 24687-2022")</f>
        <v/>
      </c>
      <c r="V106">
        <f>HYPERLINK("https://klasma.github.io/Logging_0188/klagomål/A 24687-2022 FSC-klagomål.docx", "A 24687-2022")</f>
        <v/>
      </c>
      <c r="W106">
        <f>HYPERLINK("https://klasma.github.io/Logging_0188/klagomålsmail/A 24687-2022 FSC-klagomål mail.docx", "A 24687-2022")</f>
        <v/>
      </c>
      <c r="X106">
        <f>HYPERLINK("https://klasma.github.io/Logging_0188/tillsyn/A 24687-2022 tillsynsbegäran.docx", "A 24687-2022")</f>
        <v/>
      </c>
      <c r="Y106">
        <f>HYPERLINK("https://klasma.github.io/Logging_0188/tillsynsmail/A 24687-2022 tillsynsbegäran mail.docx", "A 24687-2022")</f>
        <v/>
      </c>
      <c r="Z106">
        <f>HYPERLINK("https://klasma.github.io/Logging_0188/fåglar/A 24687-2022 prioriterade fågelarter.docx", "A 24687-2022")</f>
        <v/>
      </c>
    </row>
    <row r="107" ht="15" customHeight="1">
      <c r="A107" t="inlineStr">
        <is>
          <t>A 25512-2022</t>
        </is>
      </c>
      <c r="B107" s="1" t="n">
        <v>44732</v>
      </c>
      <c r="C107" s="1" t="n">
        <v>45694</v>
      </c>
      <c r="D107" t="inlineStr">
        <is>
          <t>STOCKHOLMS LÄN</t>
        </is>
      </c>
      <c r="E107" t="inlineStr">
        <is>
          <t>VALLENTUNA</t>
        </is>
      </c>
      <c r="G107" t="n">
        <v>13.8</v>
      </c>
      <c r="H107" t="n">
        <v>0</v>
      </c>
      <c r="I107" t="n">
        <v>5</v>
      </c>
      <c r="J107" t="n">
        <v>3</v>
      </c>
      <c r="K107" t="n">
        <v>0</v>
      </c>
      <c r="L107" t="n">
        <v>0</v>
      </c>
      <c r="M107" t="n">
        <v>0</v>
      </c>
      <c r="N107" t="n">
        <v>0</v>
      </c>
      <c r="O107" t="n">
        <v>3</v>
      </c>
      <c r="P107" t="n">
        <v>0</v>
      </c>
      <c r="Q107" t="n">
        <v>8</v>
      </c>
      <c r="R107" s="2" t="inlineStr">
        <is>
          <t>Granticka
Gränsticka
Orange taggsvamp
Fjällig taggsvamp s.str.
Gullgröppa
Rödgul trumpetsvamp
Skarp dropptaggsvamp
Vedticka</t>
        </is>
      </c>
      <c r="S107">
        <f>HYPERLINK("https://klasma.github.io/Logging_0115/artfynd/A 25512-2022 artfynd.xlsx", "A 25512-2022")</f>
        <v/>
      </c>
      <c r="T107">
        <f>HYPERLINK("https://klasma.github.io/Logging_0115/kartor/A 25512-2022 karta.png", "A 25512-2022")</f>
        <v/>
      </c>
      <c r="V107">
        <f>HYPERLINK("https://klasma.github.io/Logging_0115/klagomål/A 25512-2022 FSC-klagomål.docx", "A 25512-2022")</f>
        <v/>
      </c>
      <c r="W107">
        <f>HYPERLINK("https://klasma.github.io/Logging_0115/klagomålsmail/A 25512-2022 FSC-klagomål mail.docx", "A 25512-2022")</f>
        <v/>
      </c>
      <c r="X107">
        <f>HYPERLINK("https://klasma.github.io/Logging_0115/tillsyn/A 25512-2022 tillsynsbegäran.docx", "A 25512-2022")</f>
        <v/>
      </c>
      <c r="Y107">
        <f>HYPERLINK("https://klasma.github.io/Logging_0115/tillsynsmail/A 25512-2022 tillsynsbegäran mail.docx", "A 25512-2022")</f>
        <v/>
      </c>
    </row>
    <row r="108" ht="15" customHeight="1">
      <c r="A108" t="inlineStr">
        <is>
          <t>A 14020-2023</t>
        </is>
      </c>
      <c r="B108" s="1" t="n">
        <v>45008</v>
      </c>
      <c r="C108" s="1" t="n">
        <v>45694</v>
      </c>
      <c r="D108" t="inlineStr">
        <is>
          <t>STOCKHOLMS LÄN</t>
        </is>
      </c>
      <c r="E108" t="inlineStr">
        <is>
          <t>EKERÖ</t>
        </is>
      </c>
      <c r="G108" t="n">
        <v>9.300000000000001</v>
      </c>
      <c r="H108" t="n">
        <v>2</v>
      </c>
      <c r="I108" t="n">
        <v>2</v>
      </c>
      <c r="J108" t="n">
        <v>3</v>
      </c>
      <c r="K108" t="n">
        <v>1</v>
      </c>
      <c r="L108" t="n">
        <v>1</v>
      </c>
      <c r="M108" t="n">
        <v>0</v>
      </c>
      <c r="N108" t="n">
        <v>0</v>
      </c>
      <c r="O108" t="n">
        <v>5</v>
      </c>
      <c r="P108" t="n">
        <v>2</v>
      </c>
      <c r="Q108" t="n">
        <v>8</v>
      </c>
      <c r="R108" s="2" t="inlineStr">
        <is>
          <t>Ryl
Spricktaggsvamp
Backtimjan
Orange taggsvamp
Spillkråka
Dropptaggsvamp
Grönpyrola
Kopparödla</t>
        </is>
      </c>
      <c r="S108">
        <f>HYPERLINK("https://klasma.github.io/Logging_0125/artfynd/A 14020-2023 artfynd.xlsx", "A 14020-2023")</f>
        <v/>
      </c>
      <c r="T108">
        <f>HYPERLINK("https://klasma.github.io/Logging_0125/kartor/A 14020-2023 karta.png", "A 14020-2023")</f>
        <v/>
      </c>
      <c r="V108">
        <f>HYPERLINK("https://klasma.github.io/Logging_0125/klagomål/A 14020-2023 FSC-klagomål.docx", "A 14020-2023")</f>
        <v/>
      </c>
      <c r="W108">
        <f>HYPERLINK("https://klasma.github.io/Logging_0125/klagomålsmail/A 14020-2023 FSC-klagomål mail.docx", "A 14020-2023")</f>
        <v/>
      </c>
      <c r="X108">
        <f>HYPERLINK("https://klasma.github.io/Logging_0125/tillsyn/A 14020-2023 tillsynsbegäran.docx", "A 14020-2023")</f>
        <v/>
      </c>
      <c r="Y108">
        <f>HYPERLINK("https://klasma.github.io/Logging_0125/tillsynsmail/A 14020-2023 tillsynsbegäran mail.docx", "A 14020-2023")</f>
        <v/>
      </c>
      <c r="Z108">
        <f>HYPERLINK("https://klasma.github.io/Logging_0125/fåglar/A 14020-2023 prioriterade fågelarter.docx", "A 14020-2023")</f>
        <v/>
      </c>
    </row>
    <row r="109" ht="15" customHeight="1">
      <c r="A109" t="inlineStr">
        <is>
          <t>A 14499-2024</t>
        </is>
      </c>
      <c r="B109" s="1" t="n">
        <v>45394</v>
      </c>
      <c r="C109" s="1" t="n">
        <v>45694</v>
      </c>
      <c r="D109" t="inlineStr">
        <is>
          <t>STOCKHOLMS LÄN</t>
        </is>
      </c>
      <c r="E109" t="inlineStr">
        <is>
          <t>VALLENTUNA</t>
        </is>
      </c>
      <c r="G109" t="n">
        <v>13.1</v>
      </c>
      <c r="H109" t="n">
        <v>2</v>
      </c>
      <c r="I109" t="n">
        <v>5</v>
      </c>
      <c r="J109" t="n">
        <v>2</v>
      </c>
      <c r="K109" t="n">
        <v>1</v>
      </c>
      <c r="L109" t="n">
        <v>0</v>
      </c>
      <c r="M109" t="n">
        <v>0</v>
      </c>
      <c r="N109" t="n">
        <v>0</v>
      </c>
      <c r="O109" t="n">
        <v>3</v>
      </c>
      <c r="P109" t="n">
        <v>1</v>
      </c>
      <c r="Q109" t="n">
        <v>8</v>
      </c>
      <c r="R109" s="2" t="inlineStr">
        <is>
          <t>Knärot
Spillkråka
Tallticka
Björksplintborre
Bronshjon
Dropptaggsvamp
Mindre märgborre
Vågbandad barkbock</t>
        </is>
      </c>
      <c r="S109">
        <f>HYPERLINK("https://klasma.github.io/Logging_0115/artfynd/A 14499-2024 artfynd.xlsx", "A 14499-2024")</f>
        <v/>
      </c>
      <c r="T109">
        <f>HYPERLINK("https://klasma.github.io/Logging_0115/kartor/A 14499-2024 karta.png", "A 14499-2024")</f>
        <v/>
      </c>
      <c r="U109">
        <f>HYPERLINK("https://klasma.github.io/Logging_0115/knärot/A 14499-2024 karta knärot.png", "A 14499-2024")</f>
        <v/>
      </c>
      <c r="V109">
        <f>HYPERLINK("https://klasma.github.io/Logging_0115/klagomål/A 14499-2024 FSC-klagomål.docx", "A 14499-2024")</f>
        <v/>
      </c>
      <c r="W109">
        <f>HYPERLINK("https://klasma.github.io/Logging_0115/klagomålsmail/A 14499-2024 FSC-klagomål mail.docx", "A 14499-2024")</f>
        <v/>
      </c>
      <c r="X109">
        <f>HYPERLINK("https://klasma.github.io/Logging_0115/tillsyn/A 14499-2024 tillsynsbegäran.docx", "A 14499-2024")</f>
        <v/>
      </c>
      <c r="Y109">
        <f>HYPERLINK("https://klasma.github.io/Logging_0115/tillsynsmail/A 14499-2024 tillsynsbegäran mail.docx", "A 14499-2024")</f>
        <v/>
      </c>
      <c r="Z109">
        <f>HYPERLINK("https://klasma.github.io/Logging_0115/fåglar/A 14499-2024 prioriterade fågelarter.docx", "A 14499-2024")</f>
        <v/>
      </c>
    </row>
    <row r="110" ht="15" customHeight="1">
      <c r="A110" t="inlineStr">
        <is>
          <t>A 53877-2024</t>
        </is>
      </c>
      <c r="B110" s="1" t="n">
        <v>45614</v>
      </c>
      <c r="C110" s="1" t="n">
        <v>45694</v>
      </c>
      <c r="D110" t="inlineStr">
        <is>
          <t>STOCKHOLMS LÄN</t>
        </is>
      </c>
      <c r="E110" t="inlineStr">
        <is>
          <t>SÖDERTÄLJE</t>
        </is>
      </c>
      <c r="F110" t="inlineStr">
        <is>
          <t>Övriga statliga verk och myndigheter</t>
        </is>
      </c>
      <c r="G110" t="n">
        <v>3.9</v>
      </c>
      <c r="H110" t="n">
        <v>2</v>
      </c>
      <c r="I110" t="n">
        <v>4</v>
      </c>
      <c r="J110" t="n">
        <v>3</v>
      </c>
      <c r="K110" t="n">
        <v>0</v>
      </c>
      <c r="L110" t="n">
        <v>0</v>
      </c>
      <c r="M110" t="n">
        <v>0</v>
      </c>
      <c r="N110" t="n">
        <v>0</v>
      </c>
      <c r="O110" t="n">
        <v>3</v>
      </c>
      <c r="P110" t="n">
        <v>0</v>
      </c>
      <c r="Q110" t="n">
        <v>8</v>
      </c>
      <c r="R110" s="2" t="inlineStr">
        <is>
          <t>Majviva
Storgröe
Ängsstarr
Blåmossa
Flugblomster
Gräsull
Strutbräken
Revlummer</t>
        </is>
      </c>
      <c r="S110">
        <f>HYPERLINK("https://klasma.github.io/Logging_0181/artfynd/A 53877-2024 artfynd.xlsx", "A 53877-2024")</f>
        <v/>
      </c>
      <c r="T110">
        <f>HYPERLINK("https://klasma.github.io/Logging_0181/kartor/A 53877-2024 karta.png", "A 53877-2024")</f>
        <v/>
      </c>
      <c r="V110">
        <f>HYPERLINK("https://klasma.github.io/Logging_0181/klagomål/A 53877-2024 FSC-klagomål.docx", "A 53877-2024")</f>
        <v/>
      </c>
      <c r="W110">
        <f>HYPERLINK("https://klasma.github.io/Logging_0181/klagomålsmail/A 53877-2024 FSC-klagomål mail.docx", "A 53877-2024")</f>
        <v/>
      </c>
      <c r="X110">
        <f>HYPERLINK("https://klasma.github.io/Logging_0181/tillsyn/A 53877-2024 tillsynsbegäran.docx", "A 53877-2024")</f>
        <v/>
      </c>
      <c r="Y110">
        <f>HYPERLINK("https://klasma.github.io/Logging_0181/tillsynsmail/A 53877-2024 tillsynsbegäran mail.docx", "A 53877-2024")</f>
        <v/>
      </c>
    </row>
    <row r="111" ht="15" customHeight="1">
      <c r="A111" t="inlineStr">
        <is>
          <t>A 59582-2024</t>
        </is>
      </c>
      <c r="B111" s="1" t="n">
        <v>45638</v>
      </c>
      <c r="C111" s="1" t="n">
        <v>45694</v>
      </c>
      <c r="D111" t="inlineStr">
        <is>
          <t>STOCKHOLMS LÄN</t>
        </is>
      </c>
      <c r="E111" t="inlineStr">
        <is>
          <t>NORRTÄLJE</t>
        </is>
      </c>
      <c r="F111" t="inlineStr">
        <is>
          <t>Holmen skog AB</t>
        </is>
      </c>
      <c r="G111" t="n">
        <v>2.7</v>
      </c>
      <c r="H111" t="n">
        <v>3</v>
      </c>
      <c r="I111" t="n">
        <v>4</v>
      </c>
      <c r="J111" t="n">
        <v>3</v>
      </c>
      <c r="K111" t="n">
        <v>0</v>
      </c>
      <c r="L111" t="n">
        <v>0</v>
      </c>
      <c r="M111" t="n">
        <v>0</v>
      </c>
      <c r="N111" t="n">
        <v>0</v>
      </c>
      <c r="O111" t="n">
        <v>3</v>
      </c>
      <c r="P111" t="n">
        <v>0</v>
      </c>
      <c r="Q111" t="n">
        <v>8</v>
      </c>
      <c r="R111" s="2" t="inlineStr">
        <is>
          <t>Duvhök
Skogshare
Spillkråka
Bronshjon
Granbräken
Spädstarr
Vågbandad barkbock
Revlummer</t>
        </is>
      </c>
      <c r="S111">
        <f>HYPERLINK("https://klasma.github.io/Logging_0188/artfynd/A 59582-2024 artfynd.xlsx", "A 59582-2024")</f>
        <v/>
      </c>
      <c r="T111">
        <f>HYPERLINK("https://klasma.github.io/Logging_0188/kartor/A 59582-2024 karta.png", "A 59582-2024")</f>
        <v/>
      </c>
      <c r="V111">
        <f>HYPERLINK("https://klasma.github.io/Logging_0188/klagomål/A 59582-2024 FSC-klagomål.docx", "A 59582-2024")</f>
        <v/>
      </c>
      <c r="W111">
        <f>HYPERLINK("https://klasma.github.io/Logging_0188/klagomålsmail/A 59582-2024 FSC-klagomål mail.docx", "A 59582-2024")</f>
        <v/>
      </c>
      <c r="X111">
        <f>HYPERLINK("https://klasma.github.io/Logging_0188/tillsyn/A 59582-2024 tillsynsbegäran.docx", "A 59582-2024")</f>
        <v/>
      </c>
      <c r="Y111">
        <f>HYPERLINK("https://klasma.github.io/Logging_0188/tillsynsmail/A 59582-2024 tillsynsbegäran mail.docx", "A 59582-2024")</f>
        <v/>
      </c>
      <c r="Z111">
        <f>HYPERLINK("https://klasma.github.io/Logging_0188/fåglar/A 59582-2024 prioriterade fågelarter.docx", "A 59582-2024")</f>
        <v/>
      </c>
    </row>
    <row r="112" ht="15" customHeight="1">
      <c r="A112" t="inlineStr">
        <is>
          <t>A 3152-2025</t>
        </is>
      </c>
      <c r="B112" s="1" t="n">
        <v>45679</v>
      </c>
      <c r="C112" s="1" t="n">
        <v>45694</v>
      </c>
      <c r="D112" t="inlineStr">
        <is>
          <t>STOCKHOLMS LÄN</t>
        </is>
      </c>
      <c r="E112" t="inlineStr">
        <is>
          <t>HANINGE</t>
        </is>
      </c>
      <c r="G112" t="n">
        <v>2.2</v>
      </c>
      <c r="H112" t="n">
        <v>4</v>
      </c>
      <c r="I112" t="n">
        <v>4</v>
      </c>
      <c r="J112" t="n">
        <v>2</v>
      </c>
      <c r="K112" t="n">
        <v>0</v>
      </c>
      <c r="L112" t="n">
        <v>0</v>
      </c>
      <c r="M112" t="n">
        <v>0</v>
      </c>
      <c r="N112" t="n">
        <v>0</v>
      </c>
      <c r="O112" t="n">
        <v>2</v>
      </c>
      <c r="P112" t="n">
        <v>0</v>
      </c>
      <c r="Q112" t="n">
        <v>8</v>
      </c>
      <c r="R112" s="2" t="inlineStr">
        <is>
          <t>Blå taggsvamp
Vedtrappmossa
Grön sköldmossa
Grönpyrola
Mindre märgborre
Plattlummer
Mattlummer
Revlummer</t>
        </is>
      </c>
      <c r="S112">
        <f>HYPERLINK("https://klasma.github.io/Logging_0136/artfynd/A 3152-2025 artfynd.xlsx", "A 3152-2025")</f>
        <v/>
      </c>
      <c r="T112">
        <f>HYPERLINK("https://klasma.github.io/Logging_0136/kartor/A 3152-2025 karta.png", "A 3152-2025")</f>
        <v/>
      </c>
      <c r="V112">
        <f>HYPERLINK("https://klasma.github.io/Logging_0136/klagomål/A 3152-2025 FSC-klagomål.docx", "A 3152-2025")</f>
        <v/>
      </c>
      <c r="W112">
        <f>HYPERLINK("https://klasma.github.io/Logging_0136/klagomålsmail/A 3152-2025 FSC-klagomål mail.docx", "A 3152-2025")</f>
        <v/>
      </c>
      <c r="X112">
        <f>HYPERLINK("https://klasma.github.io/Logging_0136/tillsyn/A 3152-2025 tillsynsbegäran.docx", "A 3152-2025")</f>
        <v/>
      </c>
      <c r="Y112">
        <f>HYPERLINK("https://klasma.github.io/Logging_0136/tillsynsmail/A 3152-2025 tillsynsbegäran mail.docx", "A 3152-2025")</f>
        <v/>
      </c>
    </row>
    <row r="113" ht="15" customHeight="1">
      <c r="A113" t="inlineStr">
        <is>
          <t>A 4705-2025</t>
        </is>
      </c>
      <c r="B113" s="1" t="n">
        <v>45688</v>
      </c>
      <c r="C113" s="1" t="n">
        <v>45694</v>
      </c>
      <c r="D113" t="inlineStr">
        <is>
          <t>STOCKHOLMS LÄN</t>
        </is>
      </c>
      <c r="E113" t="inlineStr">
        <is>
          <t>NORRTÄLJE</t>
        </is>
      </c>
      <c r="G113" t="n">
        <v>5.7</v>
      </c>
      <c r="H113" t="n">
        <v>0</v>
      </c>
      <c r="I113" t="n">
        <v>5</v>
      </c>
      <c r="J113" t="n">
        <v>3</v>
      </c>
      <c r="K113" t="n">
        <v>0</v>
      </c>
      <c r="L113" t="n">
        <v>0</v>
      </c>
      <c r="M113" t="n">
        <v>0</v>
      </c>
      <c r="N113" t="n">
        <v>0</v>
      </c>
      <c r="O113" t="n">
        <v>3</v>
      </c>
      <c r="P113" t="n">
        <v>0</v>
      </c>
      <c r="Q113" t="n">
        <v>8</v>
      </c>
      <c r="R113" s="2" t="inlineStr">
        <is>
          <t>Dofttaggsvamp
Granticka
Ullticka
Fjällig taggsvamp s.str.
Skarp dropptaggsvamp
Sårläka
Thomsons trägnagare
Tibast</t>
        </is>
      </c>
      <c r="S113">
        <f>HYPERLINK("https://klasma.github.io/Logging_0188/artfynd/A 4705-2025 artfynd.xlsx", "A 4705-2025")</f>
        <v/>
      </c>
      <c r="T113">
        <f>HYPERLINK("https://klasma.github.io/Logging_0188/kartor/A 4705-2025 karta.png", "A 4705-2025")</f>
        <v/>
      </c>
      <c r="V113">
        <f>HYPERLINK("https://klasma.github.io/Logging_0188/klagomål/A 4705-2025 FSC-klagomål.docx", "A 4705-2025")</f>
        <v/>
      </c>
      <c r="W113">
        <f>HYPERLINK("https://klasma.github.io/Logging_0188/klagomålsmail/A 4705-2025 FSC-klagomål mail.docx", "A 4705-2025")</f>
        <v/>
      </c>
      <c r="X113">
        <f>HYPERLINK("https://klasma.github.io/Logging_0188/tillsyn/A 4705-2025 tillsynsbegäran.docx", "A 4705-2025")</f>
        <v/>
      </c>
      <c r="Y113">
        <f>HYPERLINK("https://klasma.github.io/Logging_0188/tillsynsmail/A 4705-2025 tillsynsbegäran mail.docx", "A 4705-2025")</f>
        <v/>
      </c>
    </row>
    <row r="114" ht="15" customHeight="1">
      <c r="A114" t="inlineStr">
        <is>
          <t>A 12772-2021</t>
        </is>
      </c>
      <c r="B114" s="1" t="n">
        <v>44270</v>
      </c>
      <c r="C114" s="1" t="n">
        <v>45694</v>
      </c>
      <c r="D114" t="inlineStr">
        <is>
          <t>STOCKHOLMS LÄN</t>
        </is>
      </c>
      <c r="E114" t="inlineStr">
        <is>
          <t>SÖDERTÄLJE</t>
        </is>
      </c>
      <c r="G114" t="n">
        <v>31.5</v>
      </c>
      <c r="H114" t="n">
        <v>0</v>
      </c>
      <c r="I114" t="n">
        <v>6</v>
      </c>
      <c r="J114" t="n">
        <v>1</v>
      </c>
      <c r="K114" t="n">
        <v>0</v>
      </c>
      <c r="L114" t="n">
        <v>0</v>
      </c>
      <c r="M114" t="n">
        <v>0</v>
      </c>
      <c r="N114" t="n">
        <v>0</v>
      </c>
      <c r="O114" t="n">
        <v>1</v>
      </c>
      <c r="P114" t="n">
        <v>0</v>
      </c>
      <c r="Q114" t="n">
        <v>7</v>
      </c>
      <c r="R114" s="2" t="inlineStr">
        <is>
          <t>Skogshare
Gul vaxskivling
Mönjevaxskivling
Spröd vaxskivling
Toppvaxskivling
Vit vaxskivling
Ängsvaxskivling</t>
        </is>
      </c>
      <c r="S114">
        <f>HYPERLINK("https://klasma.github.io/Logging_0181/artfynd/A 12772-2021 artfynd.xlsx", "A 12772-2021")</f>
        <v/>
      </c>
      <c r="T114">
        <f>HYPERLINK("https://klasma.github.io/Logging_0181/kartor/A 12772-2021 karta.png", "A 12772-2021")</f>
        <v/>
      </c>
      <c r="V114">
        <f>HYPERLINK("https://klasma.github.io/Logging_0181/klagomål/A 12772-2021 FSC-klagomål.docx", "A 12772-2021")</f>
        <v/>
      </c>
      <c r="W114">
        <f>HYPERLINK("https://klasma.github.io/Logging_0181/klagomålsmail/A 12772-2021 FSC-klagomål mail.docx", "A 12772-2021")</f>
        <v/>
      </c>
      <c r="X114">
        <f>HYPERLINK("https://klasma.github.io/Logging_0181/tillsyn/A 12772-2021 tillsynsbegäran.docx", "A 12772-2021")</f>
        <v/>
      </c>
      <c r="Y114">
        <f>HYPERLINK("https://klasma.github.io/Logging_0181/tillsynsmail/A 12772-2021 tillsynsbegäran mail.docx", "A 12772-2021")</f>
        <v/>
      </c>
    </row>
    <row r="115" ht="15" customHeight="1">
      <c r="A115" t="inlineStr">
        <is>
          <t>A 47346-2021</t>
        </is>
      </c>
      <c r="B115" s="1" t="n">
        <v>44447</v>
      </c>
      <c r="C115" s="1" t="n">
        <v>45694</v>
      </c>
      <c r="D115" t="inlineStr">
        <is>
          <t>STOCKHOLMS LÄN</t>
        </is>
      </c>
      <c r="E115" t="inlineStr">
        <is>
          <t>NORRTÄLJE</t>
        </is>
      </c>
      <c r="G115" t="n">
        <v>5.5</v>
      </c>
      <c r="H115" t="n">
        <v>1</v>
      </c>
      <c r="I115" t="n">
        <v>4</v>
      </c>
      <c r="J115" t="n">
        <v>0</v>
      </c>
      <c r="K115" t="n">
        <v>2</v>
      </c>
      <c r="L115" t="n">
        <v>0</v>
      </c>
      <c r="M115" t="n">
        <v>0</v>
      </c>
      <c r="N115" t="n">
        <v>0</v>
      </c>
      <c r="O115" t="n">
        <v>2</v>
      </c>
      <c r="P115" t="n">
        <v>2</v>
      </c>
      <c r="Q115" t="n">
        <v>7</v>
      </c>
      <c r="R115" s="2" t="inlineStr">
        <is>
          <t>Grangråticka
Violgubbe
Anisspindling
Fjällig taggsvamp s.str.
Skarp dropptaggsvamp
Toppvaxskivling
Revlummer</t>
        </is>
      </c>
      <c r="S115">
        <f>HYPERLINK("https://klasma.github.io/Logging_0188/artfynd/A 47346-2021 artfynd.xlsx", "A 47346-2021")</f>
        <v/>
      </c>
      <c r="T115">
        <f>HYPERLINK("https://klasma.github.io/Logging_0188/kartor/A 47346-2021 karta.png", "A 47346-2021")</f>
        <v/>
      </c>
      <c r="V115">
        <f>HYPERLINK("https://klasma.github.io/Logging_0188/klagomål/A 47346-2021 FSC-klagomål.docx", "A 47346-2021")</f>
        <v/>
      </c>
      <c r="W115">
        <f>HYPERLINK("https://klasma.github.io/Logging_0188/klagomålsmail/A 47346-2021 FSC-klagomål mail.docx", "A 47346-2021")</f>
        <v/>
      </c>
      <c r="X115">
        <f>HYPERLINK("https://klasma.github.io/Logging_0188/tillsyn/A 47346-2021 tillsynsbegäran.docx", "A 47346-2021")</f>
        <v/>
      </c>
      <c r="Y115">
        <f>HYPERLINK("https://klasma.github.io/Logging_0188/tillsynsmail/A 47346-2021 tillsynsbegäran mail.docx", "A 47346-2021")</f>
        <v/>
      </c>
    </row>
    <row r="116" ht="15" customHeight="1">
      <c r="A116" t="inlineStr">
        <is>
          <t>A 8644-2022</t>
        </is>
      </c>
      <c r="B116" s="1" t="n">
        <v>44613</v>
      </c>
      <c r="C116" s="1" t="n">
        <v>45694</v>
      </c>
      <c r="D116" t="inlineStr">
        <is>
          <t>STOCKHOLMS LÄN</t>
        </is>
      </c>
      <c r="E116" t="inlineStr">
        <is>
          <t>NORRTÄLJE</t>
        </is>
      </c>
      <c r="G116" t="n">
        <v>5.7</v>
      </c>
      <c r="H116" t="n">
        <v>1</v>
      </c>
      <c r="I116" t="n">
        <v>4</v>
      </c>
      <c r="J116" t="n">
        <v>1</v>
      </c>
      <c r="K116" t="n">
        <v>1</v>
      </c>
      <c r="L116" t="n">
        <v>0</v>
      </c>
      <c r="M116" t="n">
        <v>0</v>
      </c>
      <c r="N116" t="n">
        <v>0</v>
      </c>
      <c r="O116" t="n">
        <v>2</v>
      </c>
      <c r="P116" t="n">
        <v>1</v>
      </c>
      <c r="Q116" t="n">
        <v>7</v>
      </c>
      <c r="R116" s="2" t="inlineStr">
        <is>
          <t>Vågticka
Såpfingersvamp
Blomkålssvamp
Diskvaxskivling
Grönpyrola
Hasselticka
Blåsippa</t>
        </is>
      </c>
      <c r="S116">
        <f>HYPERLINK("https://klasma.github.io/Logging_0188/artfynd/A 8644-2022 artfynd.xlsx", "A 8644-2022")</f>
        <v/>
      </c>
      <c r="T116">
        <f>HYPERLINK("https://klasma.github.io/Logging_0188/kartor/A 8644-2022 karta.png", "A 8644-2022")</f>
        <v/>
      </c>
      <c r="V116">
        <f>HYPERLINK("https://klasma.github.io/Logging_0188/klagomål/A 8644-2022 FSC-klagomål.docx", "A 8644-2022")</f>
        <v/>
      </c>
      <c r="W116">
        <f>HYPERLINK("https://klasma.github.io/Logging_0188/klagomålsmail/A 8644-2022 FSC-klagomål mail.docx", "A 8644-2022")</f>
        <v/>
      </c>
      <c r="X116">
        <f>HYPERLINK("https://klasma.github.io/Logging_0188/tillsyn/A 8644-2022 tillsynsbegäran.docx", "A 8644-2022")</f>
        <v/>
      </c>
      <c r="Y116">
        <f>HYPERLINK("https://klasma.github.io/Logging_0188/tillsynsmail/A 8644-2022 tillsynsbegäran mail.docx", "A 8644-2022")</f>
        <v/>
      </c>
    </row>
    <row r="117" ht="15" customHeight="1">
      <c r="A117" t="inlineStr">
        <is>
          <t>A 9748-2022</t>
        </is>
      </c>
      <c r="B117" s="1" t="n">
        <v>44618</v>
      </c>
      <c r="C117" s="1" t="n">
        <v>45694</v>
      </c>
      <c r="D117" t="inlineStr">
        <is>
          <t>STOCKHOLMS LÄN</t>
        </is>
      </c>
      <c r="E117" t="inlineStr">
        <is>
          <t>VALLENTUNA</t>
        </is>
      </c>
      <c r="G117" t="n">
        <v>11.6</v>
      </c>
      <c r="H117" t="n">
        <v>1</v>
      </c>
      <c r="I117" t="n">
        <v>5</v>
      </c>
      <c r="J117" t="n">
        <v>1</v>
      </c>
      <c r="K117" t="n">
        <v>1</v>
      </c>
      <c r="L117" t="n">
        <v>0</v>
      </c>
      <c r="M117" t="n">
        <v>0</v>
      </c>
      <c r="N117" t="n">
        <v>0</v>
      </c>
      <c r="O117" t="n">
        <v>2</v>
      </c>
      <c r="P117" t="n">
        <v>1</v>
      </c>
      <c r="Q117" t="n">
        <v>7</v>
      </c>
      <c r="R117" s="2" t="inlineStr">
        <is>
          <t>Knärot
Tallticka
Björksplintborre
Bronshjon
Dropptaggsvamp
Mindre märgborre
Vågbandad barkbock</t>
        </is>
      </c>
      <c r="S117">
        <f>HYPERLINK("https://klasma.github.io/Logging_0115/artfynd/A 9748-2022 artfynd.xlsx", "A 9748-2022")</f>
        <v/>
      </c>
      <c r="T117">
        <f>HYPERLINK("https://klasma.github.io/Logging_0115/kartor/A 9748-2022 karta.png", "A 9748-2022")</f>
        <v/>
      </c>
      <c r="U117">
        <f>HYPERLINK("https://klasma.github.io/Logging_0115/knärot/A 9748-2022 karta knärot.png", "A 9748-2022")</f>
        <v/>
      </c>
      <c r="V117">
        <f>HYPERLINK("https://klasma.github.io/Logging_0115/klagomål/A 9748-2022 FSC-klagomål.docx", "A 9748-2022")</f>
        <v/>
      </c>
      <c r="W117">
        <f>HYPERLINK("https://klasma.github.io/Logging_0115/klagomålsmail/A 9748-2022 FSC-klagomål mail.docx", "A 9748-2022")</f>
        <v/>
      </c>
      <c r="X117">
        <f>HYPERLINK("https://klasma.github.io/Logging_0115/tillsyn/A 9748-2022 tillsynsbegäran.docx", "A 9748-2022")</f>
        <v/>
      </c>
      <c r="Y117">
        <f>HYPERLINK("https://klasma.github.io/Logging_0115/tillsynsmail/A 9748-2022 tillsynsbegäran mail.docx", "A 9748-2022")</f>
        <v/>
      </c>
    </row>
    <row r="118" ht="15" customHeight="1">
      <c r="A118" t="inlineStr">
        <is>
          <t>A 10000-2022</t>
        </is>
      </c>
      <c r="B118" s="1" t="n">
        <v>44621</v>
      </c>
      <c r="C118" s="1" t="n">
        <v>45694</v>
      </c>
      <c r="D118" t="inlineStr">
        <is>
          <t>STOCKHOLMS LÄN</t>
        </is>
      </c>
      <c r="E118" t="inlineStr">
        <is>
          <t>SIGTUNA</t>
        </is>
      </c>
      <c r="G118" t="n">
        <v>15.3</v>
      </c>
      <c r="H118" t="n">
        <v>7</v>
      </c>
      <c r="I118" t="n">
        <v>0</v>
      </c>
      <c r="J118" t="n">
        <v>3</v>
      </c>
      <c r="K118" t="n">
        <v>2</v>
      </c>
      <c r="L118" t="n">
        <v>1</v>
      </c>
      <c r="M118" t="n">
        <v>0</v>
      </c>
      <c r="N118" t="n">
        <v>0</v>
      </c>
      <c r="O118" t="n">
        <v>6</v>
      </c>
      <c r="P118" t="n">
        <v>3</v>
      </c>
      <c r="Q118" t="n">
        <v>7</v>
      </c>
      <c r="R118" s="2" t="inlineStr">
        <is>
          <t>Tornseglare
Hussvala
Vinterhämpling
Fiskmås
Gulsparv
Ärtsångare
Grönsiska</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13933-2022</t>
        </is>
      </c>
      <c r="B119" s="1" t="n">
        <v>44650</v>
      </c>
      <c r="C119" s="1" t="n">
        <v>45694</v>
      </c>
      <c r="D119" t="inlineStr">
        <is>
          <t>STOCKHOLMS LÄN</t>
        </is>
      </c>
      <c r="E119" t="inlineStr">
        <is>
          <t>NORRTÄLJE</t>
        </is>
      </c>
      <c r="G119" t="n">
        <v>4.4</v>
      </c>
      <c r="H119" t="n">
        <v>3</v>
      </c>
      <c r="I119" t="n">
        <v>5</v>
      </c>
      <c r="J119" t="n">
        <v>1</v>
      </c>
      <c r="K119" t="n">
        <v>0</v>
      </c>
      <c r="L119" t="n">
        <v>0</v>
      </c>
      <c r="M119" t="n">
        <v>0</v>
      </c>
      <c r="N119" t="n">
        <v>0</v>
      </c>
      <c r="O119" t="n">
        <v>1</v>
      </c>
      <c r="P119" t="n">
        <v>0</v>
      </c>
      <c r="Q119" t="n">
        <v>7</v>
      </c>
      <c r="R119" s="2" t="inlineStr">
        <is>
          <t>Ullticka
Grön sköldmossa
Nästrot
Skogshakmossa
Tibast
Ögonpyrola
Blåsippa</t>
        </is>
      </c>
      <c r="S119">
        <f>HYPERLINK("https://klasma.github.io/Logging_0188/artfynd/A 13933-2022 artfynd.xlsx", "A 13933-2022")</f>
        <v/>
      </c>
      <c r="T119">
        <f>HYPERLINK("https://klasma.github.io/Logging_0188/kartor/A 13933-2022 karta.png", "A 13933-2022")</f>
        <v/>
      </c>
      <c r="V119">
        <f>HYPERLINK("https://klasma.github.io/Logging_0188/klagomål/A 13933-2022 FSC-klagomål.docx", "A 13933-2022")</f>
        <v/>
      </c>
      <c r="W119">
        <f>HYPERLINK("https://klasma.github.io/Logging_0188/klagomålsmail/A 13933-2022 FSC-klagomål mail.docx", "A 13933-2022")</f>
        <v/>
      </c>
      <c r="X119">
        <f>HYPERLINK("https://klasma.github.io/Logging_0188/tillsyn/A 13933-2022 tillsynsbegäran.docx", "A 13933-2022")</f>
        <v/>
      </c>
      <c r="Y119">
        <f>HYPERLINK("https://klasma.github.io/Logging_0188/tillsynsmail/A 13933-2022 tillsynsbegäran mail.docx", "A 13933-2022")</f>
        <v/>
      </c>
    </row>
    <row r="120" ht="15" customHeight="1">
      <c r="A120" t="inlineStr">
        <is>
          <t>A 24150-2022</t>
        </is>
      </c>
      <c r="B120" s="1" t="n">
        <v>44725</v>
      </c>
      <c r="C120" s="1" t="n">
        <v>45694</v>
      </c>
      <c r="D120" t="inlineStr">
        <is>
          <t>STOCKHOLMS LÄN</t>
        </is>
      </c>
      <c r="E120" t="inlineStr">
        <is>
          <t>NORRTÄLJE</t>
        </is>
      </c>
      <c r="G120" t="n">
        <v>7</v>
      </c>
      <c r="H120" t="n">
        <v>7</v>
      </c>
      <c r="I120" t="n">
        <v>0</v>
      </c>
      <c r="J120" t="n">
        <v>2</v>
      </c>
      <c r="K120" t="n">
        <v>0</v>
      </c>
      <c r="L120" t="n">
        <v>0</v>
      </c>
      <c r="M120" t="n">
        <v>0</v>
      </c>
      <c r="N120" t="n">
        <v>0</v>
      </c>
      <c r="O120" t="n">
        <v>2</v>
      </c>
      <c r="P120" t="n">
        <v>0</v>
      </c>
      <c r="Q120" t="n">
        <v>7</v>
      </c>
      <c r="R120" s="2" t="inlineStr">
        <is>
          <t>Brunlångöra
Nordfladdermus
Dvärgpipistrell
Gråskimlig fladdermus
Större brunfladdermus
Trollpipistrell
Vattenfladdermus</t>
        </is>
      </c>
      <c r="S120">
        <f>HYPERLINK("https://klasma.github.io/Logging_0188/artfynd/A 24150-2022 artfynd.xlsx", "A 24150-2022")</f>
        <v/>
      </c>
      <c r="T120">
        <f>HYPERLINK("https://klasma.github.io/Logging_0188/kartor/A 24150-2022 karta.png", "A 24150-2022")</f>
        <v/>
      </c>
      <c r="V120">
        <f>HYPERLINK("https://klasma.github.io/Logging_0188/klagomål/A 24150-2022 FSC-klagomål.docx", "A 24150-2022")</f>
        <v/>
      </c>
      <c r="W120">
        <f>HYPERLINK("https://klasma.github.io/Logging_0188/klagomålsmail/A 24150-2022 FSC-klagomål mail.docx", "A 24150-2022")</f>
        <v/>
      </c>
      <c r="X120">
        <f>HYPERLINK("https://klasma.github.io/Logging_0188/tillsyn/A 24150-2022 tillsynsbegäran.docx", "A 24150-2022")</f>
        <v/>
      </c>
      <c r="Y120">
        <f>HYPERLINK("https://klasma.github.io/Logging_0188/tillsynsmail/A 24150-2022 tillsynsbegäran mail.docx", "A 24150-2022")</f>
        <v/>
      </c>
    </row>
    <row r="121" ht="15" customHeight="1">
      <c r="A121" t="inlineStr">
        <is>
          <t>A 45811-2022</t>
        </is>
      </c>
      <c r="B121" s="1" t="n">
        <v>44846</v>
      </c>
      <c r="C121" s="1" t="n">
        <v>45694</v>
      </c>
      <c r="D121" t="inlineStr">
        <is>
          <t>STOCKHOLMS LÄN</t>
        </is>
      </c>
      <c r="E121" t="inlineStr">
        <is>
          <t>NORRTÄLJE</t>
        </is>
      </c>
      <c r="G121" t="n">
        <v>0.8</v>
      </c>
      <c r="H121" t="n">
        <v>0</v>
      </c>
      <c r="I121" t="n">
        <v>5</v>
      </c>
      <c r="J121" t="n">
        <v>0</v>
      </c>
      <c r="K121" t="n">
        <v>0</v>
      </c>
      <c r="L121" t="n">
        <v>1</v>
      </c>
      <c r="M121" t="n">
        <v>1</v>
      </c>
      <c r="N121" t="n">
        <v>0</v>
      </c>
      <c r="O121" t="n">
        <v>2</v>
      </c>
      <c r="P121" t="n">
        <v>2</v>
      </c>
      <c r="Q121" t="n">
        <v>7</v>
      </c>
      <c r="R121" s="2" t="inlineStr">
        <is>
          <t>Skogsalm
Ask
Hässleklocka
Myskmadra
Strävlosta
Tibast
Underviol</t>
        </is>
      </c>
      <c r="S121">
        <f>HYPERLINK("https://klasma.github.io/Logging_0188/artfynd/A 45811-2022 artfynd.xlsx", "A 45811-2022")</f>
        <v/>
      </c>
      <c r="T121">
        <f>HYPERLINK("https://klasma.github.io/Logging_0188/kartor/A 45811-2022 karta.png", "A 45811-2022")</f>
        <v/>
      </c>
      <c r="V121">
        <f>HYPERLINK("https://klasma.github.io/Logging_0188/klagomål/A 45811-2022 FSC-klagomål.docx", "A 45811-2022")</f>
        <v/>
      </c>
      <c r="W121">
        <f>HYPERLINK("https://klasma.github.io/Logging_0188/klagomålsmail/A 45811-2022 FSC-klagomål mail.docx", "A 45811-2022")</f>
        <v/>
      </c>
      <c r="X121">
        <f>HYPERLINK("https://klasma.github.io/Logging_0188/tillsyn/A 45811-2022 tillsynsbegäran.docx", "A 45811-2022")</f>
        <v/>
      </c>
      <c r="Y121">
        <f>HYPERLINK("https://klasma.github.io/Logging_0188/tillsynsmail/A 45811-2022 tillsynsbegäran mail.docx", "A 45811-2022")</f>
        <v/>
      </c>
    </row>
    <row r="122" ht="15" customHeight="1">
      <c r="A122" t="inlineStr">
        <is>
          <t>A 48490-2022</t>
        </is>
      </c>
      <c r="B122" s="1" t="n">
        <v>44858</v>
      </c>
      <c r="C122" s="1" t="n">
        <v>45694</v>
      </c>
      <c r="D122" t="inlineStr">
        <is>
          <t>STOCKHOLMS LÄN</t>
        </is>
      </c>
      <c r="E122" t="inlineStr">
        <is>
          <t>NORRTÄLJE</t>
        </is>
      </c>
      <c r="G122" t="n">
        <v>15.8</v>
      </c>
      <c r="H122" t="n">
        <v>2</v>
      </c>
      <c r="I122" t="n">
        <v>6</v>
      </c>
      <c r="J122" t="n">
        <v>0</v>
      </c>
      <c r="K122" t="n">
        <v>0</v>
      </c>
      <c r="L122" t="n">
        <v>0</v>
      </c>
      <c r="M122" t="n">
        <v>0</v>
      </c>
      <c r="N122" t="n">
        <v>0</v>
      </c>
      <c r="O122" t="n">
        <v>0</v>
      </c>
      <c r="P122" t="n">
        <v>0</v>
      </c>
      <c r="Q122" t="n">
        <v>7</v>
      </c>
      <c r="R122" s="2" t="inlineStr">
        <is>
          <t>Kragjordstjärna
Skogsknipprot
Svart trolldruva
Svavelriska
Tibast
Vårärt
Blåsippa</t>
        </is>
      </c>
      <c r="S122">
        <f>HYPERLINK("https://klasma.github.io/Logging_0188/artfynd/A 48490-2022 artfynd.xlsx", "A 48490-2022")</f>
        <v/>
      </c>
      <c r="T122">
        <f>HYPERLINK("https://klasma.github.io/Logging_0188/kartor/A 48490-2022 karta.png", "A 48490-2022")</f>
        <v/>
      </c>
      <c r="V122">
        <f>HYPERLINK("https://klasma.github.io/Logging_0188/klagomål/A 48490-2022 FSC-klagomål.docx", "A 48490-2022")</f>
        <v/>
      </c>
      <c r="W122">
        <f>HYPERLINK("https://klasma.github.io/Logging_0188/klagomålsmail/A 48490-2022 FSC-klagomål mail.docx", "A 48490-2022")</f>
        <v/>
      </c>
      <c r="X122">
        <f>HYPERLINK("https://klasma.github.io/Logging_0188/tillsyn/A 48490-2022 tillsynsbegäran.docx", "A 48490-2022")</f>
        <v/>
      </c>
      <c r="Y122">
        <f>HYPERLINK("https://klasma.github.io/Logging_0188/tillsynsmail/A 48490-2022 tillsynsbegäran mail.docx", "A 48490-2022")</f>
        <v/>
      </c>
    </row>
    <row r="123" ht="15" customHeight="1">
      <c r="A123" t="inlineStr">
        <is>
          <t>A 5527-2023</t>
        </is>
      </c>
      <c r="B123" s="1" t="n">
        <v>44960</v>
      </c>
      <c r="C123" s="1" t="n">
        <v>45694</v>
      </c>
      <c r="D123" t="inlineStr">
        <is>
          <t>STOCKHOLMS LÄN</t>
        </is>
      </c>
      <c r="E123" t="inlineStr">
        <is>
          <t>NYNÄSHAMN</t>
        </is>
      </c>
      <c r="G123" t="n">
        <v>7.3</v>
      </c>
      <c r="H123" t="n">
        <v>2</v>
      </c>
      <c r="I123" t="n">
        <v>4</v>
      </c>
      <c r="J123" t="n">
        <v>2</v>
      </c>
      <c r="K123" t="n">
        <v>0</v>
      </c>
      <c r="L123" t="n">
        <v>0</v>
      </c>
      <c r="M123" t="n">
        <v>0</v>
      </c>
      <c r="N123" t="n">
        <v>0</v>
      </c>
      <c r="O123" t="n">
        <v>2</v>
      </c>
      <c r="P123" t="n">
        <v>0</v>
      </c>
      <c r="Q123" t="n">
        <v>7</v>
      </c>
      <c r="R123" s="2" t="inlineStr">
        <is>
          <t>Granticka
Tallticka
Blåmossa
Granbarkgnagare
Grön sköldmossa
Stor aspticka
Blåsippa</t>
        </is>
      </c>
      <c r="S123">
        <f>HYPERLINK("https://klasma.github.io/Logging_0192/artfynd/A 5527-2023 artfynd.xlsx", "A 5527-2023")</f>
        <v/>
      </c>
      <c r="T123">
        <f>HYPERLINK("https://klasma.github.io/Logging_0192/kartor/A 5527-2023 karta.png", "A 5527-2023")</f>
        <v/>
      </c>
      <c r="V123">
        <f>HYPERLINK("https://klasma.github.io/Logging_0192/klagomål/A 5527-2023 FSC-klagomål.docx", "A 5527-2023")</f>
        <v/>
      </c>
      <c r="W123">
        <f>HYPERLINK("https://klasma.github.io/Logging_0192/klagomålsmail/A 5527-2023 FSC-klagomål mail.docx", "A 5527-2023")</f>
        <v/>
      </c>
      <c r="X123">
        <f>HYPERLINK("https://klasma.github.io/Logging_0192/tillsyn/A 5527-2023 tillsynsbegäran.docx", "A 5527-2023")</f>
        <v/>
      </c>
      <c r="Y123">
        <f>HYPERLINK("https://klasma.github.io/Logging_0192/tillsynsmail/A 5527-2023 tillsynsbegäran mail.docx", "A 5527-2023")</f>
        <v/>
      </c>
    </row>
    <row r="124" ht="15" customHeight="1">
      <c r="A124" t="inlineStr">
        <is>
          <t>A 15278-2024</t>
        </is>
      </c>
      <c r="B124" s="1" t="n">
        <v>45400</v>
      </c>
      <c r="C124" s="1" t="n">
        <v>45694</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45694</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45694</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45694</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45694</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45694</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45694</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45694</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45694</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45694</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45694</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45694</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45694</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45694</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45694</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45694</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45694</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45694</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45694</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45694</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45694</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45694</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45694</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45694</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45694</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45694</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45694</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45694</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45694</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45694</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45694</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45694</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45694</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45694</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45694</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45694</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45694</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45694</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45694</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45694</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45694</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45694</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45694</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45694</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45694</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45694</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45694</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45694</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45694</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45694</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45694</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45694</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45694</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45694</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45694</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45694</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45694</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45694</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45694</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45694</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45694</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45694</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45694</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45694</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45694</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45694</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45694</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45694</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45694</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45694</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45694</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45694</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45694</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45694</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45694</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45694</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45694</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45694</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45694</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45694</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45694</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45694</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45694</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45694</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45694</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45694</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45694</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45694</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45694</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45694</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45694</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45694</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45694</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45694</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45694</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45694</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45694</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45694</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45694</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45694</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45694</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45694</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45694</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45694</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45694</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45694</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45694</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45694</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45694</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45694</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45694</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45694</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45694</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45694</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45694</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45694</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45694</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45694</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45694</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45694</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45694</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45694</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45694</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45694</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45694</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45694</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45694</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45694</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45694</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45694</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45694</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45694</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45694</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45694</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45694</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45694</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45694</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45694</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45694</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45694</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45694</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45694</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45694</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45694</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45694</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45694</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45694</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45694</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45694</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45694</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45694</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45694</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45694</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45694</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45694</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45694</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45694</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45694</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45694</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45694</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45694</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45694</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45694</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45694</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45694</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45694</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45694</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45694</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45694</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45694</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45694</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45694</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45694</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45694</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45694</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45694</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45694</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45694</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45694</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45694</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45694</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45694</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45694</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45694</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45694</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45694</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45694</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45694</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45694</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45694</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45694</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45694</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45694</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45694</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45694</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45694</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45694</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45694</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45694</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45694</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45694</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45694</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45694</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45694</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45694</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45694</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45694</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45694</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45694</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45694</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45694</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45694</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45694</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45694</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45694</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45694</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45694</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45694</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45694</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45694</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45694</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45694</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45694</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45694</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45694</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45694</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45694</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45694</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45694</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45694</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45694</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45694</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45694</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45694</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45694</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45694</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45694</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45694</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45694</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45694</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45694</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45694</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45694</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45694</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45694</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45694</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45694</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45694</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45694</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45694</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45694</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45694</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45694</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45694</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45694</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45694</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45694</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45694</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45694</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45694</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45694</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45694</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45694</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45694</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45694</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45694</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45694</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45694</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45694</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45694</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45694</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45694</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45694</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45694</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45694</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45694</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45694</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45694</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45694</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45694</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45694</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45694</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45694</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45694</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45694</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45694</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45694</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45694</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45694</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45694</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45694</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45694</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45694</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45694</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45694</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45694</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45694</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45694</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45694</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45694</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45694</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45694</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45694</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45694</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45694</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45694</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45694</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45694</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45694</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45694</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45694</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45694</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45694</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45694</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45694</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45694</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45694</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45694</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45694</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45694</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45694</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45694</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45694</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45694</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45694</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45694</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45694</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45694</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45694</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45694</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45694</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45694</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45694</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45694</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45694</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45694</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45694</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45694</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45694</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45694</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45694</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45694</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45694</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45694</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45694</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45694</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45694</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45694</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45694</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45694</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45694</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45694</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45694</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45694</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45694</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45694</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45694</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45694</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45694</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45694</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45694</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45694</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45694</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45694</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45694</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45694</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45694</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45694</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45694</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45694</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45694</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45694</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45694</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45694</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45694</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45694</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45694</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45694</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45694</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45694</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45694</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45694</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45694</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45694</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45694</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45694</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45694</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45694</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45694</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45694</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45694</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45694</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45694</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45694</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45694</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45694</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45694</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45694</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45694</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45694</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45694</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45694</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45694</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45694</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45694</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45694</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45694</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45694</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45694</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45694</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45694</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45694</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45694</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45694</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45694</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45694</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45694</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45694</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45694</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45694</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45694</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45694</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45694</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45694</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45694</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45694</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45694</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45694</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45694</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45694</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45694</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45694</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45694</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45694</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45694</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45694</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45694</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45694</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45694</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45694</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45694</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45694</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45694</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45694</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45694</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45694</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45694</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45694</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45694</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45694</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45694</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45694</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45694</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45694</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45694</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45694</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45694</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45694</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45694</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45694</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45694</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45694</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45694</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45694</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45694</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45694</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45694</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45694</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45694</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45694</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45694</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45694</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45694</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45694</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45694</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45694</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45694</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45694</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45694</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45694</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45694</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45694</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45694</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45694</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45694</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45694</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45694</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45694</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45694</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45694</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45694</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45694</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45694</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45694</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45694</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45694</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45694</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45694</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45694</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45694</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45694</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45694</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45694</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45694</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45694</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45694</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45694</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45694</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45694</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45694</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45694</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45694</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45694</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45694</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45694</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45694</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45694</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45694</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45694</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45694</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45694</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45694</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45694</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45694</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45694</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45694</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45694</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45694</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45694</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45694</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45694</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45694</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45694</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45694</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45694</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45694</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45694</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45694</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45694</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45694</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45694</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45694</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45694</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45694</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45694</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45694</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45694</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45694</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45694</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45694</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45694</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45694</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45694</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45694</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45694</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45694</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45694</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45694</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45694</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45694</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45694</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45694</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45694</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45694</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45694</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45694</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45694</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45694</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45694</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45694</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45694</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45694</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45694</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45694</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45694</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45694</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45694</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45694</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45694</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45694</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45694</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45694</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45694</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45694</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45694</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45694</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45694</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45694</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45694</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45694</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45694</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45694</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45694</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45694</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45694</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45694</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45694</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45694</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45694</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45694</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45694</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45694</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45694</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45694</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45694</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45694</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45694</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45694</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45694</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45694</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45694</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45694</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45694</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45694</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45694</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45694</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45694</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45694</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45694</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45694</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45694</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45694</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45694</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45694</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45694</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45694</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45694</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45694</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45694</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45694</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45694</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45694</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45694</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45694</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45694</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45694</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45694</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45694</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45694</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45694</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45694</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45694</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45694</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45694</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45694</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45694</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45694</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45694</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45694</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45694</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45694</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45694</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45694</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45694</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45694</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45694</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45694</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45694</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45694</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45694</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45694</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45694</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45694</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45694</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45694</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45694</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45694</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45694</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45694</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45694</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45694</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45694</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45694</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45694</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45694</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45694</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45694</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45694</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45694</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45694</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45694</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45694</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45694</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45694</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45694</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45694</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45694</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45694</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45694</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45694</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45694</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45694</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45694</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45694</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45694</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45694</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45694</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45694</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45694</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45694</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45694</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45694</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45694</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45694</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45694</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45694</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45694</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45694</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45694</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45694</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45694</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45694</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45694</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45694</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45694</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45694</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45694</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45694</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45694</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45694</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45694</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45694</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45694</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45694</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45694</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45694</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45694</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45694</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45694</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45694</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45694</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45694</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45694</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45694</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45694</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45694</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45694</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45694</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45694</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45694</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45694</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45694</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45694</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45694</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45694</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45694</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45694</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45694</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45694</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45694</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45694</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45694</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45694</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45694</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45694</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45694</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45694</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45694</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45694</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45694</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45694</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45694</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45694</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45694</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45694</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45694</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45694</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45694</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45694</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45694</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45694</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45694</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45694</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45694</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45694</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45694</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45694</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45694</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45694</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45694</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45694</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45694</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45694</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45694</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45694</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45694</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45694</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45694</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45694</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45694</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45694</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45694</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45694</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45694</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45694</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45694</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45694</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45694</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45694</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45694</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45694</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45694</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45694</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45694</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45694</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45694</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45694</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45694</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45694</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45694</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45694</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45694</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45694</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45694</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45694</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45694</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45694</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45694</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45694</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45694</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45694</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45694</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45694</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45694</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45694</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45694</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45694</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45694</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45694</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45694</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45694</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45694</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45694</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45694</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45694</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45694</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45694</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45694</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45694</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45694</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45694</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45694</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45694</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45694</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45694</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45694</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45694</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45694</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45694</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45694</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45694</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45694</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45694</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45694</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45694</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45694</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45694</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45694</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45694</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45694</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45694</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45694</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45694</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45694</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45694</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45694</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45694</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45694</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45694</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45694</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45694</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45694</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45694</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45694</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45694</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45694</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45694</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45694</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45694</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45694</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45694</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45694</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45694</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45694</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45694</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45694</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45694</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45694</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45694</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45694</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45694</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45694</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45694</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45694</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45694</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45694</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45694</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45694</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45694</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45694</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45694</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45694</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45694</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45694</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45694</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45694</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45694</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45694</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45694</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45694</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45694</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45694</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45694</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45694</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45694</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45694</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45694</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45694</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45694</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45694</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45694</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45694</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45694</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45694</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45694</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45694</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45694</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45694</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45694</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45694</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45694</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45694</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45694</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45694</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45694</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45694</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45694</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45694</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45694</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45694</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45694</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45694</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45694</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45694</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45694</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45694</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45694</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45694</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45694</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45694</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45694</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45694</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45694</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45694</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45694</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45694</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45694</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45694</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45694</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45694</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45694</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45694</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45694</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45694</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45694</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45694</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45694</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45694</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45694</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45694</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45694</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45694</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45694</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45694</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45694</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45694</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45694</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45694</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45694</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45694</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45694</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45694</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45694</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45694</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45694</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45694</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45694</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45694</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45694</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45694</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45694</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45694</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45694</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45694</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45694</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45694</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45694</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45694</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45694</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45694</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45694</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45694</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45694</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45694</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45694</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45694</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45694</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45694</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45694</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45694</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45694</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45694</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45694</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45694</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45694</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45694</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45694</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45694</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45694</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45694</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45694</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45694</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45694</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45694</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45694</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45694</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45694</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45694</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45694</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45694</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45694</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45694</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45694</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45694</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45694</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45694</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45694</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45694</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45694</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45694</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45694</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45694</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45694</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45694</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45694</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45694</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45694</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45694</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45694</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45694</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45694</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45694</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45694</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45694</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45694</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45694</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45694</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45694</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45694</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45694</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45694</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45694</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45694</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45694</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45694</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45694</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45694</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45694</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45694</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45694</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45694</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45694</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45694</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45694</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45694</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45694</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45694</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45694</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45694</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45694</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45694</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45694</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45694</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45694</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45694</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45694</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45694</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45694</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45694</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45694</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45694</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45694</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45694</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45694</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45694</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45694</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45694</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45694</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45694</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45694</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45694</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45694</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45694</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45694</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45694</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45694</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45694</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45694</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45694</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45694</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45694</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45694</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45694</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45694</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45694</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45694</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45694</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45694</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45694</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45694</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45694</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45694</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45694</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45694</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45694</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45694</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45694</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45694</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45694</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45694</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45694</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45694</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45694</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45694</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45694</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45694</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45694</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45694</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45694</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45694</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45694</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45694</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45694</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45694</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45694</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45694</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45694</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45694</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45694</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45694</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45694</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45694</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45694</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45694</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45694</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45694</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45694</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45694</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45694</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45694</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45694</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45694</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45694</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45694</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45694</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45694</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45694</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45694</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45694</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45694</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45694</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45694</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45694</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45694</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45694</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45694</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45694</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45694</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45694</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45694</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45694</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45694</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45694</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45694</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45694</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45694</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45694</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45694</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45694</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45694</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45694</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45694</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45694</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45694</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45694</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45694</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45694</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45694</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45694</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45694</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45694</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45694</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45694</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45694</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45694</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45694</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45694</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45694</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45694</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45694</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45694</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45694</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45694</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45694</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45694</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45694</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45694</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45694</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45694</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45694</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45694</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45694</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45694</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45694</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45694</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45694</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45694</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45694</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45694</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45694</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45694</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45694</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45694</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45694</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45694</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45694</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45694</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45694</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45694</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45694</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45694</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45694</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45694</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45694</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45694</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45694</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45694</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45694</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45694</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45694</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45694</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45694</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45694</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45694</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45694</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45694</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45694</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45694</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45694</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45694</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45694</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45694</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45694</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45694</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45694</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45694</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45694</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45694</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45694</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45694</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45694</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45694</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45694</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45694</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45694</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45694</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45694</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45694</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45694</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45694</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45694</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45694</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45694</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45694</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45694</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45694</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45694</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45694</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45694</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45694</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45694</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45694</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45694</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45694</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45694</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45694</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45694</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45694</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45694</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45694</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45694</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45694</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45694</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45694</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45694</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45694</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45694</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45694</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45694</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45694</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45694</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45694</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45694</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45694</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45694</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45694</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45694</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45694</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45694</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45694</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45694</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45694</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45694</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45694</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45694</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45694</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45694</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45694</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45694</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45694</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45694</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45694</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45694</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45694</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45694</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45694</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45694</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45694</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45694</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45694</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45694</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45694</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45694</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45694</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45694</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45694</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45694</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45694</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45694</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45694</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45694</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45694</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45694</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45694</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45694</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45694</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45694</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45694</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45694</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45694</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45694</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45694</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45694</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45694</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45694</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45694</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45694</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45694</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45694</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45694</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45694</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45694</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45694</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45694</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45694</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45694</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45694</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45694</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45694</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45694</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45694</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45694</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45694</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45694</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45694</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45694</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45694</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45694</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45694</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45694</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45694</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45694</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45694</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45694</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45694</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45694</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45694</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45694</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45694</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45694</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45694</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45694</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45694</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45694</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45694</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45694</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45694</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45694</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45694</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45694</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45694</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45694</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45694</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45694</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45694</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45694</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45694</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45694</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45694</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45694</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45694</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45694</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45694</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45694</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45694</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45694</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45694</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45694</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45694</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45694</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45694</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45694</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45694</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45694</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45694</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45694</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45694</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45694</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45694</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45694</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45694</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45694</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45694</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45694</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45694</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45694</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45694</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45694</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45694</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45694</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45694</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45694</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45694</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45694</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45694</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45694</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45694</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45694</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45694</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45694</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45694</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45694</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45694</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45694</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45694</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45694</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45694</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45694</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45694</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45694</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45694</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45694</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45694</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45694</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45694</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45694</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45694</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45694</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45694</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45694</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45694</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45694</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45694</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45694</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45694</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45694</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45694</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45694</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45694</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45694</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45694</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45694</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45694</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45694</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45694</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45694</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45694</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45694</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45694</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45694</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45694</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45694</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45694</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45694</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45694</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45694</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45694</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45694</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45694</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45694</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45694</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45694</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45694</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45694</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45694</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45694</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45694</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45694</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45694</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45694</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45694</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45694</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45694</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45694</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45694</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45694</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45694</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45694</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45694</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45694</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45694</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45694</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45694</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45694</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45694</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45694</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45694</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45694</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45694</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45694</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45694</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45694</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45694</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45694</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45694</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45694</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45694</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45694</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45694</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45694</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45694</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45694</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45694</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45694</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45694</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45694</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45694</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45694</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45694</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45694</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45694</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45694</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45694</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45694</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45694</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45694</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45694</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45694</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45694</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45694</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45694</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45694</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45694</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45694</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45694</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45694</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45694</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45694</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45694</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45694</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45694</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45694</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45694</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45694</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45694</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45694</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45694</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45694</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45694</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45694</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45694</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45694</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45694</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45694</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45694</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45694</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45694</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45694</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45694</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45694</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45694</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45694</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45694</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45694</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45694</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45694</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45694</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45694</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45694</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45694</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45694</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45694</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45694</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45694</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45694</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45694</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45694</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45694</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45694</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45694</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45694</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45694</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45694</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45694</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45694</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45694</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45694</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45694</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45694</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45694</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45694</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45694</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45694</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45694</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45694</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45694</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45694</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45694</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45694</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45694</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45694</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45694</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45694</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45694</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45694</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45694</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45694</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45694</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45694</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45694</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45694</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45694</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45694</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45694</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45694</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45694</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45694</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45694</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45694</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45694</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45694</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45694</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45694</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45694</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45694</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45694</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45694</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45694</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45694</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45694</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45694</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45694</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45694</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45694</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45694</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45694</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45694</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45694</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45694</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45694</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45694</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45694</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45694</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45694</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45694</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45694</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45694</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45694</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45694</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45694</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45694</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45694</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45694</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45694</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45694</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45694</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45694</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45694</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45694</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45694</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45694</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45694</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45694</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45694</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45694</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45694</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45694</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45694</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45694</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45694</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45694</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45694</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45694</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45694</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45694</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45694</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45694</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45694</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45694</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45694</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45694</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45694</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45694</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45694</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45694</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45694</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45694</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45694</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45694</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45694</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45694</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45694</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45694</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45694</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45694</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45694</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45694</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45694</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45694</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45694</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45694</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45694</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45694</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45694</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45694</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45694</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45694</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45694</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45694</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45694</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45694</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45694</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45694</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45694</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45694</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45694</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45694</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45694</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45694</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45694</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45694</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45694</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45694</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45694</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45694</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45694</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45694</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45694</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45694</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45694</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45694</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45694</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45694</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45694</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45694</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45694</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45694</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45694</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45694</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45694</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45694</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45694</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45694</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45694</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45694</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45694</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45694</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45694</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45694</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45694</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45694</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45694</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45694</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45694</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45694</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45694</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45694</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45694</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45694</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45694</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45694</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45694</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45694</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45694</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45694</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45694</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45694</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45694</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45694</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45694</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45694</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45694</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45694</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45694</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45694</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45694</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45694</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45694</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45694</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45694</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45694</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45694</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45694</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45694</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45694</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45694</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45694</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45694</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45694</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45694</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45694</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45694</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45694</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45694</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45694</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45694</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45694</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45694</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45694</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45694</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45694</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45694</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45694</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45694</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45694</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45694</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45694</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45694</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45694</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45694</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45694</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45694</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45694</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45694</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45694</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45694</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45694</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45694</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45694</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45694</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45694</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45694</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45694</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45694</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45694</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45694</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45694</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45694</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45694</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45694</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45694</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45694</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45694</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45694</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45694</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45694</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45694</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45694</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45694</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45694</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45694</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45694</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45694</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45694</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45694</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45694</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45694</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45694</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45694</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45694</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45694</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45694</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45694</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45694</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45694</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45694</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45694</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45694</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45694</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45694</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45694</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45694</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45694</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45694</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45694</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45694</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45694</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45694</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45694</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45694</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45694</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45694</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45694</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45694</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45694</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45694</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45694</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45694</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45694</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45694</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45694</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45694</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45694</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45694</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45694</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45694</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45694</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45694</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45694</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45694</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45694</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45694</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45694</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45694</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45694</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45694</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45694</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45694</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45694</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45694</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45694</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45694</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45694</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45694</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45694</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45694</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45694</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45694</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45694</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45694</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45694</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45694</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45694</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45694</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45694</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45694</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45694</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45694</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45694</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45694</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45694</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45694</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45694</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45694</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45694</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45694</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45694</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45694</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45694</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45694</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45694</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45694</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45694</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45694</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45694</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45694</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45694</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45694</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45694</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45694</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45694</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45694</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45694</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45694</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45694</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45694</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45694</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45694</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45694</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45694</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45694</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45694</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45694</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45694</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45694</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45694</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45694</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45694</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45694</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45694</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45694</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45694</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45694</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45694</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45694</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45694</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45694</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45694</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45694</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45694</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45694</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45694</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45694</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45694</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45694</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45694</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45694</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45694</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45694</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45694</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45694</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45694</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45694</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45694</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45694</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45694</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45694</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45694</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45694</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45694</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45694</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45694</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45694</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45694</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45694</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45694</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45694</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45694</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45694</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45694</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45694</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45694</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45694</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45694</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45694</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45694</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45694</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45694</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45694</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45694</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45694</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45694</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45694</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45694</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45694</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45694</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45694</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45694</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45694</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45694</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45694</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45694</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45694</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45694</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45694</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45694</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45694</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45694</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45694</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45694</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45694</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45694</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45694</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45694</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45694</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45694</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45694</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45694</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45694</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45694</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45694</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45694</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45694</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45694</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45694</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45694</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45694</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45694</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45694</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45694</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45694</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45694</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45694</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45694</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45694</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45694</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45694</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45694</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45694</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45694</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45694</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45694</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45694</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45694</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45694</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45694</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45694</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45694</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45694</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45694</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45694</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45694</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45694</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45694</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45694</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45694</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45694</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45694</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45694</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45694</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45694</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45694</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45694</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45694</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45694</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45694</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45694</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45694</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45694</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45694</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45694</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45694</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45694</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45694</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45694</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45694</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45694</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45694</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45694</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45694</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45694</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45694</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45694</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45694</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45694</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45694</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45694</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45694</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45694</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45694</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45694</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45694</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45694</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45694</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45694</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45694</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45694</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45694</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45694</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45694</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45694</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45694</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45694</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45694</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45694</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45694</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45694</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45694</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45694</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45694</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45694</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45694</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45694</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45694</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45694</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45694</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45694</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45694</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45694</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45694</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45694</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45694</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45694</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45694</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45694</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45694</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45694</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45694</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45694</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45694</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45694</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45694</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45694</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45694</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45694</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45694</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45694</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45694</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45694</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45694</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45694</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45694</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45694</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45694</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45694</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45694</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45694</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45694</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45694</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45694</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45694</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45694</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45694</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45694</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45694</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45694</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45694</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45694</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45694</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45694</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45694</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45694</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45694</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45694</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45694</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45694</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45694</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45694</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45694</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45694</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45694</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45694</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45694</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45694</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45694</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45694</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45694</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45694</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45694</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45694</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45694</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45694</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45694</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45694</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45694</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45694</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45694</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45694</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45694</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45694</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45694</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45694</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45694</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45694</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45694</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45694</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45694</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45694</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45694</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45694</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45694</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45694</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45694</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45694</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45694</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45694</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45694</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45694</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45694</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45694</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45694</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45694</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45694</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45694</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45694</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45694</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45694</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45694</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45694</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45694</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45694</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45694</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45694</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45694</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45694</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45694</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45694</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45694</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45694</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45694</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45694</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45694</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45694</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45694</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45694</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45694</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45694</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45694</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45694</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45694</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45694</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45694</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45694</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45694</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45694</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45694</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45694</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45694</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45694</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45694</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45694</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45694</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45694</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45694</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45694</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45694</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45694</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45694</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45694</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45694</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45694</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45694</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45694</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45694</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45694</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45694</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45694</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45694</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45694</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45694</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45694</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45694</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45694</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45694</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45694</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45694</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45694</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45694</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45694</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45694</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45694</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45694</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45694</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45694</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45694</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45694</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45694</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45694</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45694</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45694</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45694</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45694</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45694</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45694</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45694</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45694</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45694</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45694</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45694</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45694</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45694</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45694</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45694</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45694</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45694</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45694</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45694</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45694</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45694</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45694</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45694</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45694</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45694</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45694</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45694</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45694</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45694</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45694</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45694</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45694</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45694</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45694</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45694</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45694</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45694</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45694</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45694</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45694</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45694</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45694</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45694</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45694</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45694</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45694</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45694</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45694</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45694</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45694</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45694</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45694</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45694</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45694</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45694</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45694</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45694</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45694</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45694</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45694</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45694</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45694</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45694</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45694</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45694</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45694</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45694</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45694</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45694</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45694</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45694</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45694</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45694</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45694</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45694</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45694</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45694</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45694</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45694</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45694</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45694</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45694</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45694</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45694</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45694</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45694</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45694</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45694</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45694</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45694</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45694</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45694</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45694</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45694</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45694</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45694</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45694</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45694</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45694</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45694</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45694</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45694</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45694</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45694</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45694</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45694</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45694</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45694</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45694</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45694</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45694</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45694</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45694</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45694</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45694</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45694</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45694</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45694</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45694</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45694</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45694</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45694</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45694</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45694</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45694</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45694</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45694</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45694</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45694</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45694</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45694</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45694</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45694</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45694</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45694</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45694</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45694</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45694</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45694</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45694</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45694</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45694</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45694</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45694</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45694</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45694</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45694</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45694</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45694</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45694</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45694</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45694</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45694</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45694</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45694</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45694</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45694</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45694</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45694</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45694</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45694</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45694</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45694</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45694</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45694</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45694</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45694</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45694</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45694</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45694</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45694</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45694</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45694</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45694</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45694</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45694</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45694</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45694</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45694</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45694</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45694</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45694</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45694</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45694</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45694</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45694</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45694</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45694</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45694</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45694</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45694</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45694</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45694</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45694</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45694</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45694</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45694</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45694</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45694</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45694</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45694</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45694</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45694</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45694</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45694</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45694</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45694</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45694</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45694</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45694</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45694</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45694</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45694</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45694</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45694</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45694</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45694</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45694</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45694</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45694</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45694</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45694</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45694</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45694</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45694</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45694</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45694</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45694</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45694</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45694</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45694</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45694</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45694</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45694</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45694</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45694</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45694</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45694</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45694</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45694</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45694</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45694</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45694</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45694</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45694</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45694</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45694</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45694</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45694</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45694</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45694</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45694</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45694</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45694</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45694</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45694</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45694</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45694</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45694</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45694</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45694</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45694</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45694</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45694</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45694</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45694</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45694</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45694</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45694</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45694</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45694</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45694</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45694</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45694</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45694</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45694</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45694</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45694</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45694</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45694</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45694</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45694</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45694</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45694</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45694</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45694</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45694</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45694</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45694</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45694</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45694</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45694</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45694</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45694</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45694</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45694</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45694</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45694</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45694</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45694</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45694</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45694</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45694</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45694</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45694</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45694</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45694</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45694</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45694</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45694</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45694</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45694</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45694</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45694</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45694</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45694</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45694</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45694</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45694</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45694</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45694</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45694</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45694</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45694</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45694</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45694</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45694</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45694</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45694</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45694</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45694</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45694</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45694</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45694</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45694</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45694</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45694</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45694</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45694</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45694</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45694</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45694</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45694</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45694</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45694</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45694</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45694</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45694</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45694</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45694</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45694</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45694</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45694</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45694</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45694</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45694</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45694</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45694</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45694</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45694</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45694</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45694</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45694</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45694</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45694</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45694</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45694</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45694</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45694</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45694</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45694</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45694</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45694</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45694</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45694</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45694</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45694</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45694</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45694</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45694</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45694</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45694</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45694</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45694</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45694</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45694</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45694</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45694</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45694</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45694</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45694</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45694</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45694</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45694</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45694</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45694</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45694</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45694</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45694</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45694</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45694</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45694</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45694</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45694</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45694</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45694</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45694</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45694</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45694</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45694</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45694</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45694</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45694</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45694</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45694</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45694</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45694</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45694</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45694</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45694</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45694</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45694</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45694</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45694</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45694</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45694</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45694</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45694</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45694</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45694</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45694</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45694</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45694</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45694</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45694</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45694</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45694</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45694</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45694</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45694</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45694</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45694</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45694</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45694</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45694</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45694</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45694</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45694</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45694</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45694</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45694</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45694</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45694</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45694</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45694</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45694</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45694</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45694</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45694</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45694</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45694</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45694</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45694</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45694</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45694</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45694</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45694</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45694</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45694</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45694</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45694</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45694</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45694</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45694</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45694</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45694</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45694</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45694</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45694</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45694</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45694</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45694</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45694</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45694</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45694</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45694</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45694</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45694</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45694</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45694</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45694</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45694</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45694</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45694</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45694</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45694</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45694</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45694</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45694</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45694</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45694</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45694</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45694</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45694</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45694</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45694</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45694</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45694</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45694</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45694</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45694</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45694</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45694</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45694</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45694</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45694</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45694</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45694</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45694</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45694</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45694</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45694</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45694</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45694</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45694</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45694</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45694</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45694</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45694</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45694</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45694</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45694</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45694</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45694</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45694</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45694</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45694</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45694</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45694</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45694</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45694</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45694</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45694</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45694</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45694</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45694</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45694</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45694</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45694</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45694</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45694</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45694</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45694</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45694</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45694</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45694</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45694</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45694</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45694</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45694</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45694</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45694</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45694</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45694</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45694</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45694</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45694</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45694</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45694</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45694</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45694</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45694</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45694</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45694</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45694</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45694</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45694</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45694</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45694</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45694</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45694</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45694</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45694</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45694</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45694</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45694</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45694</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45694</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45694</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45694</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45694</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45694</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45694</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45694</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45694</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45694</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45694</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45694</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45694</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45694</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45694</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45694</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45694</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45694</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45694</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45694</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45694</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45694</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45694</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45694</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45694</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45694</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45694</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45694</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45694</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45694</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45694</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45694</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45694</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45694</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45694</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45694</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45694</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45694</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45694</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45694</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45694</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45694</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45694</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45694</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45694</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45694</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45694</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45694</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45694</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45694</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45694</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45694</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45694</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45694</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45694</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45694</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45694</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45694</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45694</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45694</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45694</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45694</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45694</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45694</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45694</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45694</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45694</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45694</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45694</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45694</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45694</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45694</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45694</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45694</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45694</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45694</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45694</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45694</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45694</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45694</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45694</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45694</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45694</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45694</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45694</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45694</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45694</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45694</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45694</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45694</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45694</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45694</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45694</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45694</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45694</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45694</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45694</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45694</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45694</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45694</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45694</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45694</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45694</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45694</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45694</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45694</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45694</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45694</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45694</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45694</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45694</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45694</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45694</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45694</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45694</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45694</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45694</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45694</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45694</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45694</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45694</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45694</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45694</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45694</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45694</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45694</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45694</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45694</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45694</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45694</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45694</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45694</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45694</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45694</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45694</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45694</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45694</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45694</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45694</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45694</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45694</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45694</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45694</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45694</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45694</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45694</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45694</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45694</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45694</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45694</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45694</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45694</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45694</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45694</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45694</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45694</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45694</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45694</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45694</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45694</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45694</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45694</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45694</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45694</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45694</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45694</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45694</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45694</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45694</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45694</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45694</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45694</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45694</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45694</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45694</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45694</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45694</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45694</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45694</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45694</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45694</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45694</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45694</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45694</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45694</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45694</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45694</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45694</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45694</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45694</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45694</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45694</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45694</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45694</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45694</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45694</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45694</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45694</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45694</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45694</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45694</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45694</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45694</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45694</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45694</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45694</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45694</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45694</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45694</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45694</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45694</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45694</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45694</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45694</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45694</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45694</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45694</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45694</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45694</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45694</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45694</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45694</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45694</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45694</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45694</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45694</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45694</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45694</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45694</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45694</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45694</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45694</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45694</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45694</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45694</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45694</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45694</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45694</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45694</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45694</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45694</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45694</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45694</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45694</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45694</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45694</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45694</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45694</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45694</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45694</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45694</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45694</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45694</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45694</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45694</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45694</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45694</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45694</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45694</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45694</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45694</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45694</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45694</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45694</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45694</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45694</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45694</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45694</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45694</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45694</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45694</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45694</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45694</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45694</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45694</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45694</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45694</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45694</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45694</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45694</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45694</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45694</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45694</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45694</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45694</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45694</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45694</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45694</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45694</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45694</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45694</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45694</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45694</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45694</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45694</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45694</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45694</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45694</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45694</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45694</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45694</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45694</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45694</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45694</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45694</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45694</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45694</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45694</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45694</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45694</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45694</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45694</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45694</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45694</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45694</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45694</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45694</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45694</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45694</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45694</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45694</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45694</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45694</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45694</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45694</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45694</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45694</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45694</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45694</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45694</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45694</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45694</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45694</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45694</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45694</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45694</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45694</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45694</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45694</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45694</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45694</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45694</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45694</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45694</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45694</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45694</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45694</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45694</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45694</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45694</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45694</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45694</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45694</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45694</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45694</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45694</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45694</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45694</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45694</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45694</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45694</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45694</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45694</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45694</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45694</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45694</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45694</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45694</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45694</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45694</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45694</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45694</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45694</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45694</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45694</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45694</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45694</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45694</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45694</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45694</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45694</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45694</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45694</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45694</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45694</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45694</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45694</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45694</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45694</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45694</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45694</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45694</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45694</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45694</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45694</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45694</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45694</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45694</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45694</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45694</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45694</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45694</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45694</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45694</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45694</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45694</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45694</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45694</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45694</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45694</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45694</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45694</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45694</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45694</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45694</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45694</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45694</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45694</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45694</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45694</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45694</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45694</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45694</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45694</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45694</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45694</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45694</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45694</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45694</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45694</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45694</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45694</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45694</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45694</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45694</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45694</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45694</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45694</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45694</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45694</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45694</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45694</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45694</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45694</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45694</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45694</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45694</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45694</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45694</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45694</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45694</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45694</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45694</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45694</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45694</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45694</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45694</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45694</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45694</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45694</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45694</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45694</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45694</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45694</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45694</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45694</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45694</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45694</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45694</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45694</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45694</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45694</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45694</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45694</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45694</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45694</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45694</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45694</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45694</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45694</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45694</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45694</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45694</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45694</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45694</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45694</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45694</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45694</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45694</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45694</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45694</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45694</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45694</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45694</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45694</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45694</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45694</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45694</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45694</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45694</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45694</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45694</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45694</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45694</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45694</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45694</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45694</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45694</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45694</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45694</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45694</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45694</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45694</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45694</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45694</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45694</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45694</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45694</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45694</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45694</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45694</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45694</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45694</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45694</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45694</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45694</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45694</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45694</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45694</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45694</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45694</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45694</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45694</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45694</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45694</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45694</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45694</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45694</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45694</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45694</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45694</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45694</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45694</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45694</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45694</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45694</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45694</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45694</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45694</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45694</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45694</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45694</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45694</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45694</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45694</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45694</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45694</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45694</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45694</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45694</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45694</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45694</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45694</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45694</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45694</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45694</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45694</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45694</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45694</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45694</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45694</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45694</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45694</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45694</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45694</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45694</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45694</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45694</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45694</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45694</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45694</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45694</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45694</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45694</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45694</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45694</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45694</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45694</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45694</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45694</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45694</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45694</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45694</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45694</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45694</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45694</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45694</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45694</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45694</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45694</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45694</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45694</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45694</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45694</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45694</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45694</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45694</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45694</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45694</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45694</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45694</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45694</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45694</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45694</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45694</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45694</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45694</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45694</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45694</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45694</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45694</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45694</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45694</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45694</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45694</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45694</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45694</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45694</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45694</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45694</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45694</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45694</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45694</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45694</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45694</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45694</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45694</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45694</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45694</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45694</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45694</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45694</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45694</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45694</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45694</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45694</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45694</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45694</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45694</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45694</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45694</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45694</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45694</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45694</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45694</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45694</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45694</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45694</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45694</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45694</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45694</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45694</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45694</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45694</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45694</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45694</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45694</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45694</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45694</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45694</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45694</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45694</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45694</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45694</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45694</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45694</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45694</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45694</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45694</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45694</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45694</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45694</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45694</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45694</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45694</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45694</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45694</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45694</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45694</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45694</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45694</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45694</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45694</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45694</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45694</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45694</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45694</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45694</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45694</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45694</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45694</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45694</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45694</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45694</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45694</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45694</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45694</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45694</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45694</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45694</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45694</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45694</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45694</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45694</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45694</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45694</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45694</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45694</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45694</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45694</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45694</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45694</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45694</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45694</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45694</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45694</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45694</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45694</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45694</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45694</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45694</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45694</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45694</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45694</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45694</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45694</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45694</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45694</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45694</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45694</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45694</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45694</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45694</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45694</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45694</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45694</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45694</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45694</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45694</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45694</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45694</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45694</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45694</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45694</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45694</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45694</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45694</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45694</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45694</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45694</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45694</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45694</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45694</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45694</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45694</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45694</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45694</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45694</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45694</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45694</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45694</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45694</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45694</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45694</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45694</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45694</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45694</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45694</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45694</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45694</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45694</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45694</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45694</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45694</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45694</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45694</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45694</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45694</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45694</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45694</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45694</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45694</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45694</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45694</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45694</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45694</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45694</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45694</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45694</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45694</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45694</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45694</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45694</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45694</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45694</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45694</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45694</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45694</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45694</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45694</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45694</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45694</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45694</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45694</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45694</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45694</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45694</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45694</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45694</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45694</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45694</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45694</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45694</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45694</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45694</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45694</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45694</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45694</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45694</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45694</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45694</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45694</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45694</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45694</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45694</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45694</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45694</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45694</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45694</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45694</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45694</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45694</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45694</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45694</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45694</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45694</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45694</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45694</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45694</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45694</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45694</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45694</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45694</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45694</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45694</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45694</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45694</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45694</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45694</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45694</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45694</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45694</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45694</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45694</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45694</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45694</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45694</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45694</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45694</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45694</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45694</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45694</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45694</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45694</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45694</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45694</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45694</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45694</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45694</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45694</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45694</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45694</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45694</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45694</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45694</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45694</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652-2025</t>
        </is>
      </c>
      <c r="B3950" s="1" t="n">
        <v>45664</v>
      </c>
      <c r="C3950" s="1" t="n">
        <v>45694</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45694</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45694</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1283-2025</t>
        </is>
      </c>
      <c r="B3953" s="1" t="n">
        <v>45667</v>
      </c>
      <c r="C3953" s="1" t="n">
        <v>45694</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1360-2025</t>
        </is>
      </c>
      <c r="B3954" s="1" t="n">
        <v>45667</v>
      </c>
      <c r="C3954" s="1" t="n">
        <v>45694</v>
      </c>
      <c r="D3954" t="inlineStr">
        <is>
          <t>STOCKHOLMS LÄN</t>
        </is>
      </c>
      <c r="E3954" t="inlineStr">
        <is>
          <t>NORRTÄLJE</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45694</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45694</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45694</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45694</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45694</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45694</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45694</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45694</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45694</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45694</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45694</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45694</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45694</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45694</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45694</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45694</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45694</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45694</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45694</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45694</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3512-2025</t>
        </is>
      </c>
      <c r="B3975" s="1" t="n">
        <v>45680</v>
      </c>
      <c r="C3975" s="1" t="n">
        <v>45694</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45694</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45694</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45694</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45694</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45694</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45694</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45694</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45694</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45694</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45694</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4498-2025</t>
        </is>
      </c>
      <c r="B3986" s="1" t="n">
        <v>45686</v>
      </c>
      <c r="C3986" s="1" t="n">
        <v>45694</v>
      </c>
      <c r="D3986" t="inlineStr">
        <is>
          <t>STOCKHOLMS LÄN</t>
        </is>
      </c>
      <c r="E3986" t="inlineStr">
        <is>
          <t>NORRTÄLJE</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4512-2025</t>
        </is>
      </c>
      <c r="B3987" s="1" t="n">
        <v>45686</v>
      </c>
      <c r="C3987" s="1" t="n">
        <v>45694</v>
      </c>
      <c r="D3987" t="inlineStr">
        <is>
          <t>STOCKHOLMS LÄN</t>
        </is>
      </c>
      <c r="E3987" t="inlineStr">
        <is>
          <t>VALLENTUNA</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45694</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4415-2025</t>
        </is>
      </c>
      <c r="B3989" s="1" t="n">
        <v>45686</v>
      </c>
      <c r="C3989" s="1" t="n">
        <v>45694</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4350-2025</t>
        </is>
      </c>
      <c r="B3990" s="1" t="n">
        <v>45686</v>
      </c>
      <c r="C3990" s="1" t="n">
        <v>45694</v>
      </c>
      <c r="D3990" t="inlineStr">
        <is>
          <t>STOCKHOLMS LÄN</t>
        </is>
      </c>
      <c r="E3990" t="inlineStr">
        <is>
          <t>NORRTÄLJE</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45694</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45694</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45694</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45694</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45694</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5286-2025</t>
        </is>
      </c>
      <c r="B3996" s="1" t="n">
        <v>45692</v>
      </c>
      <c r="C3996" s="1" t="n">
        <v>45694</v>
      </c>
      <c r="D3996" t="inlineStr">
        <is>
          <t>STOCKHOLMS LÄN</t>
        </is>
      </c>
      <c r="E3996" t="inlineStr">
        <is>
          <t>ÖSTERÅKER</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45694</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c r="A3998" t="inlineStr">
        <is>
          <t>A 5389-2025</t>
        </is>
      </c>
      <c r="B3998" s="1" t="n">
        <v>45692</v>
      </c>
      <c r="C3998" s="1" t="n">
        <v>45694</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2025-02-06T16:42:35Z</dcterms:created>
  <dcterms:modified xmlns:dcterms="http://purl.org/dc/terms/" xmlns:xsi="http://www.w3.org/2001/XMLSchema-instance" xsi:type="dcterms:W3CDTF">2025-02-06T16:42:38Z</dcterms:modified>
</cp:coreProperties>
</file>
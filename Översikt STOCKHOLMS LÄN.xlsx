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45672</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52356-2023</t>
        </is>
      </c>
      <c r="B6" s="1" t="n">
        <v>45224</v>
      </c>
      <c r="C6" s="1" t="n">
        <v>45672</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45672</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45672</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45672</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45672</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45672</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45672</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45672</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45672</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45672</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45672</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45672</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45672</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45672</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45672</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45672</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45672</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45672</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45672</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45672</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45672</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45672</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45672</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45672</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45672</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45672</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45672</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45672</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45672</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45672</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45672</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45672</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45672</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45672</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45672</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45672</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45672</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45672</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45672</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45672</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45672</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45672</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45672</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45672</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45672</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45672</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45672</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45672</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45672</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45672</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45672</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45672</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45672</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45672</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45672</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45672</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45672</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45672</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45672</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45672</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45672</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45672</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45672</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45672</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45672</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45672</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45672</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45672</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45672</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45672</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45672</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45672</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45672</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45672</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45672</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45672</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45672</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45672</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45672</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45672</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45672</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45672</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45672</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45672</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45672</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45672</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45672</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45672</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45672</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45672</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45672</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45672</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45672</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45672</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45672</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45672</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45672</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45672</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45672</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45672</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45672</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45672</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45672</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45672</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45672</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45672</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45672</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45672</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45672</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45672</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45672</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45672</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45672</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45672</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45672</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45672</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45672</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45672</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45672</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45672</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45672</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45672</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45672</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45672</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45672</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45672</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45672</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45672</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45672</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45672</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45672</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45672</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45672</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45672</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45672</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45672</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45672</v>
      </c>
      <c r="D161" t="inlineStr">
        <is>
          <t>STOCKHOLMS LÄN</t>
        </is>
      </c>
      <c r="E161" t="inlineStr">
        <is>
          <t>ÖSTERÅKER</t>
        </is>
      </c>
      <c r="F161" t="inlineStr">
        <is>
          <t>Kommuner</t>
        </is>
      </c>
      <c r="G161" t="n">
        <v>5.3</v>
      </c>
      <c r="H161" t="n">
        <v>5</v>
      </c>
      <c r="I161" t="n">
        <v>0</v>
      </c>
      <c r="J161" t="n">
        <v>1</v>
      </c>
      <c r="K161" t="n">
        <v>2</v>
      </c>
      <c r="L161" t="n">
        <v>1</v>
      </c>
      <c r="M161" t="n">
        <v>0</v>
      </c>
      <c r="N161" t="n">
        <v>0</v>
      </c>
      <c r="O161" t="n">
        <v>4</v>
      </c>
      <c r="P161" t="n">
        <v>3</v>
      </c>
      <c r="Q161" t="n">
        <v>5</v>
      </c>
      <c r="R161" s="2" t="inlineStr">
        <is>
          <t>Grönfink
Stare
Tallbit
Svartvit flugsnappare
Gråkråka</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45672</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45672</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45672</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45672</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45672</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45672</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45672</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45672</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45672</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45672</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45672</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45672</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45672</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45672</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45672</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45672</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45672</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45672</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45672</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45672</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45672</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45672</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28-2025</t>
        </is>
      </c>
      <c r="B184" s="1" t="n">
        <v>45659</v>
      </c>
      <c r="C184" s="1" t="n">
        <v>45672</v>
      </c>
      <c r="D184" t="inlineStr">
        <is>
          <t>STOCKHOLMS LÄN</t>
        </is>
      </c>
      <c r="E184" t="inlineStr">
        <is>
          <t>BOTKYRKA</t>
        </is>
      </c>
      <c r="G184" t="n">
        <v>4.1</v>
      </c>
      <c r="H184" t="n">
        <v>1</v>
      </c>
      <c r="I184" t="n">
        <v>2</v>
      </c>
      <c r="J184" t="n">
        <v>2</v>
      </c>
      <c r="K184" t="n">
        <v>0</v>
      </c>
      <c r="L184" t="n">
        <v>0</v>
      </c>
      <c r="M184" t="n">
        <v>0</v>
      </c>
      <c r="N184" t="n">
        <v>0</v>
      </c>
      <c r="O184" t="n">
        <v>2</v>
      </c>
      <c r="P184" t="n">
        <v>0</v>
      </c>
      <c r="Q184" t="n">
        <v>4</v>
      </c>
      <c r="R184" s="2" t="inlineStr">
        <is>
          <t>Motaggsvamp
Spillkråka
Blomkålssvamp
Granbarkgnagare</t>
        </is>
      </c>
      <c r="S184">
        <f>HYPERLINK("https://klasma.github.io/Logging_0127/artfynd/A 28-2025 artfynd.xlsx", "A 28-2025")</f>
        <v/>
      </c>
      <c r="T184">
        <f>HYPERLINK("https://klasma.github.io/Logging_0127/kartor/A 28-2025 karta.png", "A 28-2025")</f>
        <v/>
      </c>
      <c r="V184">
        <f>HYPERLINK("https://klasma.github.io/Logging_0127/klagomål/A 28-2025 FSC-klagomål.docx", "A 28-2025")</f>
        <v/>
      </c>
      <c r="W184">
        <f>HYPERLINK("https://klasma.github.io/Logging_0127/klagomålsmail/A 28-2025 FSC-klagomål mail.docx", "A 28-2025")</f>
        <v/>
      </c>
      <c r="X184">
        <f>HYPERLINK("https://klasma.github.io/Logging_0127/tillsyn/A 28-2025 tillsynsbegäran.docx", "A 28-2025")</f>
        <v/>
      </c>
      <c r="Y184">
        <f>HYPERLINK("https://klasma.github.io/Logging_0127/tillsynsmail/A 28-2025 tillsynsbegäran mail.docx", "A 28-2025")</f>
        <v/>
      </c>
      <c r="Z184">
        <f>HYPERLINK("https://klasma.github.io/Logging_0127/fåglar/A 28-2025 prioriterade fågelarter.docx", "A 28-2025")</f>
        <v/>
      </c>
    </row>
    <row r="185" ht="15" customHeight="1">
      <c r="A185" t="inlineStr">
        <is>
          <t>A 19617-2019</t>
        </is>
      </c>
      <c r="B185" s="1" t="n">
        <v>43566</v>
      </c>
      <c r="C185" s="1" t="n">
        <v>45672</v>
      </c>
      <c r="D185" t="inlineStr">
        <is>
          <t>STOCKHOLMS LÄN</t>
        </is>
      </c>
      <c r="E185" t="inlineStr">
        <is>
          <t>NORRTÄLJE</t>
        </is>
      </c>
      <c r="G185" t="n">
        <v>16.1</v>
      </c>
      <c r="H185" t="n">
        <v>2</v>
      </c>
      <c r="I185" t="n">
        <v>1</v>
      </c>
      <c r="J185" t="n">
        <v>1</v>
      </c>
      <c r="K185" t="n">
        <v>0</v>
      </c>
      <c r="L185" t="n">
        <v>0</v>
      </c>
      <c r="M185" t="n">
        <v>0</v>
      </c>
      <c r="N185" t="n">
        <v>0</v>
      </c>
      <c r="O185" t="n">
        <v>1</v>
      </c>
      <c r="P185" t="n">
        <v>0</v>
      </c>
      <c r="Q185" t="n">
        <v>3</v>
      </c>
      <c r="R185" s="2" t="inlineStr">
        <is>
          <t>Havsörn
Myskbock
Blåsippa</t>
        </is>
      </c>
      <c r="S185">
        <f>HYPERLINK("https://klasma.github.io/Logging_0188/artfynd/A 19617-2019 artfynd.xlsx", "A 19617-2019")</f>
        <v/>
      </c>
      <c r="T185">
        <f>HYPERLINK("https://klasma.github.io/Logging_0188/kartor/A 19617-2019 karta.png", "A 19617-2019")</f>
        <v/>
      </c>
      <c r="V185">
        <f>HYPERLINK("https://klasma.github.io/Logging_0188/klagomål/A 19617-2019 FSC-klagomål.docx", "A 19617-2019")</f>
        <v/>
      </c>
      <c r="W185">
        <f>HYPERLINK("https://klasma.github.io/Logging_0188/klagomålsmail/A 19617-2019 FSC-klagomål mail.docx", "A 19617-2019")</f>
        <v/>
      </c>
      <c r="X185">
        <f>HYPERLINK("https://klasma.github.io/Logging_0188/tillsyn/A 19617-2019 tillsynsbegäran.docx", "A 19617-2019")</f>
        <v/>
      </c>
      <c r="Y185">
        <f>HYPERLINK("https://klasma.github.io/Logging_0188/tillsynsmail/A 19617-2019 tillsynsbegäran mail.docx", "A 19617-2019")</f>
        <v/>
      </c>
      <c r="Z185">
        <f>HYPERLINK("https://klasma.github.io/Logging_0188/fåglar/A 19617-2019 prioriterade fågelarter.docx", "A 19617-2019")</f>
        <v/>
      </c>
    </row>
    <row r="186" ht="15" customHeight="1">
      <c r="A186" t="inlineStr">
        <is>
          <t>A 59655-2019</t>
        </is>
      </c>
      <c r="B186" s="1" t="n">
        <v>43776</v>
      </c>
      <c r="C186" s="1" t="n">
        <v>45672</v>
      </c>
      <c r="D186" t="inlineStr">
        <is>
          <t>STOCKHOLMS LÄN</t>
        </is>
      </c>
      <c r="E186" t="inlineStr">
        <is>
          <t>SÖDERTÄLJE</t>
        </is>
      </c>
      <c r="G186" t="n">
        <v>2.2</v>
      </c>
      <c r="H186" t="n">
        <v>0</v>
      </c>
      <c r="I186" t="n">
        <v>3</v>
      </c>
      <c r="J186" t="n">
        <v>0</v>
      </c>
      <c r="K186" t="n">
        <v>0</v>
      </c>
      <c r="L186" t="n">
        <v>0</v>
      </c>
      <c r="M186" t="n">
        <v>0</v>
      </c>
      <c r="N186" t="n">
        <v>0</v>
      </c>
      <c r="O186" t="n">
        <v>0</v>
      </c>
      <c r="P186" t="n">
        <v>0</v>
      </c>
      <c r="Q186" t="n">
        <v>3</v>
      </c>
      <c r="R186" s="2" t="inlineStr">
        <is>
          <t>Fjällig taggsvamp s.str.
Guldkremla
Skarp dropptaggsvamp</t>
        </is>
      </c>
      <c r="S186">
        <f>HYPERLINK("https://klasma.github.io/Logging_0181/artfynd/A 59655-2019 artfynd.xlsx", "A 59655-2019")</f>
        <v/>
      </c>
      <c r="T186">
        <f>HYPERLINK("https://klasma.github.io/Logging_0181/kartor/A 59655-2019 karta.png", "A 59655-2019")</f>
        <v/>
      </c>
      <c r="V186">
        <f>HYPERLINK("https://klasma.github.io/Logging_0181/klagomål/A 59655-2019 FSC-klagomål.docx", "A 59655-2019")</f>
        <v/>
      </c>
      <c r="W186">
        <f>HYPERLINK("https://klasma.github.io/Logging_0181/klagomålsmail/A 59655-2019 FSC-klagomål mail.docx", "A 59655-2019")</f>
        <v/>
      </c>
      <c r="X186">
        <f>HYPERLINK("https://klasma.github.io/Logging_0181/tillsyn/A 59655-2019 tillsynsbegäran.docx", "A 59655-2019")</f>
        <v/>
      </c>
      <c r="Y186">
        <f>HYPERLINK("https://klasma.github.io/Logging_0181/tillsynsmail/A 59655-2019 tillsynsbegäran mail.docx", "A 59655-2019")</f>
        <v/>
      </c>
    </row>
    <row r="187" ht="15" customHeight="1">
      <c r="A187" t="inlineStr">
        <is>
          <t>A 13892-2020</t>
        </is>
      </c>
      <c r="B187" s="1" t="n">
        <v>43906</v>
      </c>
      <c r="C187" s="1" t="n">
        <v>45672</v>
      </c>
      <c r="D187" t="inlineStr">
        <is>
          <t>STOCKHOLMS LÄN</t>
        </is>
      </c>
      <c r="E187" t="inlineStr">
        <is>
          <t>HANINGE</t>
        </is>
      </c>
      <c r="G187" t="n">
        <v>2.7</v>
      </c>
      <c r="H187" t="n">
        <v>0</v>
      </c>
      <c r="I187" t="n">
        <v>1</v>
      </c>
      <c r="J187" t="n">
        <v>2</v>
      </c>
      <c r="K187" t="n">
        <v>0</v>
      </c>
      <c r="L187" t="n">
        <v>0</v>
      </c>
      <c r="M187" t="n">
        <v>0</v>
      </c>
      <c r="N187" t="n">
        <v>0</v>
      </c>
      <c r="O187" t="n">
        <v>2</v>
      </c>
      <c r="P187" t="n">
        <v>0</v>
      </c>
      <c r="Q187" t="n">
        <v>3</v>
      </c>
      <c r="R187" s="2" t="inlineStr">
        <is>
          <t>Ekticka
Ullticka
Fjällig taggsvamp s.str.</t>
        </is>
      </c>
      <c r="S187">
        <f>HYPERLINK("https://klasma.github.io/Logging_0136/artfynd/A 13892-2020 artfynd.xlsx", "A 13892-2020")</f>
        <v/>
      </c>
      <c r="T187">
        <f>HYPERLINK("https://klasma.github.io/Logging_0136/kartor/A 13892-2020 karta.png", "A 13892-2020")</f>
        <v/>
      </c>
      <c r="V187">
        <f>HYPERLINK("https://klasma.github.io/Logging_0136/klagomål/A 13892-2020 FSC-klagomål.docx", "A 13892-2020")</f>
        <v/>
      </c>
      <c r="W187">
        <f>HYPERLINK("https://klasma.github.io/Logging_0136/klagomålsmail/A 13892-2020 FSC-klagomål mail.docx", "A 13892-2020")</f>
        <v/>
      </c>
      <c r="X187">
        <f>HYPERLINK("https://klasma.github.io/Logging_0136/tillsyn/A 13892-2020 tillsynsbegäran.docx", "A 13892-2020")</f>
        <v/>
      </c>
      <c r="Y187">
        <f>HYPERLINK("https://klasma.github.io/Logging_0136/tillsynsmail/A 13892-2020 tillsynsbegäran mail.docx", "A 13892-2020")</f>
        <v/>
      </c>
    </row>
    <row r="188" ht="15" customHeight="1">
      <c r="A188" t="inlineStr">
        <is>
          <t>A 20571-2020</t>
        </is>
      </c>
      <c r="B188" s="1" t="n">
        <v>43948</v>
      </c>
      <c r="C188" s="1" t="n">
        <v>45672</v>
      </c>
      <c r="D188" t="inlineStr">
        <is>
          <t>STOCKHOLMS LÄN</t>
        </is>
      </c>
      <c r="E188" t="inlineStr">
        <is>
          <t>SIGTUNA</t>
        </is>
      </c>
      <c r="G188" t="n">
        <v>2.9</v>
      </c>
      <c r="H188" t="n">
        <v>3</v>
      </c>
      <c r="I188" t="n">
        <v>0</v>
      </c>
      <c r="J188" t="n">
        <v>1</v>
      </c>
      <c r="K188" t="n">
        <v>0</v>
      </c>
      <c r="L188" t="n">
        <v>0</v>
      </c>
      <c r="M188" t="n">
        <v>0</v>
      </c>
      <c r="N188" t="n">
        <v>0</v>
      </c>
      <c r="O188" t="n">
        <v>1</v>
      </c>
      <c r="P188" t="n">
        <v>0</v>
      </c>
      <c r="Q188" t="n">
        <v>3</v>
      </c>
      <c r="R188" s="2" t="inlineStr">
        <is>
          <t>Nordfladdermus
Dvärgpipistrell
Större brunfladdermus</t>
        </is>
      </c>
      <c r="S188">
        <f>HYPERLINK("https://klasma.github.io/Logging_0191/artfynd/A 20571-2020 artfynd.xlsx", "A 20571-2020")</f>
        <v/>
      </c>
      <c r="T188">
        <f>HYPERLINK("https://klasma.github.io/Logging_0191/kartor/A 20571-2020 karta.png", "A 20571-2020")</f>
        <v/>
      </c>
      <c r="V188">
        <f>HYPERLINK("https://klasma.github.io/Logging_0191/klagomål/A 20571-2020 FSC-klagomål.docx", "A 20571-2020")</f>
        <v/>
      </c>
      <c r="W188">
        <f>HYPERLINK("https://klasma.github.io/Logging_0191/klagomålsmail/A 20571-2020 FSC-klagomål mail.docx", "A 20571-2020")</f>
        <v/>
      </c>
      <c r="X188">
        <f>HYPERLINK("https://klasma.github.io/Logging_0191/tillsyn/A 20571-2020 tillsynsbegäran.docx", "A 20571-2020")</f>
        <v/>
      </c>
      <c r="Y188">
        <f>HYPERLINK("https://klasma.github.io/Logging_0191/tillsynsmail/A 20571-2020 tillsynsbegäran mail.docx", "A 20571-2020")</f>
        <v/>
      </c>
    </row>
    <row r="189" ht="15" customHeight="1">
      <c r="A189" t="inlineStr">
        <is>
          <t>A 24386-2020</t>
        </is>
      </c>
      <c r="B189" s="1" t="n">
        <v>43973</v>
      </c>
      <c r="C189" s="1" t="n">
        <v>45672</v>
      </c>
      <c r="D189" t="inlineStr">
        <is>
          <t>STOCKHOLMS LÄN</t>
        </is>
      </c>
      <c r="E189" t="inlineStr">
        <is>
          <t>SIGTUNA</t>
        </is>
      </c>
      <c r="G189" t="n">
        <v>4.5</v>
      </c>
      <c r="H189" t="n">
        <v>1</v>
      </c>
      <c r="I189" t="n">
        <v>0</v>
      </c>
      <c r="J189" t="n">
        <v>2</v>
      </c>
      <c r="K189" t="n">
        <v>0</v>
      </c>
      <c r="L189" t="n">
        <v>0</v>
      </c>
      <c r="M189" t="n">
        <v>0</v>
      </c>
      <c r="N189" t="n">
        <v>0</v>
      </c>
      <c r="O189" t="n">
        <v>2</v>
      </c>
      <c r="P189" t="n">
        <v>0</v>
      </c>
      <c r="Q189" t="n">
        <v>3</v>
      </c>
      <c r="R189" s="2" t="inlineStr">
        <is>
          <t>Granticka
Ullticka
Blåsippa</t>
        </is>
      </c>
      <c r="S189">
        <f>HYPERLINK("https://klasma.github.io/Logging_0191/artfynd/A 24386-2020 artfynd.xlsx", "A 24386-2020")</f>
        <v/>
      </c>
      <c r="T189">
        <f>HYPERLINK("https://klasma.github.io/Logging_0191/kartor/A 24386-2020 karta.png", "A 24386-2020")</f>
        <v/>
      </c>
      <c r="V189">
        <f>HYPERLINK("https://klasma.github.io/Logging_0191/klagomål/A 24386-2020 FSC-klagomål.docx", "A 24386-2020")</f>
        <v/>
      </c>
      <c r="W189">
        <f>HYPERLINK("https://klasma.github.io/Logging_0191/klagomålsmail/A 24386-2020 FSC-klagomål mail.docx", "A 24386-2020")</f>
        <v/>
      </c>
      <c r="X189">
        <f>HYPERLINK("https://klasma.github.io/Logging_0191/tillsyn/A 24386-2020 tillsynsbegäran.docx", "A 24386-2020")</f>
        <v/>
      </c>
      <c r="Y189">
        <f>HYPERLINK("https://klasma.github.io/Logging_0191/tillsynsmail/A 24386-2020 tillsynsbegäran mail.docx", "A 24386-2020")</f>
        <v/>
      </c>
    </row>
    <row r="190" ht="15" customHeight="1">
      <c r="A190" t="inlineStr">
        <is>
          <t>A 28495-2020</t>
        </is>
      </c>
      <c r="B190" s="1" t="n">
        <v>43999</v>
      </c>
      <c r="C190" s="1" t="n">
        <v>45672</v>
      </c>
      <c r="D190" t="inlineStr">
        <is>
          <t>STOCKHOLMS LÄN</t>
        </is>
      </c>
      <c r="E190" t="inlineStr">
        <is>
          <t>NORRTÄLJE</t>
        </is>
      </c>
      <c r="G190" t="n">
        <v>0.5</v>
      </c>
      <c r="H190" t="n">
        <v>1</v>
      </c>
      <c r="I190" t="n">
        <v>0</v>
      </c>
      <c r="J190" t="n">
        <v>2</v>
      </c>
      <c r="K190" t="n">
        <v>0</v>
      </c>
      <c r="L190" t="n">
        <v>0</v>
      </c>
      <c r="M190" t="n">
        <v>0</v>
      </c>
      <c r="N190" t="n">
        <v>0</v>
      </c>
      <c r="O190" t="n">
        <v>2</v>
      </c>
      <c r="P190" t="n">
        <v>0</v>
      </c>
      <c r="Q190" t="n">
        <v>3</v>
      </c>
      <c r="R190" s="2" t="inlineStr">
        <is>
          <t>Backklöver
Slåtterfibbla
Grönvit nattviol</t>
        </is>
      </c>
      <c r="S190">
        <f>HYPERLINK("https://klasma.github.io/Logging_0188/artfynd/A 28495-2020 artfynd.xlsx", "A 28495-2020")</f>
        <v/>
      </c>
      <c r="T190">
        <f>HYPERLINK("https://klasma.github.io/Logging_0188/kartor/A 28495-2020 karta.png", "A 28495-2020")</f>
        <v/>
      </c>
      <c r="V190">
        <f>HYPERLINK("https://klasma.github.io/Logging_0188/klagomål/A 28495-2020 FSC-klagomål.docx", "A 28495-2020")</f>
        <v/>
      </c>
      <c r="W190">
        <f>HYPERLINK("https://klasma.github.io/Logging_0188/klagomålsmail/A 28495-2020 FSC-klagomål mail.docx", "A 28495-2020")</f>
        <v/>
      </c>
      <c r="X190">
        <f>HYPERLINK("https://klasma.github.io/Logging_0188/tillsyn/A 28495-2020 tillsynsbegäran.docx", "A 28495-2020")</f>
        <v/>
      </c>
      <c r="Y190">
        <f>HYPERLINK("https://klasma.github.io/Logging_0188/tillsynsmail/A 28495-2020 tillsynsbegäran mail.docx", "A 28495-2020")</f>
        <v/>
      </c>
    </row>
    <row r="191" ht="15" customHeight="1">
      <c r="A191" t="inlineStr">
        <is>
          <t>A 45510-2020</t>
        </is>
      </c>
      <c r="B191" s="1" t="n">
        <v>44089</v>
      </c>
      <c r="C191" s="1" t="n">
        <v>45672</v>
      </c>
      <c r="D191" t="inlineStr">
        <is>
          <t>STOCKHOLMS LÄN</t>
        </is>
      </c>
      <c r="E191" t="inlineStr">
        <is>
          <t>NACKA</t>
        </is>
      </c>
      <c r="G191" t="n">
        <v>5.6</v>
      </c>
      <c r="H191" t="n">
        <v>3</v>
      </c>
      <c r="I191" t="n">
        <v>0</v>
      </c>
      <c r="J191" t="n">
        <v>2</v>
      </c>
      <c r="K191" t="n">
        <v>0</v>
      </c>
      <c r="L191" t="n">
        <v>0</v>
      </c>
      <c r="M191" t="n">
        <v>0</v>
      </c>
      <c r="N191" t="n">
        <v>0</v>
      </c>
      <c r="O191" t="n">
        <v>2</v>
      </c>
      <c r="P191" t="n">
        <v>0</v>
      </c>
      <c r="Q191" t="n">
        <v>3</v>
      </c>
      <c r="R191" s="2" t="inlineStr">
        <is>
          <t>Björktrast
Spillkråka
Huggorm</t>
        </is>
      </c>
      <c r="S191">
        <f>HYPERLINK("https://klasma.github.io/Logging_0182/artfynd/A 45510-2020 artfynd.xlsx", "A 45510-2020")</f>
        <v/>
      </c>
      <c r="T191">
        <f>HYPERLINK("https://klasma.github.io/Logging_0182/kartor/A 45510-2020 karta.png", "A 45510-2020")</f>
        <v/>
      </c>
      <c r="V191">
        <f>HYPERLINK("https://klasma.github.io/Logging_0182/klagomål/A 45510-2020 FSC-klagomål.docx", "A 45510-2020")</f>
        <v/>
      </c>
      <c r="W191">
        <f>HYPERLINK("https://klasma.github.io/Logging_0182/klagomålsmail/A 45510-2020 FSC-klagomål mail.docx", "A 45510-2020")</f>
        <v/>
      </c>
      <c r="X191">
        <f>HYPERLINK("https://klasma.github.io/Logging_0182/tillsyn/A 45510-2020 tillsynsbegäran.docx", "A 45510-2020")</f>
        <v/>
      </c>
      <c r="Y191">
        <f>HYPERLINK("https://klasma.github.io/Logging_0182/tillsynsmail/A 45510-2020 tillsynsbegäran mail.docx", "A 45510-2020")</f>
        <v/>
      </c>
      <c r="Z191">
        <f>HYPERLINK("https://klasma.github.io/Logging_0182/fåglar/A 45510-2020 prioriterade fågelarter.docx", "A 45510-2020")</f>
        <v/>
      </c>
    </row>
    <row r="192" ht="15" customHeight="1">
      <c r="A192" t="inlineStr">
        <is>
          <t>A 46303-2020</t>
        </is>
      </c>
      <c r="B192" s="1" t="n">
        <v>44092</v>
      </c>
      <c r="C192" s="1" t="n">
        <v>45672</v>
      </c>
      <c r="D192" t="inlineStr">
        <is>
          <t>STOCKHOLMS LÄN</t>
        </is>
      </c>
      <c r="E192" t="inlineStr">
        <is>
          <t>SÖDERTÄLJE</t>
        </is>
      </c>
      <c r="G192" t="n">
        <v>1.8</v>
      </c>
      <c r="H192" t="n">
        <v>0</v>
      </c>
      <c r="I192" t="n">
        <v>0</v>
      </c>
      <c r="J192" t="n">
        <v>0</v>
      </c>
      <c r="K192" t="n">
        <v>1</v>
      </c>
      <c r="L192" t="n">
        <v>1</v>
      </c>
      <c r="M192" t="n">
        <v>1</v>
      </c>
      <c r="N192" t="n">
        <v>0</v>
      </c>
      <c r="O192" t="n">
        <v>3</v>
      </c>
      <c r="P192" t="n">
        <v>3</v>
      </c>
      <c r="Q192" t="n">
        <v>3</v>
      </c>
      <c r="R192" s="2" t="inlineStr">
        <is>
          <t>Skogsalm
Ask
Grenticka</t>
        </is>
      </c>
      <c r="S192">
        <f>HYPERLINK("https://klasma.github.io/Logging_0181/artfynd/A 46303-2020 artfynd.xlsx", "A 46303-2020")</f>
        <v/>
      </c>
      <c r="T192">
        <f>HYPERLINK("https://klasma.github.io/Logging_0181/kartor/A 46303-2020 karta.png", "A 46303-2020")</f>
        <v/>
      </c>
      <c r="V192">
        <f>HYPERLINK("https://klasma.github.io/Logging_0181/klagomål/A 46303-2020 FSC-klagomål.docx", "A 46303-2020")</f>
        <v/>
      </c>
      <c r="W192">
        <f>HYPERLINK("https://klasma.github.io/Logging_0181/klagomålsmail/A 46303-2020 FSC-klagomål mail.docx", "A 46303-2020")</f>
        <v/>
      </c>
      <c r="X192">
        <f>HYPERLINK("https://klasma.github.io/Logging_0181/tillsyn/A 46303-2020 tillsynsbegäran.docx", "A 46303-2020")</f>
        <v/>
      </c>
      <c r="Y192">
        <f>HYPERLINK("https://klasma.github.io/Logging_0181/tillsynsmail/A 46303-2020 tillsynsbegäran mail.docx", "A 46303-2020")</f>
        <v/>
      </c>
    </row>
    <row r="193" ht="15" customHeight="1">
      <c r="A193" t="inlineStr">
        <is>
          <t>A 53981-2020</t>
        </is>
      </c>
      <c r="B193" s="1" t="n">
        <v>44125</v>
      </c>
      <c r="C193" s="1" t="n">
        <v>45672</v>
      </c>
      <c r="D193" t="inlineStr">
        <is>
          <t>STOCKHOLMS LÄN</t>
        </is>
      </c>
      <c r="E193" t="inlineStr">
        <is>
          <t>BOTKYRKA</t>
        </is>
      </c>
      <c r="F193" t="inlineStr">
        <is>
          <t>Övriga Aktiebolag</t>
        </is>
      </c>
      <c r="G193" t="n">
        <v>6.3</v>
      </c>
      <c r="H193" t="n">
        <v>3</v>
      </c>
      <c r="I193" t="n">
        <v>0</v>
      </c>
      <c r="J193" t="n">
        <v>0</v>
      </c>
      <c r="K193" t="n">
        <v>0</v>
      </c>
      <c r="L193" t="n">
        <v>0</v>
      </c>
      <c r="M193" t="n">
        <v>0</v>
      </c>
      <c r="N193" t="n">
        <v>0</v>
      </c>
      <c r="O193" t="n">
        <v>0</v>
      </c>
      <c r="P193" t="n">
        <v>0</v>
      </c>
      <c r="Q193" t="n">
        <v>3</v>
      </c>
      <c r="R193" s="2" t="inlineStr">
        <is>
          <t>Mindre vattensalamander
Vanlig groda
Vanlig padda</t>
        </is>
      </c>
      <c r="S193">
        <f>HYPERLINK("https://klasma.github.io/Logging_0127/artfynd/A 53981-2020 artfynd.xlsx", "A 53981-2020")</f>
        <v/>
      </c>
      <c r="T193">
        <f>HYPERLINK("https://klasma.github.io/Logging_0127/kartor/A 53981-2020 karta.png", "A 53981-2020")</f>
        <v/>
      </c>
      <c r="V193">
        <f>HYPERLINK("https://klasma.github.io/Logging_0127/klagomål/A 53981-2020 FSC-klagomål.docx", "A 53981-2020")</f>
        <v/>
      </c>
      <c r="W193">
        <f>HYPERLINK("https://klasma.github.io/Logging_0127/klagomålsmail/A 53981-2020 FSC-klagomål mail.docx", "A 53981-2020")</f>
        <v/>
      </c>
      <c r="X193">
        <f>HYPERLINK("https://klasma.github.io/Logging_0127/tillsyn/A 53981-2020 tillsynsbegäran.docx", "A 53981-2020")</f>
        <v/>
      </c>
      <c r="Y193">
        <f>HYPERLINK("https://klasma.github.io/Logging_0127/tillsynsmail/A 53981-2020 tillsynsbegäran mail.docx", "A 53981-2020")</f>
        <v/>
      </c>
    </row>
    <row r="194" ht="15" customHeight="1">
      <c r="A194" t="inlineStr">
        <is>
          <t>A 14560-2021</t>
        </is>
      </c>
      <c r="B194" s="1" t="n">
        <v>44279</v>
      </c>
      <c r="C194" s="1" t="n">
        <v>45672</v>
      </c>
      <c r="D194" t="inlineStr">
        <is>
          <t>STOCKHOLMS LÄN</t>
        </is>
      </c>
      <c r="E194" t="inlineStr">
        <is>
          <t>NORRTÄLJE</t>
        </is>
      </c>
      <c r="G194" t="n">
        <v>1.8</v>
      </c>
      <c r="H194" t="n">
        <v>0</v>
      </c>
      <c r="I194" t="n">
        <v>2</v>
      </c>
      <c r="J194" t="n">
        <v>1</v>
      </c>
      <c r="K194" t="n">
        <v>0</v>
      </c>
      <c r="L194" t="n">
        <v>0</v>
      </c>
      <c r="M194" t="n">
        <v>0</v>
      </c>
      <c r="N194" t="n">
        <v>0</v>
      </c>
      <c r="O194" t="n">
        <v>1</v>
      </c>
      <c r="P194" t="n">
        <v>0</v>
      </c>
      <c r="Q194" t="n">
        <v>3</v>
      </c>
      <c r="R194" s="2" t="inlineStr">
        <is>
          <t>Vit vedfingersvamp
Stor aspticka
Vedticka</t>
        </is>
      </c>
      <c r="S194">
        <f>HYPERLINK("https://klasma.github.io/Logging_0188/artfynd/A 14560-2021 artfynd.xlsx", "A 14560-2021")</f>
        <v/>
      </c>
      <c r="T194">
        <f>HYPERLINK("https://klasma.github.io/Logging_0188/kartor/A 14560-2021 karta.png", "A 14560-2021")</f>
        <v/>
      </c>
      <c r="V194">
        <f>HYPERLINK("https://klasma.github.io/Logging_0188/klagomål/A 14560-2021 FSC-klagomål.docx", "A 14560-2021")</f>
        <v/>
      </c>
      <c r="W194">
        <f>HYPERLINK("https://klasma.github.io/Logging_0188/klagomålsmail/A 14560-2021 FSC-klagomål mail.docx", "A 14560-2021")</f>
        <v/>
      </c>
      <c r="X194">
        <f>HYPERLINK("https://klasma.github.io/Logging_0188/tillsyn/A 14560-2021 tillsynsbegäran.docx", "A 14560-2021")</f>
        <v/>
      </c>
      <c r="Y194">
        <f>HYPERLINK("https://klasma.github.io/Logging_0188/tillsynsmail/A 14560-2021 tillsynsbegäran mail.docx", "A 14560-2021")</f>
        <v/>
      </c>
    </row>
    <row r="195" ht="15" customHeight="1">
      <c r="A195" t="inlineStr">
        <is>
          <t>A 17673-2021</t>
        </is>
      </c>
      <c r="B195" s="1" t="n">
        <v>44300</v>
      </c>
      <c r="C195" s="1" t="n">
        <v>45672</v>
      </c>
      <c r="D195" t="inlineStr">
        <is>
          <t>STOCKHOLMS LÄN</t>
        </is>
      </c>
      <c r="E195" t="inlineStr">
        <is>
          <t>NORRTÄLJE</t>
        </is>
      </c>
      <c r="G195" t="n">
        <v>10.4</v>
      </c>
      <c r="H195" t="n">
        <v>3</v>
      </c>
      <c r="I195" t="n">
        <v>0</v>
      </c>
      <c r="J195" t="n">
        <v>2</v>
      </c>
      <c r="K195" t="n">
        <v>0</v>
      </c>
      <c r="L195" t="n">
        <v>0</v>
      </c>
      <c r="M195" t="n">
        <v>0</v>
      </c>
      <c r="N195" t="n">
        <v>0</v>
      </c>
      <c r="O195" t="n">
        <v>2</v>
      </c>
      <c r="P195" t="n">
        <v>0</v>
      </c>
      <c r="Q195" t="n">
        <v>3</v>
      </c>
      <c r="R195" s="2" t="inlineStr">
        <is>
          <t>Grönsångare
Havsörn
Blåsippa</t>
        </is>
      </c>
      <c r="S195">
        <f>HYPERLINK("https://klasma.github.io/Logging_0188/artfynd/A 17673-2021 artfynd.xlsx", "A 17673-2021")</f>
        <v/>
      </c>
      <c r="T195">
        <f>HYPERLINK("https://klasma.github.io/Logging_0188/kartor/A 17673-2021 karta.png", "A 17673-2021")</f>
        <v/>
      </c>
      <c r="V195">
        <f>HYPERLINK("https://klasma.github.io/Logging_0188/klagomål/A 17673-2021 FSC-klagomål.docx", "A 17673-2021")</f>
        <v/>
      </c>
      <c r="W195">
        <f>HYPERLINK("https://klasma.github.io/Logging_0188/klagomålsmail/A 17673-2021 FSC-klagomål mail.docx", "A 17673-2021")</f>
        <v/>
      </c>
      <c r="X195">
        <f>HYPERLINK("https://klasma.github.io/Logging_0188/tillsyn/A 17673-2021 tillsynsbegäran.docx", "A 17673-2021")</f>
        <v/>
      </c>
      <c r="Y195">
        <f>HYPERLINK("https://klasma.github.io/Logging_0188/tillsynsmail/A 17673-2021 tillsynsbegäran mail.docx", "A 17673-2021")</f>
        <v/>
      </c>
      <c r="Z195">
        <f>HYPERLINK("https://klasma.github.io/Logging_0188/fåglar/A 17673-2021 prioriterade fågelarter.docx", "A 17673-2021")</f>
        <v/>
      </c>
    </row>
    <row r="196" ht="15" customHeight="1">
      <c r="A196" t="inlineStr">
        <is>
          <t>A 29818-2021</t>
        </is>
      </c>
      <c r="B196" s="1" t="n">
        <v>44362</v>
      </c>
      <c r="C196" s="1" t="n">
        <v>45672</v>
      </c>
      <c r="D196" t="inlineStr">
        <is>
          <t>STOCKHOLMS LÄN</t>
        </is>
      </c>
      <c r="E196" t="inlineStr">
        <is>
          <t>VÄRMDÖ</t>
        </is>
      </c>
      <c r="F196" t="inlineStr">
        <is>
          <t>Övriga Aktiebolag</t>
        </is>
      </c>
      <c r="G196" t="n">
        <v>1.7</v>
      </c>
      <c r="H196" t="n">
        <v>0</v>
      </c>
      <c r="I196" t="n">
        <v>2</v>
      </c>
      <c r="J196" t="n">
        <v>1</v>
      </c>
      <c r="K196" t="n">
        <v>0</v>
      </c>
      <c r="L196" t="n">
        <v>0</v>
      </c>
      <c r="M196" t="n">
        <v>0</v>
      </c>
      <c r="N196" t="n">
        <v>0</v>
      </c>
      <c r="O196" t="n">
        <v>1</v>
      </c>
      <c r="P196" t="n">
        <v>0</v>
      </c>
      <c r="Q196" t="n">
        <v>3</v>
      </c>
      <c r="R196" s="2" t="inlineStr">
        <is>
          <t>Mindre träfjäril
Mörk husmossa
Stubbspretmossa</t>
        </is>
      </c>
      <c r="S196">
        <f>HYPERLINK("https://klasma.github.io/Logging_0120/artfynd/A 29818-2021 artfynd.xlsx", "A 29818-2021")</f>
        <v/>
      </c>
      <c r="T196">
        <f>HYPERLINK("https://klasma.github.io/Logging_0120/kartor/A 29818-2021 karta.png", "A 29818-2021")</f>
        <v/>
      </c>
      <c r="V196">
        <f>HYPERLINK("https://klasma.github.io/Logging_0120/klagomål/A 29818-2021 FSC-klagomål.docx", "A 29818-2021")</f>
        <v/>
      </c>
      <c r="W196">
        <f>HYPERLINK("https://klasma.github.io/Logging_0120/klagomålsmail/A 29818-2021 FSC-klagomål mail.docx", "A 29818-2021")</f>
        <v/>
      </c>
      <c r="X196">
        <f>HYPERLINK("https://klasma.github.io/Logging_0120/tillsyn/A 29818-2021 tillsynsbegäran.docx", "A 29818-2021")</f>
        <v/>
      </c>
      <c r="Y196">
        <f>HYPERLINK("https://klasma.github.io/Logging_0120/tillsynsmail/A 29818-2021 tillsynsbegäran mail.docx", "A 29818-2021")</f>
        <v/>
      </c>
    </row>
    <row r="197" ht="15" customHeight="1">
      <c r="A197" t="inlineStr">
        <is>
          <t>A 31335-2021</t>
        </is>
      </c>
      <c r="B197" s="1" t="n">
        <v>44368</v>
      </c>
      <c r="C197" s="1" t="n">
        <v>45672</v>
      </c>
      <c r="D197" t="inlineStr">
        <is>
          <t>STOCKHOLMS LÄN</t>
        </is>
      </c>
      <c r="E197" t="inlineStr">
        <is>
          <t>UPPLANDS-BRO</t>
        </is>
      </c>
      <c r="G197" t="n">
        <v>6.3</v>
      </c>
      <c r="H197" t="n">
        <v>0</v>
      </c>
      <c r="I197" t="n">
        <v>3</v>
      </c>
      <c r="J197" t="n">
        <v>0</v>
      </c>
      <c r="K197" t="n">
        <v>0</v>
      </c>
      <c r="L197" t="n">
        <v>0</v>
      </c>
      <c r="M197" t="n">
        <v>0</v>
      </c>
      <c r="N197" t="n">
        <v>0</v>
      </c>
      <c r="O197" t="n">
        <v>0</v>
      </c>
      <c r="P197" t="n">
        <v>0</v>
      </c>
      <c r="Q197" t="n">
        <v>3</v>
      </c>
      <c r="R197" s="2" t="inlineStr">
        <is>
          <t>Grovticka
Skarp dropptaggsvamp
Svavelriska</t>
        </is>
      </c>
      <c r="S197">
        <f>HYPERLINK("https://klasma.github.io/Logging_0139/artfynd/A 31335-2021 artfynd.xlsx", "A 31335-2021")</f>
        <v/>
      </c>
      <c r="T197">
        <f>HYPERLINK("https://klasma.github.io/Logging_0139/kartor/A 31335-2021 karta.png", "A 31335-2021")</f>
        <v/>
      </c>
      <c r="V197">
        <f>HYPERLINK("https://klasma.github.io/Logging_0139/klagomål/A 31335-2021 FSC-klagomål.docx", "A 31335-2021")</f>
        <v/>
      </c>
      <c r="W197">
        <f>HYPERLINK("https://klasma.github.io/Logging_0139/klagomålsmail/A 31335-2021 FSC-klagomål mail.docx", "A 31335-2021")</f>
        <v/>
      </c>
      <c r="X197">
        <f>HYPERLINK("https://klasma.github.io/Logging_0139/tillsyn/A 31335-2021 tillsynsbegäran.docx", "A 31335-2021")</f>
        <v/>
      </c>
      <c r="Y197">
        <f>HYPERLINK("https://klasma.github.io/Logging_0139/tillsynsmail/A 31335-2021 tillsynsbegäran mail.docx", "A 31335-2021")</f>
        <v/>
      </c>
    </row>
    <row r="198" ht="15" customHeight="1">
      <c r="A198" t="inlineStr">
        <is>
          <t>A 41371-2021</t>
        </is>
      </c>
      <c r="B198" s="1" t="n">
        <v>44424</v>
      </c>
      <c r="C198" s="1" t="n">
        <v>45672</v>
      </c>
      <c r="D198" t="inlineStr">
        <is>
          <t>STOCKHOLMS LÄN</t>
        </is>
      </c>
      <c r="E198" t="inlineStr">
        <is>
          <t>NYNÄSHAMN</t>
        </is>
      </c>
      <c r="G198" t="n">
        <v>7.4</v>
      </c>
      <c r="H198" t="n">
        <v>1</v>
      </c>
      <c r="I198" t="n">
        <v>3</v>
      </c>
      <c r="J198" t="n">
        <v>0</v>
      </c>
      <c r="K198" t="n">
        <v>0</v>
      </c>
      <c r="L198" t="n">
        <v>0</v>
      </c>
      <c r="M198" t="n">
        <v>0</v>
      </c>
      <c r="N198" t="n">
        <v>0</v>
      </c>
      <c r="O198" t="n">
        <v>0</v>
      </c>
      <c r="P198" t="n">
        <v>0</v>
      </c>
      <c r="Q198" t="n">
        <v>3</v>
      </c>
      <c r="R198" s="2" t="inlineStr">
        <is>
          <t>Grov fjädermossa
Grön sköldmossa
Stor revmossa</t>
        </is>
      </c>
      <c r="S198">
        <f>HYPERLINK("https://klasma.github.io/Logging_0192/artfynd/A 41371-2021 artfynd.xlsx", "A 41371-2021")</f>
        <v/>
      </c>
      <c r="T198">
        <f>HYPERLINK("https://klasma.github.io/Logging_0192/kartor/A 41371-2021 karta.png", "A 41371-2021")</f>
        <v/>
      </c>
      <c r="V198">
        <f>HYPERLINK("https://klasma.github.io/Logging_0192/klagomål/A 41371-2021 FSC-klagomål.docx", "A 41371-2021")</f>
        <v/>
      </c>
      <c r="W198">
        <f>HYPERLINK("https://klasma.github.io/Logging_0192/klagomålsmail/A 41371-2021 FSC-klagomål mail.docx", "A 41371-2021")</f>
        <v/>
      </c>
      <c r="X198">
        <f>HYPERLINK("https://klasma.github.io/Logging_0192/tillsyn/A 41371-2021 tillsynsbegäran.docx", "A 41371-2021")</f>
        <v/>
      </c>
      <c r="Y198">
        <f>HYPERLINK("https://klasma.github.io/Logging_0192/tillsynsmail/A 41371-2021 tillsynsbegäran mail.docx", "A 41371-2021")</f>
        <v/>
      </c>
    </row>
    <row r="199" ht="15" customHeight="1">
      <c r="A199" t="inlineStr">
        <is>
          <t>A 43900-2021</t>
        </is>
      </c>
      <c r="B199" s="1" t="n">
        <v>44434</v>
      </c>
      <c r="C199" s="1" t="n">
        <v>45672</v>
      </c>
      <c r="D199" t="inlineStr">
        <is>
          <t>STOCKHOLMS LÄN</t>
        </is>
      </c>
      <c r="E199" t="inlineStr">
        <is>
          <t>BOTKYRKA</t>
        </is>
      </c>
      <c r="F199" t="inlineStr">
        <is>
          <t>Kommuner</t>
        </is>
      </c>
      <c r="G199" t="n">
        <v>3.1</v>
      </c>
      <c r="H199" t="n">
        <v>0</v>
      </c>
      <c r="I199" t="n">
        <v>1</v>
      </c>
      <c r="J199" t="n">
        <v>2</v>
      </c>
      <c r="K199" t="n">
        <v>0</v>
      </c>
      <c r="L199" t="n">
        <v>0</v>
      </c>
      <c r="M199" t="n">
        <v>0</v>
      </c>
      <c r="N199" t="n">
        <v>0</v>
      </c>
      <c r="O199" t="n">
        <v>2</v>
      </c>
      <c r="P199" t="n">
        <v>0</v>
      </c>
      <c r="Q199" t="n">
        <v>3</v>
      </c>
      <c r="R199" s="2" t="inlineStr">
        <is>
          <t>Motaggsvamp
Ullticka
Brandticka</t>
        </is>
      </c>
      <c r="S199">
        <f>HYPERLINK("https://klasma.github.io/Logging_0127/artfynd/A 43900-2021 artfynd.xlsx", "A 43900-2021")</f>
        <v/>
      </c>
      <c r="T199">
        <f>HYPERLINK("https://klasma.github.io/Logging_0127/kartor/A 43900-2021 karta.png", "A 43900-2021")</f>
        <v/>
      </c>
      <c r="V199">
        <f>HYPERLINK("https://klasma.github.io/Logging_0127/klagomål/A 43900-2021 FSC-klagomål.docx", "A 43900-2021")</f>
        <v/>
      </c>
      <c r="W199">
        <f>HYPERLINK("https://klasma.github.io/Logging_0127/klagomålsmail/A 43900-2021 FSC-klagomål mail.docx", "A 43900-2021")</f>
        <v/>
      </c>
      <c r="X199">
        <f>HYPERLINK("https://klasma.github.io/Logging_0127/tillsyn/A 43900-2021 tillsynsbegäran.docx", "A 43900-2021")</f>
        <v/>
      </c>
      <c r="Y199">
        <f>HYPERLINK("https://klasma.github.io/Logging_0127/tillsynsmail/A 43900-2021 tillsynsbegäran mail.docx", "A 43900-2021")</f>
        <v/>
      </c>
    </row>
    <row r="200" ht="15" customHeight="1">
      <c r="A200" t="inlineStr">
        <is>
          <t>A 65629-2021</t>
        </is>
      </c>
      <c r="B200" s="1" t="n">
        <v>44516</v>
      </c>
      <c r="C200" s="1" t="n">
        <v>45672</v>
      </c>
      <c r="D200" t="inlineStr">
        <is>
          <t>STOCKHOLMS LÄN</t>
        </is>
      </c>
      <c r="E200" t="inlineStr">
        <is>
          <t>NORRTÄLJE</t>
        </is>
      </c>
      <c r="G200" t="n">
        <v>3</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HYPERLINK("https://klasma.github.io/Logging_0188/artfynd/A 65629-2021 artfynd.xlsx", "A 65629-2021")</f>
        <v/>
      </c>
      <c r="T200">
        <f>HYPERLINK("https://klasma.github.io/Logging_0188/kartor/A 65629-2021 karta.png", "A 65629-2021")</f>
        <v/>
      </c>
      <c r="V200">
        <f>HYPERLINK("https://klasma.github.io/Logging_0188/klagomål/A 65629-2021 FSC-klagomål.docx", "A 65629-2021")</f>
        <v/>
      </c>
      <c r="W200">
        <f>HYPERLINK("https://klasma.github.io/Logging_0188/klagomålsmail/A 65629-2021 FSC-klagomål mail.docx", "A 65629-2021")</f>
        <v/>
      </c>
      <c r="X200">
        <f>HYPERLINK("https://klasma.github.io/Logging_0188/tillsyn/A 65629-2021 tillsynsbegäran.docx", "A 65629-2021")</f>
        <v/>
      </c>
      <c r="Y200">
        <f>HYPERLINK("https://klasma.github.io/Logging_0188/tillsynsmail/A 65629-2021 tillsynsbegäran mail.docx", "A 65629-2021")</f>
        <v/>
      </c>
    </row>
    <row r="201" ht="15" customHeight="1">
      <c r="A201" t="inlineStr">
        <is>
          <t>A 1244-2022</t>
        </is>
      </c>
      <c r="B201" s="1" t="n">
        <v>44572</v>
      </c>
      <c r="C201" s="1" t="n">
        <v>45672</v>
      </c>
      <c r="D201" t="inlineStr">
        <is>
          <t>STOCKHOLMS LÄN</t>
        </is>
      </c>
      <c r="E201" t="inlineStr">
        <is>
          <t>VÄRMDÖ</t>
        </is>
      </c>
      <c r="G201" t="n">
        <v>2.5</v>
      </c>
      <c r="H201" t="n">
        <v>2</v>
      </c>
      <c r="I201" t="n">
        <v>2</v>
      </c>
      <c r="J201" t="n">
        <v>1</v>
      </c>
      <c r="K201" t="n">
        <v>0</v>
      </c>
      <c r="L201" t="n">
        <v>0</v>
      </c>
      <c r="M201" t="n">
        <v>0</v>
      </c>
      <c r="N201" t="n">
        <v>0</v>
      </c>
      <c r="O201" t="n">
        <v>1</v>
      </c>
      <c r="P201" t="n">
        <v>0</v>
      </c>
      <c r="Q201" t="n">
        <v>3</v>
      </c>
      <c r="R201" s="2" t="inlineStr">
        <is>
          <t>Spillkråka
Grön sköldmossa
Thomsons trägnagare</t>
        </is>
      </c>
      <c r="S201">
        <f>HYPERLINK("https://klasma.github.io/Logging_0120/artfynd/A 1244-2022 artfynd.xlsx", "A 1244-2022")</f>
        <v/>
      </c>
      <c r="T201">
        <f>HYPERLINK("https://klasma.github.io/Logging_0120/kartor/A 1244-2022 karta.png", "A 1244-2022")</f>
        <v/>
      </c>
      <c r="V201">
        <f>HYPERLINK("https://klasma.github.io/Logging_0120/klagomål/A 1244-2022 FSC-klagomål.docx", "A 1244-2022")</f>
        <v/>
      </c>
      <c r="W201">
        <f>HYPERLINK("https://klasma.github.io/Logging_0120/klagomålsmail/A 1244-2022 FSC-klagomål mail.docx", "A 1244-2022")</f>
        <v/>
      </c>
      <c r="X201">
        <f>HYPERLINK("https://klasma.github.io/Logging_0120/tillsyn/A 1244-2022 tillsynsbegäran.docx", "A 1244-2022")</f>
        <v/>
      </c>
      <c r="Y201">
        <f>HYPERLINK("https://klasma.github.io/Logging_0120/tillsynsmail/A 1244-2022 tillsynsbegäran mail.docx", "A 1244-2022")</f>
        <v/>
      </c>
      <c r="Z201">
        <f>HYPERLINK("https://klasma.github.io/Logging_0120/fåglar/A 1244-2022 prioriterade fågelarter.docx", "A 1244-2022")</f>
        <v/>
      </c>
    </row>
    <row r="202" ht="15" customHeight="1">
      <c r="A202" t="inlineStr">
        <is>
          <t>A 8024-2022</t>
        </is>
      </c>
      <c r="B202" s="1" t="n">
        <v>44609</v>
      </c>
      <c r="C202" s="1" t="n">
        <v>45672</v>
      </c>
      <c r="D202" t="inlineStr">
        <is>
          <t>STOCKHOLMS LÄN</t>
        </is>
      </c>
      <c r="E202" t="inlineStr">
        <is>
          <t>NORRTÄLJE</t>
        </is>
      </c>
      <c r="F202" t="inlineStr">
        <is>
          <t>Kyrkan</t>
        </is>
      </c>
      <c r="G202" t="n">
        <v>28.2</v>
      </c>
      <c r="H202" t="n">
        <v>3</v>
      </c>
      <c r="I202" t="n">
        <v>0</v>
      </c>
      <c r="J202" t="n">
        <v>1</v>
      </c>
      <c r="K202" t="n">
        <v>0</v>
      </c>
      <c r="L202" t="n">
        <v>0</v>
      </c>
      <c r="M202" t="n">
        <v>0</v>
      </c>
      <c r="N202" t="n">
        <v>0</v>
      </c>
      <c r="O202" t="n">
        <v>1</v>
      </c>
      <c r="P202" t="n">
        <v>0</v>
      </c>
      <c r="Q202" t="n">
        <v>3</v>
      </c>
      <c r="R202" s="2" t="inlineStr">
        <is>
          <t>Björktrast
Hökuggla
Revlummer</t>
        </is>
      </c>
      <c r="S202">
        <f>HYPERLINK("https://klasma.github.io/Logging_0188/artfynd/A 8024-2022 artfynd.xlsx", "A 8024-2022")</f>
        <v/>
      </c>
      <c r="T202">
        <f>HYPERLINK("https://klasma.github.io/Logging_0188/kartor/A 8024-2022 karta.png", "A 8024-2022")</f>
        <v/>
      </c>
      <c r="V202">
        <f>HYPERLINK("https://klasma.github.io/Logging_0188/klagomål/A 8024-2022 FSC-klagomål.docx", "A 8024-2022")</f>
        <v/>
      </c>
      <c r="W202">
        <f>HYPERLINK("https://klasma.github.io/Logging_0188/klagomålsmail/A 8024-2022 FSC-klagomål mail.docx", "A 8024-2022")</f>
        <v/>
      </c>
      <c r="X202">
        <f>HYPERLINK("https://klasma.github.io/Logging_0188/tillsyn/A 8024-2022 tillsynsbegäran.docx", "A 8024-2022")</f>
        <v/>
      </c>
      <c r="Y202">
        <f>HYPERLINK("https://klasma.github.io/Logging_0188/tillsynsmail/A 8024-2022 tillsynsbegäran mail.docx", "A 8024-2022")</f>
        <v/>
      </c>
      <c r="Z202">
        <f>HYPERLINK("https://klasma.github.io/Logging_0188/fåglar/A 8024-2022 prioriterade fågelarter.docx", "A 8024-2022")</f>
        <v/>
      </c>
    </row>
    <row r="203" ht="15" customHeight="1">
      <c r="A203" t="inlineStr">
        <is>
          <t>A 11764-2022</t>
        </is>
      </c>
      <c r="B203" s="1" t="n">
        <v>44634</v>
      </c>
      <c r="C203" s="1" t="n">
        <v>45672</v>
      </c>
      <c r="D203" t="inlineStr">
        <is>
          <t>STOCKHOLMS LÄN</t>
        </is>
      </c>
      <c r="E203" t="inlineStr">
        <is>
          <t>BOTKYRKA</t>
        </is>
      </c>
      <c r="G203" t="n">
        <v>3.7</v>
      </c>
      <c r="H203" t="n">
        <v>1</v>
      </c>
      <c r="I203" t="n">
        <v>0</v>
      </c>
      <c r="J203" t="n">
        <v>2</v>
      </c>
      <c r="K203" t="n">
        <v>0</v>
      </c>
      <c r="L203" t="n">
        <v>0</v>
      </c>
      <c r="M203" t="n">
        <v>0</v>
      </c>
      <c r="N203" t="n">
        <v>0</v>
      </c>
      <c r="O203" t="n">
        <v>2</v>
      </c>
      <c r="P203" t="n">
        <v>0</v>
      </c>
      <c r="Q203" t="n">
        <v>3</v>
      </c>
      <c r="R203" s="2" t="inlineStr">
        <is>
          <t>Dvärgbägarlav
Tallticka
Blåsippa</t>
        </is>
      </c>
      <c r="S203">
        <f>HYPERLINK("https://klasma.github.io/Logging_0127/artfynd/A 11764-2022 artfynd.xlsx", "A 11764-2022")</f>
        <v/>
      </c>
      <c r="T203">
        <f>HYPERLINK("https://klasma.github.io/Logging_0127/kartor/A 11764-2022 karta.png", "A 11764-2022")</f>
        <v/>
      </c>
      <c r="V203">
        <f>HYPERLINK("https://klasma.github.io/Logging_0127/klagomål/A 11764-2022 FSC-klagomål.docx", "A 11764-2022")</f>
        <v/>
      </c>
      <c r="W203">
        <f>HYPERLINK("https://klasma.github.io/Logging_0127/klagomålsmail/A 11764-2022 FSC-klagomål mail.docx", "A 11764-2022")</f>
        <v/>
      </c>
      <c r="X203">
        <f>HYPERLINK("https://klasma.github.io/Logging_0127/tillsyn/A 11764-2022 tillsynsbegäran.docx", "A 11764-2022")</f>
        <v/>
      </c>
      <c r="Y203">
        <f>HYPERLINK("https://klasma.github.io/Logging_0127/tillsynsmail/A 11764-2022 tillsynsbegäran mail.docx", "A 11764-2022")</f>
        <v/>
      </c>
    </row>
    <row r="204" ht="15" customHeight="1">
      <c r="A204" t="inlineStr">
        <is>
          <t>A 11803-2022</t>
        </is>
      </c>
      <c r="B204" s="1" t="n">
        <v>44634</v>
      </c>
      <c r="C204" s="1" t="n">
        <v>45672</v>
      </c>
      <c r="D204" t="inlineStr">
        <is>
          <t>STOCKHOLMS LÄN</t>
        </is>
      </c>
      <c r="E204" t="inlineStr">
        <is>
          <t>EKERÖ</t>
        </is>
      </c>
      <c r="G204" t="n">
        <v>2.7</v>
      </c>
      <c r="H204" t="n">
        <v>1</v>
      </c>
      <c r="I204" t="n">
        <v>0</v>
      </c>
      <c r="J204" t="n">
        <v>2</v>
      </c>
      <c r="K204" t="n">
        <v>0</v>
      </c>
      <c r="L204" t="n">
        <v>0</v>
      </c>
      <c r="M204" t="n">
        <v>0</v>
      </c>
      <c r="N204" t="n">
        <v>0</v>
      </c>
      <c r="O204" t="n">
        <v>2</v>
      </c>
      <c r="P204" t="n">
        <v>0</v>
      </c>
      <c r="Q204" t="n">
        <v>3</v>
      </c>
      <c r="R204" s="2" t="inlineStr">
        <is>
          <t>Backklöver
Solvända
Gullviva</t>
        </is>
      </c>
      <c r="S204">
        <f>HYPERLINK("https://klasma.github.io/Logging_0125/artfynd/A 11803-2022 artfynd.xlsx", "A 11803-2022")</f>
        <v/>
      </c>
      <c r="T204">
        <f>HYPERLINK("https://klasma.github.io/Logging_0125/kartor/A 11803-2022 karta.png", "A 11803-2022")</f>
        <v/>
      </c>
      <c r="V204">
        <f>HYPERLINK("https://klasma.github.io/Logging_0125/klagomål/A 11803-2022 FSC-klagomål.docx", "A 11803-2022")</f>
        <v/>
      </c>
      <c r="W204">
        <f>HYPERLINK("https://klasma.github.io/Logging_0125/klagomålsmail/A 11803-2022 FSC-klagomål mail.docx", "A 11803-2022")</f>
        <v/>
      </c>
      <c r="X204">
        <f>HYPERLINK("https://klasma.github.io/Logging_0125/tillsyn/A 11803-2022 tillsynsbegäran.docx", "A 11803-2022")</f>
        <v/>
      </c>
      <c r="Y204">
        <f>HYPERLINK("https://klasma.github.io/Logging_0125/tillsynsmail/A 11803-2022 tillsynsbegäran mail.docx", "A 11803-2022")</f>
        <v/>
      </c>
    </row>
    <row r="205" ht="15" customHeight="1">
      <c r="A205" t="inlineStr">
        <is>
          <t>A 12215-2022</t>
        </is>
      </c>
      <c r="B205" s="1" t="n">
        <v>44637</v>
      </c>
      <c r="C205" s="1" t="n">
        <v>45672</v>
      </c>
      <c r="D205" t="inlineStr">
        <is>
          <t>STOCKHOLMS LÄN</t>
        </is>
      </c>
      <c r="E205" t="inlineStr">
        <is>
          <t>NORRTÄLJE</t>
        </is>
      </c>
      <c r="G205" t="n">
        <v>3.1</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12215-2022 artfynd.xlsx", "A 12215-2022")</f>
        <v/>
      </c>
      <c r="T205">
        <f>HYPERLINK("https://klasma.github.io/Logging_0188/kartor/A 12215-2022 karta.png", "A 12215-2022")</f>
        <v/>
      </c>
      <c r="V205">
        <f>HYPERLINK("https://klasma.github.io/Logging_0188/klagomål/A 12215-2022 FSC-klagomål.docx", "A 12215-2022")</f>
        <v/>
      </c>
      <c r="W205">
        <f>HYPERLINK("https://klasma.github.io/Logging_0188/klagomålsmail/A 12215-2022 FSC-klagomål mail.docx", "A 12215-2022")</f>
        <v/>
      </c>
      <c r="X205">
        <f>HYPERLINK("https://klasma.github.io/Logging_0188/tillsyn/A 12215-2022 tillsynsbegäran.docx", "A 12215-2022")</f>
        <v/>
      </c>
      <c r="Y205">
        <f>HYPERLINK("https://klasma.github.io/Logging_0188/tillsynsmail/A 12215-2022 tillsynsbegäran mail.docx", "A 12215-2022")</f>
        <v/>
      </c>
    </row>
    <row r="206" ht="15" customHeight="1">
      <c r="A206" t="inlineStr">
        <is>
          <t>A 12620-2022</t>
        </is>
      </c>
      <c r="B206" s="1" t="n">
        <v>44638</v>
      </c>
      <c r="C206" s="1" t="n">
        <v>45672</v>
      </c>
      <c r="D206" t="inlineStr">
        <is>
          <t>STOCKHOLMS LÄN</t>
        </is>
      </c>
      <c r="E206" t="inlineStr">
        <is>
          <t>ÖSTERÅKER</t>
        </is>
      </c>
      <c r="G206" t="n">
        <v>9.4</v>
      </c>
      <c r="H206" t="n">
        <v>1</v>
      </c>
      <c r="I206" t="n">
        <v>1</v>
      </c>
      <c r="J206" t="n">
        <v>0</v>
      </c>
      <c r="K206" t="n">
        <v>1</v>
      </c>
      <c r="L206" t="n">
        <v>0</v>
      </c>
      <c r="M206" t="n">
        <v>0</v>
      </c>
      <c r="N206" t="n">
        <v>0</v>
      </c>
      <c r="O206" t="n">
        <v>1</v>
      </c>
      <c r="P206" t="n">
        <v>1</v>
      </c>
      <c r="Q206" t="n">
        <v>3</v>
      </c>
      <c r="R206" s="2" t="inlineStr">
        <is>
          <t>Taggfingersvamp
Fällmossa
Blåsippa</t>
        </is>
      </c>
      <c r="S206">
        <f>HYPERLINK("https://klasma.github.io/Logging_0117/artfynd/A 12620-2022 artfynd.xlsx", "A 12620-2022")</f>
        <v/>
      </c>
      <c r="T206">
        <f>HYPERLINK("https://klasma.github.io/Logging_0117/kartor/A 12620-2022 karta.png", "A 12620-2022")</f>
        <v/>
      </c>
      <c r="V206">
        <f>HYPERLINK("https://klasma.github.io/Logging_0117/klagomål/A 12620-2022 FSC-klagomål.docx", "A 12620-2022")</f>
        <v/>
      </c>
      <c r="W206">
        <f>HYPERLINK("https://klasma.github.io/Logging_0117/klagomålsmail/A 12620-2022 FSC-klagomål mail.docx", "A 12620-2022")</f>
        <v/>
      </c>
      <c r="X206">
        <f>HYPERLINK("https://klasma.github.io/Logging_0117/tillsyn/A 12620-2022 tillsynsbegäran.docx", "A 12620-2022")</f>
        <v/>
      </c>
      <c r="Y206">
        <f>HYPERLINK("https://klasma.github.io/Logging_0117/tillsynsmail/A 12620-2022 tillsynsbegäran mail.docx", "A 12620-2022")</f>
        <v/>
      </c>
    </row>
    <row r="207" ht="15" customHeight="1">
      <c r="A207" t="inlineStr">
        <is>
          <t>A 20185-2022</t>
        </is>
      </c>
      <c r="B207" s="1" t="n">
        <v>44698</v>
      </c>
      <c r="C207" s="1" t="n">
        <v>45672</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45672</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45672</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45672</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45672</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45672</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45672</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45672</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45672</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45672</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45672</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45672</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45672</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45672</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45672</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45672</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45672</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45672</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45672</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45672</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45672</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45672</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45672</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45672</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45672</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45672</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52259-2024</t>
        </is>
      </c>
      <c r="B233" s="1" t="n">
        <v>45608</v>
      </c>
      <c r="C233" s="1" t="n">
        <v>45672</v>
      </c>
      <c r="D233" t="inlineStr">
        <is>
          <t>STOCKHOLMS LÄN</t>
        </is>
      </c>
      <c r="E233" t="inlineStr">
        <is>
          <t>HUDDINGE</t>
        </is>
      </c>
      <c r="F233" t="inlineStr">
        <is>
          <t>Kommuner</t>
        </is>
      </c>
      <c r="G233" t="n">
        <v>11.8</v>
      </c>
      <c r="H233" t="n">
        <v>3</v>
      </c>
      <c r="I233" t="n">
        <v>0</v>
      </c>
      <c r="J233" t="n">
        <v>2</v>
      </c>
      <c r="K233" t="n">
        <v>0</v>
      </c>
      <c r="L233" t="n">
        <v>0</v>
      </c>
      <c r="M233" t="n">
        <v>0</v>
      </c>
      <c r="N233" t="n">
        <v>0</v>
      </c>
      <c r="O233" t="n">
        <v>2</v>
      </c>
      <c r="P233" t="n">
        <v>0</v>
      </c>
      <c r="Q233" t="n">
        <v>3</v>
      </c>
      <c r="R233" s="2" t="inlineStr">
        <is>
          <t>Gulsparv
Svartvit flugsnappare
Grönsiska</t>
        </is>
      </c>
      <c r="S233">
        <f>HYPERLINK("https://klasma.github.io/Logging_0126/artfynd/A 52259-2024 artfynd.xlsx", "A 52259-2024")</f>
        <v/>
      </c>
      <c r="T233">
        <f>HYPERLINK("https://klasma.github.io/Logging_0126/kartor/A 52259-2024 karta.png", "A 52259-2024")</f>
        <v/>
      </c>
      <c r="V233">
        <f>HYPERLINK("https://klasma.github.io/Logging_0126/klagomål/A 52259-2024 FSC-klagomål.docx", "A 52259-2024")</f>
        <v/>
      </c>
      <c r="W233">
        <f>HYPERLINK("https://klasma.github.io/Logging_0126/klagomålsmail/A 52259-2024 FSC-klagomål mail.docx", "A 52259-2024")</f>
        <v/>
      </c>
      <c r="X233">
        <f>HYPERLINK("https://klasma.github.io/Logging_0126/tillsyn/A 52259-2024 tillsynsbegäran.docx", "A 52259-2024")</f>
        <v/>
      </c>
      <c r="Y233">
        <f>HYPERLINK("https://klasma.github.io/Logging_0126/tillsynsmail/A 52259-2024 tillsynsbegäran mail.docx", "A 52259-2024")</f>
        <v/>
      </c>
      <c r="Z233">
        <f>HYPERLINK("https://klasma.github.io/Logging_0126/fåglar/A 52259-2024 prioriterade fågelarter.docx", "A 52259-2024")</f>
        <v/>
      </c>
    </row>
    <row r="234" ht="15" customHeight="1">
      <c r="A234" t="inlineStr">
        <is>
          <t>A 53065-2024</t>
        </is>
      </c>
      <c r="B234" s="1" t="n">
        <v>45611</v>
      </c>
      <c r="C234" s="1" t="n">
        <v>45672</v>
      </c>
      <c r="D234" t="inlineStr">
        <is>
          <t>STOCKHOLMS LÄN</t>
        </is>
      </c>
      <c r="E234" t="inlineStr">
        <is>
          <t>NORRTÄLJE</t>
        </is>
      </c>
      <c r="G234" t="n">
        <v>12.3</v>
      </c>
      <c r="H234" t="n">
        <v>0</v>
      </c>
      <c r="I234" t="n">
        <v>1</v>
      </c>
      <c r="J234" t="n">
        <v>1</v>
      </c>
      <c r="K234" t="n">
        <v>1</v>
      </c>
      <c r="L234" t="n">
        <v>0</v>
      </c>
      <c r="M234" t="n">
        <v>0</v>
      </c>
      <c r="N234" t="n">
        <v>0</v>
      </c>
      <c r="O234" t="n">
        <v>2</v>
      </c>
      <c r="P234" t="n">
        <v>1</v>
      </c>
      <c r="Q234" t="n">
        <v>3</v>
      </c>
      <c r="R234" s="2" t="inlineStr">
        <is>
          <t>Aspsplintbock
Grön aspvedbock
Gulröd blankbock</t>
        </is>
      </c>
      <c r="S234">
        <f>HYPERLINK("https://klasma.github.io/Logging_0188/artfynd/A 53065-2024 artfynd.xlsx", "A 53065-2024")</f>
        <v/>
      </c>
      <c r="T234">
        <f>HYPERLINK("https://klasma.github.io/Logging_0188/kartor/A 53065-2024 karta.png", "A 53065-2024")</f>
        <v/>
      </c>
      <c r="V234">
        <f>HYPERLINK("https://klasma.github.io/Logging_0188/klagomål/A 53065-2024 FSC-klagomål.docx", "A 53065-2024")</f>
        <v/>
      </c>
      <c r="W234">
        <f>HYPERLINK("https://klasma.github.io/Logging_0188/klagomålsmail/A 53065-2024 FSC-klagomål mail.docx", "A 53065-2024")</f>
        <v/>
      </c>
      <c r="X234">
        <f>HYPERLINK("https://klasma.github.io/Logging_0188/tillsyn/A 53065-2024 tillsynsbegäran.docx", "A 53065-2024")</f>
        <v/>
      </c>
      <c r="Y234">
        <f>HYPERLINK("https://klasma.github.io/Logging_0188/tillsynsmail/A 53065-2024 tillsynsbegäran mail.docx", "A 53065-2024")</f>
        <v/>
      </c>
    </row>
    <row r="235" ht="15" customHeight="1">
      <c r="A235" t="inlineStr">
        <is>
          <t>A 54110-2024</t>
        </is>
      </c>
      <c r="B235" s="1" t="n">
        <v>45616</v>
      </c>
      <c r="C235" s="1" t="n">
        <v>45672</v>
      </c>
      <c r="D235" t="inlineStr">
        <is>
          <t>STOCKHOLMS LÄN</t>
        </is>
      </c>
      <c r="E235" t="inlineStr">
        <is>
          <t>NORRTÄLJE</t>
        </is>
      </c>
      <c r="G235" t="n">
        <v>6.7</v>
      </c>
      <c r="H235" t="n">
        <v>2</v>
      </c>
      <c r="I235" t="n">
        <v>0</v>
      </c>
      <c r="J235" t="n">
        <v>1</v>
      </c>
      <c r="K235" t="n">
        <v>0</v>
      </c>
      <c r="L235" t="n">
        <v>0</v>
      </c>
      <c r="M235" t="n">
        <v>0</v>
      </c>
      <c r="N235" t="n">
        <v>0</v>
      </c>
      <c r="O235" t="n">
        <v>1</v>
      </c>
      <c r="P235" t="n">
        <v>0</v>
      </c>
      <c r="Q235" t="n">
        <v>3</v>
      </c>
      <c r="R235" s="2" t="inlineStr">
        <is>
          <t>Klasefibbla
Nattviol
Gullviva</t>
        </is>
      </c>
      <c r="S235">
        <f>HYPERLINK("https://klasma.github.io/Logging_0188/artfynd/A 54110-2024 artfynd.xlsx", "A 54110-2024")</f>
        <v/>
      </c>
      <c r="T235">
        <f>HYPERLINK("https://klasma.github.io/Logging_0188/kartor/A 54110-2024 karta.png", "A 54110-2024")</f>
        <v/>
      </c>
      <c r="V235">
        <f>HYPERLINK("https://klasma.github.io/Logging_0188/klagomål/A 54110-2024 FSC-klagomål.docx", "A 54110-2024")</f>
        <v/>
      </c>
      <c r="W235">
        <f>HYPERLINK("https://klasma.github.io/Logging_0188/klagomålsmail/A 54110-2024 FSC-klagomål mail.docx", "A 54110-2024")</f>
        <v/>
      </c>
      <c r="X235">
        <f>HYPERLINK("https://klasma.github.io/Logging_0188/tillsyn/A 54110-2024 tillsynsbegäran.docx", "A 54110-2024")</f>
        <v/>
      </c>
      <c r="Y235">
        <f>HYPERLINK("https://klasma.github.io/Logging_0188/tillsynsmail/A 54110-2024 tillsynsbegäran mail.docx", "A 54110-2024")</f>
        <v/>
      </c>
    </row>
    <row r="236" ht="15" customHeight="1">
      <c r="A236" t="inlineStr">
        <is>
          <t>A 23830-2019</t>
        </is>
      </c>
      <c r="B236" s="1" t="n">
        <v>43595</v>
      </c>
      <c r="C236" s="1" t="n">
        <v>45672</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45672</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45672</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45672</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45672</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45672</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45672</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45672</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45672</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45672</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45672</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45672</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45672</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45672</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45672</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45672</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45672</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45672</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45672</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45672</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45672</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45672</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45672</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45672</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45672</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45672</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45672</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45672</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45672</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45672</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45672</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45672</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45672</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45672</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45672</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45672</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45672</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17244-2022</t>
        </is>
      </c>
      <c r="B273" s="1" t="n">
        <v>44678</v>
      </c>
      <c r="C273" s="1" t="n">
        <v>45672</v>
      </c>
      <c r="D273" t="inlineStr">
        <is>
          <t>STOCKHOLMS LÄN</t>
        </is>
      </c>
      <c r="E273" t="inlineStr">
        <is>
          <t>ÖSTERÅKER</t>
        </is>
      </c>
      <c r="G273" t="n">
        <v>1.4</v>
      </c>
      <c r="H273" t="n">
        <v>1</v>
      </c>
      <c r="I273" t="n">
        <v>2</v>
      </c>
      <c r="J273" t="n">
        <v>0</v>
      </c>
      <c r="K273" t="n">
        <v>0</v>
      </c>
      <c r="L273" t="n">
        <v>0</v>
      </c>
      <c r="M273" t="n">
        <v>0</v>
      </c>
      <c r="N273" t="n">
        <v>0</v>
      </c>
      <c r="O273" t="n">
        <v>0</v>
      </c>
      <c r="P273" t="n">
        <v>0</v>
      </c>
      <c r="Q273" t="n">
        <v>2</v>
      </c>
      <c r="R273" s="2" t="inlineStr">
        <is>
          <t>Bronshjon
Grön sköldmossa</t>
        </is>
      </c>
      <c r="S273">
        <f>HYPERLINK("https://klasma.github.io/Logging_0117/artfynd/A 17244-2022 artfynd.xlsx", "A 17244-2022")</f>
        <v/>
      </c>
      <c r="T273">
        <f>HYPERLINK("https://klasma.github.io/Logging_0117/kartor/A 17244-2022 karta.png", "A 17244-2022")</f>
        <v/>
      </c>
      <c r="V273">
        <f>HYPERLINK("https://klasma.github.io/Logging_0117/klagomål/A 17244-2022 FSC-klagomål.docx", "A 17244-2022")</f>
        <v/>
      </c>
      <c r="W273">
        <f>HYPERLINK("https://klasma.github.io/Logging_0117/klagomålsmail/A 17244-2022 FSC-klagomål mail.docx", "A 17244-2022")</f>
        <v/>
      </c>
      <c r="X273">
        <f>HYPERLINK("https://klasma.github.io/Logging_0117/tillsyn/A 17244-2022 tillsynsbegäran.docx", "A 17244-2022")</f>
        <v/>
      </c>
      <c r="Y273">
        <f>HYPERLINK("https://klasma.github.io/Logging_0117/tillsynsmail/A 17244-2022 tillsynsbegäran mail.docx", "A 17244-2022")</f>
        <v/>
      </c>
    </row>
    <row r="274" ht="15" customHeight="1">
      <c r="A274" t="inlineStr">
        <is>
          <t>A 19862-2022</t>
        </is>
      </c>
      <c r="B274" s="1" t="n">
        <v>44696</v>
      </c>
      <c r="C274" s="1" t="n">
        <v>45672</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45672</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45672</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45672</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45672</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45672</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45672</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45672</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45672</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45672</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45672</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45672</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45672</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45672</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45672</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45672</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45672</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45672</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45672</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45672</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45672</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45672</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45672</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45672</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45672</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45672</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45672</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45672</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45672</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45672</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45672</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45672</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45672</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45672</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45672</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45672</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45672</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45672</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45672</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45672</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45672</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45672</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45672</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45672</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45672</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45672</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45672</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45672</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45672</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45672</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45672</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45672</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45672</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45672</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26-2025</t>
        </is>
      </c>
      <c r="B328" s="1" t="n">
        <v>45659</v>
      </c>
      <c r="C328" s="1" t="n">
        <v>45672</v>
      </c>
      <c r="D328" t="inlineStr">
        <is>
          <t>STOCKHOLMS LÄN</t>
        </is>
      </c>
      <c r="E328" t="inlineStr">
        <is>
          <t>BOTKYRKA</t>
        </is>
      </c>
      <c r="G328" t="n">
        <v>1.7</v>
      </c>
      <c r="H328" t="n">
        <v>1</v>
      </c>
      <c r="I328" t="n">
        <v>0</v>
      </c>
      <c r="J328" t="n">
        <v>2</v>
      </c>
      <c r="K328" t="n">
        <v>0</v>
      </c>
      <c r="L328" t="n">
        <v>0</v>
      </c>
      <c r="M328" t="n">
        <v>0</v>
      </c>
      <c r="N328" t="n">
        <v>0</v>
      </c>
      <c r="O328" t="n">
        <v>2</v>
      </c>
      <c r="P328" t="n">
        <v>0</v>
      </c>
      <c r="Q328" t="n">
        <v>2</v>
      </c>
      <c r="R328" s="2" t="inlineStr">
        <is>
          <t>Granticka
Spillkråka</t>
        </is>
      </c>
      <c r="S328">
        <f>HYPERLINK("https://klasma.github.io/Logging_0127/artfynd/A 26-2025 artfynd.xlsx", "A 26-2025")</f>
        <v/>
      </c>
      <c r="T328">
        <f>HYPERLINK("https://klasma.github.io/Logging_0127/kartor/A 26-2025 karta.png", "A 26-2025")</f>
        <v/>
      </c>
      <c r="V328">
        <f>HYPERLINK("https://klasma.github.io/Logging_0127/klagomål/A 26-2025 FSC-klagomål.docx", "A 26-2025")</f>
        <v/>
      </c>
      <c r="W328">
        <f>HYPERLINK("https://klasma.github.io/Logging_0127/klagomålsmail/A 26-2025 FSC-klagomål mail.docx", "A 26-2025")</f>
        <v/>
      </c>
      <c r="X328">
        <f>HYPERLINK("https://klasma.github.io/Logging_0127/tillsyn/A 26-2025 tillsynsbegäran.docx", "A 26-2025")</f>
        <v/>
      </c>
      <c r="Y328">
        <f>HYPERLINK("https://klasma.github.io/Logging_0127/tillsynsmail/A 26-2025 tillsynsbegäran mail.docx", "A 26-2025")</f>
        <v/>
      </c>
      <c r="Z328">
        <f>HYPERLINK("https://klasma.github.io/Logging_0127/fåglar/A 26-2025 prioriterade fågelarter.docx", "A 26-2025")</f>
        <v/>
      </c>
    </row>
    <row r="329" ht="15" customHeight="1">
      <c r="A329" t="inlineStr">
        <is>
          <t>A 20740-2019</t>
        </is>
      </c>
      <c r="B329" s="1" t="n">
        <v>43573</v>
      </c>
      <c r="C329" s="1" t="n">
        <v>45672</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Slåtterfibbla</t>
        </is>
      </c>
      <c r="S329">
        <f>HYPERLINK("https://klasma.github.io/Logging_0188/artfynd/A 20740-2019 artfynd.xlsx", "A 20740-2019")</f>
        <v/>
      </c>
      <c r="T329">
        <f>HYPERLINK("https://klasma.github.io/Logging_0188/kartor/A 20740-2019 karta.png", "A 20740-2019")</f>
        <v/>
      </c>
      <c r="V329">
        <f>HYPERLINK("https://klasma.github.io/Logging_0188/klagomål/A 20740-2019 FSC-klagomål.docx", "A 20740-2019")</f>
        <v/>
      </c>
      <c r="W329">
        <f>HYPERLINK("https://klasma.github.io/Logging_0188/klagomålsmail/A 20740-2019 FSC-klagomål mail.docx", "A 20740-2019")</f>
        <v/>
      </c>
      <c r="X329">
        <f>HYPERLINK("https://klasma.github.io/Logging_0188/tillsyn/A 20740-2019 tillsynsbegäran.docx", "A 20740-2019")</f>
        <v/>
      </c>
      <c r="Y329">
        <f>HYPERLINK("https://klasma.github.io/Logging_0188/tillsynsmail/A 20740-2019 tillsynsbegäran mail.docx", "A 20740-2019")</f>
        <v/>
      </c>
    </row>
    <row r="330" ht="15" customHeight="1">
      <c r="A330" t="inlineStr">
        <is>
          <t>A 24362-2019</t>
        </is>
      </c>
      <c r="B330" s="1" t="n">
        <v>43599</v>
      </c>
      <c r="C330" s="1" t="n">
        <v>45672</v>
      </c>
      <c r="D330" t="inlineStr">
        <is>
          <t>STOCKHOLMS LÄN</t>
        </is>
      </c>
      <c r="E330" t="inlineStr">
        <is>
          <t>NYNÄSHAMN</t>
        </is>
      </c>
      <c r="F330" t="inlineStr">
        <is>
          <t>Kommuner</t>
        </is>
      </c>
      <c r="G330" t="n">
        <v>2.3</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24362-2019 artfynd.xlsx", "A 24362-2019")</f>
        <v/>
      </c>
      <c r="T330">
        <f>HYPERLINK("https://klasma.github.io/Logging_0192/kartor/A 24362-2019 karta.png", "A 24362-2019")</f>
        <v/>
      </c>
      <c r="V330">
        <f>HYPERLINK("https://klasma.github.io/Logging_0192/klagomål/A 24362-2019 FSC-klagomål.docx", "A 24362-2019")</f>
        <v/>
      </c>
      <c r="W330">
        <f>HYPERLINK("https://klasma.github.io/Logging_0192/klagomålsmail/A 24362-2019 FSC-klagomål mail.docx", "A 24362-2019")</f>
        <v/>
      </c>
      <c r="X330">
        <f>HYPERLINK("https://klasma.github.io/Logging_0192/tillsyn/A 24362-2019 tillsynsbegäran.docx", "A 24362-2019")</f>
        <v/>
      </c>
      <c r="Y330">
        <f>HYPERLINK("https://klasma.github.io/Logging_0192/tillsynsmail/A 24362-2019 tillsynsbegäran mail.docx", "A 24362-2019")</f>
        <v/>
      </c>
    </row>
    <row r="331" ht="15" customHeight="1">
      <c r="A331" t="inlineStr">
        <is>
          <t>A 26275-2019</t>
        </is>
      </c>
      <c r="B331" s="1" t="n">
        <v>43611</v>
      </c>
      <c r="C331" s="1" t="n">
        <v>45672</v>
      </c>
      <c r="D331" t="inlineStr">
        <is>
          <t>STOCKHOLMS LÄN</t>
        </is>
      </c>
      <c r="E331" t="inlineStr">
        <is>
          <t>NORRTÄLJE</t>
        </is>
      </c>
      <c r="G331" t="n">
        <v>0.5</v>
      </c>
      <c r="H331" t="n">
        <v>0</v>
      </c>
      <c r="I331" t="n">
        <v>1</v>
      </c>
      <c r="J331" t="n">
        <v>0</v>
      </c>
      <c r="K331" t="n">
        <v>0</v>
      </c>
      <c r="L331" t="n">
        <v>0</v>
      </c>
      <c r="M331" t="n">
        <v>0</v>
      </c>
      <c r="N331" t="n">
        <v>0</v>
      </c>
      <c r="O331" t="n">
        <v>0</v>
      </c>
      <c r="P331" t="n">
        <v>0</v>
      </c>
      <c r="Q331" t="n">
        <v>1</v>
      </c>
      <c r="R331" s="2" t="inlineStr">
        <is>
          <t>Blåmossa</t>
        </is>
      </c>
      <c r="S331">
        <f>HYPERLINK("https://klasma.github.io/Logging_0188/artfynd/A 26275-2019 artfynd.xlsx", "A 26275-2019")</f>
        <v/>
      </c>
      <c r="T331">
        <f>HYPERLINK("https://klasma.github.io/Logging_0188/kartor/A 26275-2019 karta.png", "A 26275-2019")</f>
        <v/>
      </c>
      <c r="V331">
        <f>HYPERLINK("https://klasma.github.io/Logging_0188/klagomål/A 26275-2019 FSC-klagomål.docx", "A 26275-2019")</f>
        <v/>
      </c>
      <c r="W331">
        <f>HYPERLINK("https://klasma.github.io/Logging_0188/klagomålsmail/A 26275-2019 FSC-klagomål mail.docx", "A 26275-2019")</f>
        <v/>
      </c>
      <c r="X331">
        <f>HYPERLINK("https://klasma.github.io/Logging_0188/tillsyn/A 26275-2019 tillsynsbegäran.docx", "A 26275-2019")</f>
        <v/>
      </c>
      <c r="Y331">
        <f>HYPERLINK("https://klasma.github.io/Logging_0188/tillsynsmail/A 26275-2019 tillsynsbegäran mail.docx", "A 26275-2019")</f>
        <v/>
      </c>
    </row>
    <row r="332" ht="15" customHeight="1">
      <c r="A332" t="inlineStr">
        <is>
          <t>A 27513-2019</t>
        </is>
      </c>
      <c r="B332" s="1" t="n">
        <v>43619</v>
      </c>
      <c r="C332" s="1" t="n">
        <v>45672</v>
      </c>
      <c r="D332" t="inlineStr">
        <is>
          <t>STOCKHOLMS LÄN</t>
        </is>
      </c>
      <c r="E332" t="inlineStr">
        <is>
          <t>SÖDERTÄLJE</t>
        </is>
      </c>
      <c r="F332" t="inlineStr">
        <is>
          <t>Sveaskog</t>
        </is>
      </c>
      <c r="G332" t="n">
        <v>2.9</v>
      </c>
      <c r="H332" t="n">
        <v>0</v>
      </c>
      <c r="I332" t="n">
        <v>0</v>
      </c>
      <c r="J332" t="n">
        <v>1</v>
      </c>
      <c r="K332" t="n">
        <v>0</v>
      </c>
      <c r="L332" t="n">
        <v>0</v>
      </c>
      <c r="M332" t="n">
        <v>0</v>
      </c>
      <c r="N332" t="n">
        <v>0</v>
      </c>
      <c r="O332" t="n">
        <v>1</v>
      </c>
      <c r="P332" t="n">
        <v>0</v>
      </c>
      <c r="Q332" t="n">
        <v>1</v>
      </c>
      <c r="R332" s="2" t="inlineStr">
        <is>
          <t>Vedtrappmossa</t>
        </is>
      </c>
      <c r="S332">
        <f>HYPERLINK("https://klasma.github.io/Logging_0181/artfynd/A 27513-2019 artfynd.xlsx", "A 27513-2019")</f>
        <v/>
      </c>
      <c r="T332">
        <f>HYPERLINK("https://klasma.github.io/Logging_0181/kartor/A 27513-2019 karta.png", "A 27513-2019")</f>
        <v/>
      </c>
      <c r="V332">
        <f>HYPERLINK("https://klasma.github.io/Logging_0181/klagomål/A 27513-2019 FSC-klagomål.docx", "A 27513-2019")</f>
        <v/>
      </c>
      <c r="W332">
        <f>HYPERLINK("https://klasma.github.io/Logging_0181/klagomålsmail/A 27513-2019 FSC-klagomål mail.docx", "A 27513-2019")</f>
        <v/>
      </c>
      <c r="X332">
        <f>HYPERLINK("https://klasma.github.io/Logging_0181/tillsyn/A 27513-2019 tillsynsbegäran.docx", "A 27513-2019")</f>
        <v/>
      </c>
      <c r="Y332">
        <f>HYPERLINK("https://klasma.github.io/Logging_0181/tillsynsmail/A 27513-2019 tillsynsbegäran mail.docx", "A 27513-2019")</f>
        <v/>
      </c>
    </row>
    <row r="333" ht="15" customHeight="1">
      <c r="A333" t="inlineStr">
        <is>
          <t>A 29513-2019</t>
        </is>
      </c>
      <c r="B333" s="1" t="n">
        <v>43627</v>
      </c>
      <c r="C333" s="1" t="n">
        <v>45672</v>
      </c>
      <c r="D333" t="inlineStr">
        <is>
          <t>STOCKHOLMS LÄN</t>
        </is>
      </c>
      <c r="E333" t="inlineStr">
        <is>
          <t>HANINGE</t>
        </is>
      </c>
      <c r="G333" t="n">
        <v>2.1</v>
      </c>
      <c r="H333" t="n">
        <v>1</v>
      </c>
      <c r="I333" t="n">
        <v>0</v>
      </c>
      <c r="J333" t="n">
        <v>1</v>
      </c>
      <c r="K333" t="n">
        <v>0</v>
      </c>
      <c r="L333" t="n">
        <v>0</v>
      </c>
      <c r="M333" t="n">
        <v>0</v>
      </c>
      <c r="N333" t="n">
        <v>0</v>
      </c>
      <c r="O333" t="n">
        <v>1</v>
      </c>
      <c r="P333" t="n">
        <v>0</v>
      </c>
      <c r="Q333" t="n">
        <v>1</v>
      </c>
      <c r="R333" s="2" t="inlineStr">
        <is>
          <t>Spillkråka</t>
        </is>
      </c>
      <c r="S333">
        <f>HYPERLINK("https://klasma.github.io/Logging_0136/artfynd/A 29513-2019 artfynd.xlsx", "A 29513-2019")</f>
        <v/>
      </c>
      <c r="T333">
        <f>HYPERLINK("https://klasma.github.io/Logging_0136/kartor/A 29513-2019 karta.png", "A 29513-2019")</f>
        <v/>
      </c>
      <c r="V333">
        <f>HYPERLINK("https://klasma.github.io/Logging_0136/klagomål/A 29513-2019 FSC-klagomål.docx", "A 29513-2019")</f>
        <v/>
      </c>
      <c r="W333">
        <f>HYPERLINK("https://klasma.github.io/Logging_0136/klagomålsmail/A 29513-2019 FSC-klagomål mail.docx", "A 29513-2019")</f>
        <v/>
      </c>
      <c r="X333">
        <f>HYPERLINK("https://klasma.github.io/Logging_0136/tillsyn/A 29513-2019 tillsynsbegäran.docx", "A 29513-2019")</f>
        <v/>
      </c>
      <c r="Y333">
        <f>HYPERLINK("https://klasma.github.io/Logging_0136/tillsynsmail/A 29513-2019 tillsynsbegäran mail.docx", "A 29513-2019")</f>
        <v/>
      </c>
      <c r="Z333">
        <f>HYPERLINK("https://klasma.github.io/Logging_0136/fåglar/A 29513-2019 prioriterade fågelarter.docx", "A 29513-2019")</f>
        <v/>
      </c>
    </row>
    <row r="334" ht="15" customHeight="1">
      <c r="A334" t="inlineStr">
        <is>
          <t>A 30011-2019</t>
        </is>
      </c>
      <c r="B334" s="1" t="n">
        <v>43633</v>
      </c>
      <c r="C334" s="1" t="n">
        <v>45672</v>
      </c>
      <c r="D334" t="inlineStr">
        <is>
          <t>STOCKHOLMS LÄN</t>
        </is>
      </c>
      <c r="E334" t="inlineStr">
        <is>
          <t>NORRTÄLJE</t>
        </is>
      </c>
      <c r="G334" t="n">
        <v>2.6</v>
      </c>
      <c r="H334" t="n">
        <v>0</v>
      </c>
      <c r="I334" t="n">
        <v>1</v>
      </c>
      <c r="J334" t="n">
        <v>0</v>
      </c>
      <c r="K334" t="n">
        <v>0</v>
      </c>
      <c r="L334" t="n">
        <v>0</v>
      </c>
      <c r="M334" t="n">
        <v>0</v>
      </c>
      <c r="N334" t="n">
        <v>0</v>
      </c>
      <c r="O334" t="n">
        <v>0</v>
      </c>
      <c r="P334" t="n">
        <v>0</v>
      </c>
      <c r="Q334" t="n">
        <v>1</v>
      </c>
      <c r="R334" s="2" t="inlineStr">
        <is>
          <t>Tibast</t>
        </is>
      </c>
      <c r="S334">
        <f>HYPERLINK("https://klasma.github.io/Logging_0188/artfynd/A 30011-2019 artfynd.xlsx", "A 30011-2019")</f>
        <v/>
      </c>
      <c r="T334">
        <f>HYPERLINK("https://klasma.github.io/Logging_0188/kartor/A 30011-2019 karta.png", "A 30011-2019")</f>
        <v/>
      </c>
      <c r="V334">
        <f>HYPERLINK("https://klasma.github.io/Logging_0188/klagomål/A 30011-2019 FSC-klagomål.docx", "A 30011-2019")</f>
        <v/>
      </c>
      <c r="W334">
        <f>HYPERLINK("https://klasma.github.io/Logging_0188/klagomålsmail/A 30011-2019 FSC-klagomål mail.docx", "A 30011-2019")</f>
        <v/>
      </c>
      <c r="X334">
        <f>HYPERLINK("https://klasma.github.io/Logging_0188/tillsyn/A 30011-2019 tillsynsbegäran.docx", "A 30011-2019")</f>
        <v/>
      </c>
      <c r="Y334">
        <f>HYPERLINK("https://klasma.github.io/Logging_0188/tillsynsmail/A 30011-2019 tillsynsbegäran mail.docx", "A 30011-2019")</f>
        <v/>
      </c>
    </row>
    <row r="335" ht="15" customHeight="1">
      <c r="A335" t="inlineStr">
        <is>
          <t>A 31167-2019</t>
        </is>
      </c>
      <c r="B335" s="1" t="n">
        <v>43635</v>
      </c>
      <c r="C335" s="1" t="n">
        <v>45672</v>
      </c>
      <c r="D335" t="inlineStr">
        <is>
          <t>STOCKHOLMS LÄN</t>
        </is>
      </c>
      <c r="E335" t="inlineStr">
        <is>
          <t>EKERÖ</t>
        </is>
      </c>
      <c r="F335" t="inlineStr">
        <is>
          <t>Övriga statliga verk och myndigheter</t>
        </is>
      </c>
      <c r="G335" t="n">
        <v>3.7</v>
      </c>
      <c r="H335" t="n">
        <v>1</v>
      </c>
      <c r="I335" t="n">
        <v>0</v>
      </c>
      <c r="J335" t="n">
        <v>0</v>
      </c>
      <c r="K335" t="n">
        <v>1</v>
      </c>
      <c r="L335" t="n">
        <v>0</v>
      </c>
      <c r="M335" t="n">
        <v>0</v>
      </c>
      <c r="N335" t="n">
        <v>0</v>
      </c>
      <c r="O335" t="n">
        <v>1</v>
      </c>
      <c r="P335" t="n">
        <v>1</v>
      </c>
      <c r="Q335" t="n">
        <v>1</v>
      </c>
      <c r="R335" s="2" t="inlineStr">
        <is>
          <t>Läderbagge</t>
        </is>
      </c>
      <c r="S335">
        <f>HYPERLINK("https://klasma.github.io/Logging_0125/artfynd/A 31167-2019 artfynd.xlsx", "A 31167-2019")</f>
        <v/>
      </c>
      <c r="T335">
        <f>HYPERLINK("https://klasma.github.io/Logging_0125/kartor/A 31167-2019 karta.png", "A 31167-2019")</f>
        <v/>
      </c>
      <c r="V335">
        <f>HYPERLINK("https://klasma.github.io/Logging_0125/klagomål/A 31167-2019 FSC-klagomål.docx", "A 31167-2019")</f>
        <v/>
      </c>
      <c r="W335">
        <f>HYPERLINK("https://klasma.github.io/Logging_0125/klagomålsmail/A 31167-2019 FSC-klagomål mail.docx", "A 31167-2019")</f>
        <v/>
      </c>
      <c r="X335">
        <f>HYPERLINK("https://klasma.github.io/Logging_0125/tillsyn/A 31167-2019 tillsynsbegäran.docx", "A 31167-2019")</f>
        <v/>
      </c>
      <c r="Y335">
        <f>HYPERLINK("https://klasma.github.io/Logging_0125/tillsynsmail/A 31167-2019 tillsynsbegäran mail.docx", "A 31167-2019")</f>
        <v/>
      </c>
    </row>
    <row r="336" ht="15" customHeight="1">
      <c r="A336" t="inlineStr">
        <is>
          <t>A 38137-2019</t>
        </is>
      </c>
      <c r="B336" s="1" t="n">
        <v>43684</v>
      </c>
      <c r="C336" s="1" t="n">
        <v>45672</v>
      </c>
      <c r="D336" t="inlineStr">
        <is>
          <t>STOCKHOLMS LÄN</t>
        </is>
      </c>
      <c r="E336" t="inlineStr">
        <is>
          <t>NORRTÄLJE</t>
        </is>
      </c>
      <c r="G336" t="n">
        <v>12.9</v>
      </c>
      <c r="H336" t="n">
        <v>0</v>
      </c>
      <c r="I336" t="n">
        <v>0</v>
      </c>
      <c r="J336" t="n">
        <v>1</v>
      </c>
      <c r="K336" t="n">
        <v>0</v>
      </c>
      <c r="L336" t="n">
        <v>0</v>
      </c>
      <c r="M336" t="n">
        <v>0</v>
      </c>
      <c r="N336" t="n">
        <v>0</v>
      </c>
      <c r="O336" t="n">
        <v>1</v>
      </c>
      <c r="P336" t="n">
        <v>0</v>
      </c>
      <c r="Q336" t="n">
        <v>1</v>
      </c>
      <c r="R336" s="2" t="inlineStr">
        <is>
          <t>Rutskinn</t>
        </is>
      </c>
      <c r="S336">
        <f>HYPERLINK("https://klasma.github.io/Logging_0188/artfynd/A 38137-2019 artfynd.xlsx", "A 38137-2019")</f>
        <v/>
      </c>
      <c r="T336">
        <f>HYPERLINK("https://klasma.github.io/Logging_0188/kartor/A 38137-2019 karta.png", "A 38137-2019")</f>
        <v/>
      </c>
      <c r="V336">
        <f>HYPERLINK("https://klasma.github.io/Logging_0188/klagomål/A 38137-2019 FSC-klagomål.docx", "A 38137-2019")</f>
        <v/>
      </c>
      <c r="W336">
        <f>HYPERLINK("https://klasma.github.io/Logging_0188/klagomålsmail/A 38137-2019 FSC-klagomål mail.docx", "A 38137-2019")</f>
        <v/>
      </c>
      <c r="X336">
        <f>HYPERLINK("https://klasma.github.io/Logging_0188/tillsyn/A 38137-2019 tillsynsbegäran.docx", "A 38137-2019")</f>
        <v/>
      </c>
      <c r="Y336">
        <f>HYPERLINK("https://klasma.github.io/Logging_0188/tillsynsmail/A 38137-2019 tillsynsbegäran mail.docx", "A 38137-2019")</f>
        <v/>
      </c>
    </row>
    <row r="337" ht="15" customHeight="1">
      <c r="A337" t="inlineStr">
        <is>
          <t>A 42497-2019</t>
        </is>
      </c>
      <c r="B337" s="1" t="n">
        <v>43699</v>
      </c>
      <c r="C337" s="1" t="n">
        <v>45672</v>
      </c>
      <c r="D337" t="inlineStr">
        <is>
          <t>STOCKHOLMS LÄN</t>
        </is>
      </c>
      <c r="E337" t="inlineStr">
        <is>
          <t>SIGTUNA</t>
        </is>
      </c>
      <c r="G337" t="n">
        <v>3.6</v>
      </c>
      <c r="H337" t="n">
        <v>1</v>
      </c>
      <c r="I337" t="n">
        <v>0</v>
      </c>
      <c r="J337" t="n">
        <v>1</v>
      </c>
      <c r="K337" t="n">
        <v>0</v>
      </c>
      <c r="L337" t="n">
        <v>0</v>
      </c>
      <c r="M337" t="n">
        <v>0</v>
      </c>
      <c r="N337" t="n">
        <v>0</v>
      </c>
      <c r="O337" t="n">
        <v>1</v>
      </c>
      <c r="P337" t="n">
        <v>0</v>
      </c>
      <c r="Q337" t="n">
        <v>1</v>
      </c>
      <c r="R337" s="2" t="inlineStr">
        <is>
          <t>Gulsparv</t>
        </is>
      </c>
      <c r="S337">
        <f>HYPERLINK("https://klasma.github.io/Logging_0191/artfynd/A 42497-2019 artfynd.xlsx", "A 42497-2019")</f>
        <v/>
      </c>
      <c r="T337">
        <f>HYPERLINK("https://klasma.github.io/Logging_0191/kartor/A 42497-2019 karta.png", "A 42497-2019")</f>
        <v/>
      </c>
      <c r="V337">
        <f>HYPERLINK("https://klasma.github.io/Logging_0191/klagomål/A 42497-2019 FSC-klagomål.docx", "A 42497-2019")</f>
        <v/>
      </c>
      <c r="W337">
        <f>HYPERLINK("https://klasma.github.io/Logging_0191/klagomålsmail/A 42497-2019 FSC-klagomål mail.docx", "A 42497-2019")</f>
        <v/>
      </c>
      <c r="X337">
        <f>HYPERLINK("https://klasma.github.io/Logging_0191/tillsyn/A 42497-2019 tillsynsbegäran.docx", "A 42497-2019")</f>
        <v/>
      </c>
      <c r="Y337">
        <f>HYPERLINK("https://klasma.github.io/Logging_0191/tillsynsmail/A 42497-2019 tillsynsbegäran mail.docx", "A 42497-2019")</f>
        <v/>
      </c>
      <c r="Z337">
        <f>HYPERLINK("https://klasma.github.io/Logging_0191/fåglar/A 42497-2019 prioriterade fågelarter.docx", "A 42497-2019")</f>
        <v/>
      </c>
    </row>
    <row r="338" ht="15" customHeight="1">
      <c r="A338" t="inlineStr">
        <is>
          <t>A 52009-2019</t>
        </is>
      </c>
      <c r="B338" s="1" t="n">
        <v>43742</v>
      </c>
      <c r="C338" s="1" t="n">
        <v>45672</v>
      </c>
      <c r="D338" t="inlineStr">
        <is>
          <t>STOCKHOLMS LÄN</t>
        </is>
      </c>
      <c r="E338" t="inlineStr">
        <is>
          <t>SALEM</t>
        </is>
      </c>
      <c r="G338" t="n">
        <v>16.9</v>
      </c>
      <c r="H338" t="n">
        <v>0</v>
      </c>
      <c r="I338" t="n">
        <v>1</v>
      </c>
      <c r="J338" t="n">
        <v>0</v>
      </c>
      <c r="K338" t="n">
        <v>0</v>
      </c>
      <c r="L338" t="n">
        <v>0</v>
      </c>
      <c r="M338" t="n">
        <v>0</v>
      </c>
      <c r="N338" t="n">
        <v>0</v>
      </c>
      <c r="O338" t="n">
        <v>0</v>
      </c>
      <c r="P338" t="n">
        <v>0</v>
      </c>
      <c r="Q338" t="n">
        <v>1</v>
      </c>
      <c r="R338" s="2" t="inlineStr">
        <is>
          <t>Svart trolldruva</t>
        </is>
      </c>
      <c r="S338">
        <f>HYPERLINK("https://klasma.github.io/Logging_0128/artfynd/A 52009-2019 artfynd.xlsx", "A 52009-2019")</f>
        <v/>
      </c>
      <c r="T338">
        <f>HYPERLINK("https://klasma.github.io/Logging_0128/kartor/A 52009-2019 karta.png", "A 52009-2019")</f>
        <v/>
      </c>
      <c r="V338">
        <f>HYPERLINK("https://klasma.github.io/Logging_0128/klagomål/A 52009-2019 FSC-klagomål.docx", "A 52009-2019")</f>
        <v/>
      </c>
      <c r="W338">
        <f>HYPERLINK("https://klasma.github.io/Logging_0128/klagomålsmail/A 52009-2019 FSC-klagomål mail.docx", "A 52009-2019")</f>
        <v/>
      </c>
      <c r="X338">
        <f>HYPERLINK("https://klasma.github.io/Logging_0128/tillsyn/A 52009-2019 tillsynsbegäran.docx", "A 52009-2019")</f>
        <v/>
      </c>
      <c r="Y338">
        <f>HYPERLINK("https://klasma.github.io/Logging_0128/tillsynsmail/A 52009-2019 tillsynsbegäran mail.docx", "A 52009-2019")</f>
        <v/>
      </c>
    </row>
    <row r="339" ht="15" customHeight="1">
      <c r="A339" t="inlineStr">
        <is>
          <t>A 54231-2019</t>
        </is>
      </c>
      <c r="B339" s="1" t="n">
        <v>43753</v>
      </c>
      <c r="C339" s="1" t="n">
        <v>45672</v>
      </c>
      <c r="D339" t="inlineStr">
        <is>
          <t>STOCKHOLMS LÄN</t>
        </is>
      </c>
      <c r="E339" t="inlineStr">
        <is>
          <t>EKERÖ</t>
        </is>
      </c>
      <c r="G339" t="n">
        <v>6.2</v>
      </c>
      <c r="H339" t="n">
        <v>1</v>
      </c>
      <c r="I339" t="n">
        <v>0</v>
      </c>
      <c r="J339" t="n">
        <v>0</v>
      </c>
      <c r="K339" t="n">
        <v>1</v>
      </c>
      <c r="L339" t="n">
        <v>0</v>
      </c>
      <c r="M339" t="n">
        <v>0</v>
      </c>
      <c r="N339" t="n">
        <v>0</v>
      </c>
      <c r="O339" t="n">
        <v>1</v>
      </c>
      <c r="P339" t="n">
        <v>1</v>
      </c>
      <c r="Q339" t="n">
        <v>1</v>
      </c>
      <c r="R339" s="2" t="inlineStr">
        <is>
          <t>Bombmurkla</t>
        </is>
      </c>
      <c r="S339">
        <f>HYPERLINK("https://klasma.github.io/Logging_0125/artfynd/A 54231-2019 artfynd.xlsx", "A 54231-2019")</f>
        <v/>
      </c>
      <c r="T339">
        <f>HYPERLINK("https://klasma.github.io/Logging_0125/kartor/A 54231-2019 karta.png", "A 54231-2019")</f>
        <v/>
      </c>
      <c r="V339">
        <f>HYPERLINK("https://klasma.github.io/Logging_0125/klagomål/A 54231-2019 FSC-klagomål.docx", "A 54231-2019")</f>
        <v/>
      </c>
      <c r="W339">
        <f>HYPERLINK("https://klasma.github.io/Logging_0125/klagomålsmail/A 54231-2019 FSC-klagomål mail.docx", "A 54231-2019")</f>
        <v/>
      </c>
      <c r="X339">
        <f>HYPERLINK("https://klasma.github.io/Logging_0125/tillsyn/A 54231-2019 tillsynsbegäran.docx", "A 54231-2019")</f>
        <v/>
      </c>
      <c r="Y339">
        <f>HYPERLINK("https://klasma.github.io/Logging_0125/tillsynsmail/A 54231-2019 tillsynsbegäran mail.docx", "A 54231-2019")</f>
        <v/>
      </c>
    </row>
    <row r="340" ht="15" customHeight="1">
      <c r="A340" t="inlineStr">
        <is>
          <t>A 59643-2019</t>
        </is>
      </c>
      <c r="B340" s="1" t="n">
        <v>43776</v>
      </c>
      <c r="C340" s="1" t="n">
        <v>45672</v>
      </c>
      <c r="D340" t="inlineStr">
        <is>
          <t>STOCKHOLMS LÄN</t>
        </is>
      </c>
      <c r="E340" t="inlineStr">
        <is>
          <t>SÖDERTÄLJE</t>
        </is>
      </c>
      <c r="G340" t="n">
        <v>2</v>
      </c>
      <c r="H340" t="n">
        <v>1</v>
      </c>
      <c r="I340" t="n">
        <v>0</v>
      </c>
      <c r="J340" t="n">
        <v>0</v>
      </c>
      <c r="K340" t="n">
        <v>1</v>
      </c>
      <c r="L340" t="n">
        <v>0</v>
      </c>
      <c r="M340" t="n">
        <v>0</v>
      </c>
      <c r="N340" t="n">
        <v>0</v>
      </c>
      <c r="O340" t="n">
        <v>1</v>
      </c>
      <c r="P340" t="n">
        <v>1</v>
      </c>
      <c r="Q340" t="n">
        <v>1</v>
      </c>
      <c r="R340" s="2" t="inlineStr">
        <is>
          <t>Knärot</t>
        </is>
      </c>
      <c r="S340">
        <f>HYPERLINK("https://klasma.github.io/Logging_0181/artfynd/A 59643-2019 artfynd.xlsx", "A 59643-2019")</f>
        <v/>
      </c>
      <c r="T340">
        <f>HYPERLINK("https://klasma.github.io/Logging_0181/kartor/A 59643-2019 karta.png", "A 59643-2019")</f>
        <v/>
      </c>
      <c r="U340">
        <f>HYPERLINK("https://klasma.github.io/Logging_0181/knärot/A 59643-2019 karta knärot.png", "A 59643-2019")</f>
        <v/>
      </c>
      <c r="V340">
        <f>HYPERLINK("https://klasma.github.io/Logging_0181/klagomål/A 59643-2019 FSC-klagomål.docx", "A 59643-2019")</f>
        <v/>
      </c>
      <c r="W340">
        <f>HYPERLINK("https://klasma.github.io/Logging_0181/klagomålsmail/A 59643-2019 FSC-klagomål mail.docx", "A 59643-2019")</f>
        <v/>
      </c>
      <c r="X340">
        <f>HYPERLINK("https://klasma.github.io/Logging_0181/tillsyn/A 59643-2019 tillsynsbegäran.docx", "A 59643-2019")</f>
        <v/>
      </c>
      <c r="Y340">
        <f>HYPERLINK("https://klasma.github.io/Logging_0181/tillsynsmail/A 59643-2019 tillsynsbegäran mail.docx", "A 59643-2019")</f>
        <v/>
      </c>
    </row>
    <row r="341" ht="15" customHeight="1">
      <c r="A341" t="inlineStr">
        <is>
          <t>A 62848-2019</t>
        </is>
      </c>
      <c r="B341" s="1" t="n">
        <v>43790</v>
      </c>
      <c r="C341" s="1" t="n">
        <v>45672</v>
      </c>
      <c r="D341" t="inlineStr">
        <is>
          <t>STOCKHOLMS LÄN</t>
        </is>
      </c>
      <c r="E341" t="inlineStr">
        <is>
          <t>NORRTÄLJE</t>
        </is>
      </c>
      <c r="F341" t="inlineStr">
        <is>
          <t>Holmen skog AB</t>
        </is>
      </c>
      <c r="G341" t="n">
        <v>6.6</v>
      </c>
      <c r="H341" t="n">
        <v>1</v>
      </c>
      <c r="I341" t="n">
        <v>0</v>
      </c>
      <c r="J341" t="n">
        <v>0</v>
      </c>
      <c r="K341" t="n">
        <v>0</v>
      </c>
      <c r="L341" t="n">
        <v>1</v>
      </c>
      <c r="M341" t="n">
        <v>0</v>
      </c>
      <c r="N341" t="n">
        <v>0</v>
      </c>
      <c r="O341" t="n">
        <v>1</v>
      </c>
      <c r="P341" t="n">
        <v>1</v>
      </c>
      <c r="Q341" t="n">
        <v>1</v>
      </c>
      <c r="R341" s="2" t="inlineStr">
        <is>
          <t>Asknätfjäril</t>
        </is>
      </c>
      <c r="S341">
        <f>HYPERLINK("https://klasma.github.io/Logging_0188/artfynd/A 62848-2019 artfynd.xlsx", "A 62848-2019")</f>
        <v/>
      </c>
      <c r="T341">
        <f>HYPERLINK("https://klasma.github.io/Logging_0188/kartor/A 62848-2019 karta.png", "A 62848-2019")</f>
        <v/>
      </c>
      <c r="V341">
        <f>HYPERLINK("https://klasma.github.io/Logging_0188/klagomål/A 62848-2019 FSC-klagomål.docx", "A 62848-2019")</f>
        <v/>
      </c>
      <c r="W341">
        <f>HYPERLINK("https://klasma.github.io/Logging_0188/klagomålsmail/A 62848-2019 FSC-klagomål mail.docx", "A 62848-2019")</f>
        <v/>
      </c>
      <c r="X341">
        <f>HYPERLINK("https://klasma.github.io/Logging_0188/tillsyn/A 62848-2019 tillsynsbegäran.docx", "A 62848-2019")</f>
        <v/>
      </c>
      <c r="Y341">
        <f>HYPERLINK("https://klasma.github.io/Logging_0188/tillsynsmail/A 62848-2019 tillsynsbegäran mail.docx", "A 62848-2019")</f>
        <v/>
      </c>
    </row>
    <row r="342" ht="15" customHeight="1">
      <c r="A342" t="inlineStr">
        <is>
          <t>A 64849-2019</t>
        </is>
      </c>
      <c r="B342" s="1" t="n">
        <v>43801</v>
      </c>
      <c r="C342" s="1" t="n">
        <v>45672</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Skogsklocka</t>
        </is>
      </c>
      <c r="S342">
        <f>HYPERLINK("https://klasma.github.io/Logging_0188/artfynd/A 64849-2019 artfynd.xlsx", "A 64849-2019")</f>
        <v/>
      </c>
      <c r="T342">
        <f>HYPERLINK("https://klasma.github.io/Logging_0188/kartor/A 64849-2019 karta.png", "A 64849-2019")</f>
        <v/>
      </c>
      <c r="V342">
        <f>HYPERLINK("https://klasma.github.io/Logging_0188/klagomål/A 64849-2019 FSC-klagomål.docx", "A 64849-2019")</f>
        <v/>
      </c>
      <c r="W342">
        <f>HYPERLINK("https://klasma.github.io/Logging_0188/klagomålsmail/A 64849-2019 FSC-klagomål mail.docx", "A 64849-2019")</f>
        <v/>
      </c>
      <c r="X342">
        <f>HYPERLINK("https://klasma.github.io/Logging_0188/tillsyn/A 64849-2019 tillsynsbegäran.docx", "A 64849-2019")</f>
        <v/>
      </c>
      <c r="Y342">
        <f>HYPERLINK("https://klasma.github.io/Logging_0188/tillsynsmail/A 64849-2019 tillsynsbegäran mail.docx", "A 64849-2019")</f>
        <v/>
      </c>
    </row>
    <row r="343" ht="15" customHeight="1">
      <c r="A343" t="inlineStr">
        <is>
          <t>A 68105-2019</t>
        </is>
      </c>
      <c r="B343" s="1" t="n">
        <v>43817</v>
      </c>
      <c r="C343" s="1" t="n">
        <v>45672</v>
      </c>
      <c r="D343" t="inlineStr">
        <is>
          <t>STOCKHOLMS LÄN</t>
        </is>
      </c>
      <c r="E343" t="inlineStr">
        <is>
          <t>ÖSTERÅKER</t>
        </is>
      </c>
      <c r="G343" t="n">
        <v>16.6</v>
      </c>
      <c r="H343" t="n">
        <v>0</v>
      </c>
      <c r="I343" t="n">
        <v>1</v>
      </c>
      <c r="J343" t="n">
        <v>0</v>
      </c>
      <c r="K343" t="n">
        <v>0</v>
      </c>
      <c r="L343" t="n">
        <v>0</v>
      </c>
      <c r="M343" t="n">
        <v>0</v>
      </c>
      <c r="N343" t="n">
        <v>0</v>
      </c>
      <c r="O343" t="n">
        <v>0</v>
      </c>
      <c r="P343" t="n">
        <v>0</v>
      </c>
      <c r="Q343" t="n">
        <v>1</v>
      </c>
      <c r="R343" s="2" t="inlineStr">
        <is>
          <t>Mindre märgborre</t>
        </is>
      </c>
      <c r="S343">
        <f>HYPERLINK("https://klasma.github.io/Logging_0117/artfynd/A 68105-2019 artfynd.xlsx", "A 68105-2019")</f>
        <v/>
      </c>
      <c r="T343">
        <f>HYPERLINK("https://klasma.github.io/Logging_0117/kartor/A 68105-2019 karta.png", "A 68105-2019")</f>
        <v/>
      </c>
      <c r="V343">
        <f>HYPERLINK("https://klasma.github.io/Logging_0117/klagomål/A 68105-2019 FSC-klagomål.docx", "A 68105-2019")</f>
        <v/>
      </c>
      <c r="W343">
        <f>HYPERLINK("https://klasma.github.io/Logging_0117/klagomålsmail/A 68105-2019 FSC-klagomål mail.docx", "A 68105-2019")</f>
        <v/>
      </c>
      <c r="X343">
        <f>HYPERLINK("https://klasma.github.io/Logging_0117/tillsyn/A 68105-2019 tillsynsbegäran.docx", "A 68105-2019")</f>
        <v/>
      </c>
      <c r="Y343">
        <f>HYPERLINK("https://klasma.github.io/Logging_0117/tillsynsmail/A 68105-2019 tillsynsbegäran mail.docx", "A 68105-2019")</f>
        <v/>
      </c>
    </row>
    <row r="344" ht="15" customHeight="1">
      <c r="A344" t="inlineStr">
        <is>
          <t>A 68108-2019</t>
        </is>
      </c>
      <c r="B344" s="1" t="n">
        <v>43817</v>
      </c>
      <c r="C344" s="1" t="n">
        <v>45672</v>
      </c>
      <c r="D344" t="inlineStr">
        <is>
          <t>STOCKHOLMS LÄN</t>
        </is>
      </c>
      <c r="E344" t="inlineStr">
        <is>
          <t>VALLENTUNA</t>
        </is>
      </c>
      <c r="G344" t="n">
        <v>3.2</v>
      </c>
      <c r="H344" t="n">
        <v>0</v>
      </c>
      <c r="I344" t="n">
        <v>1</v>
      </c>
      <c r="J344" t="n">
        <v>0</v>
      </c>
      <c r="K344" t="n">
        <v>0</v>
      </c>
      <c r="L344" t="n">
        <v>0</v>
      </c>
      <c r="M344" t="n">
        <v>0</v>
      </c>
      <c r="N344" t="n">
        <v>0</v>
      </c>
      <c r="O344" t="n">
        <v>0</v>
      </c>
      <c r="P344" t="n">
        <v>0</v>
      </c>
      <c r="Q344" t="n">
        <v>1</v>
      </c>
      <c r="R344" s="2" t="inlineStr">
        <is>
          <t>Skuggblåslav</t>
        </is>
      </c>
      <c r="S344">
        <f>HYPERLINK("https://klasma.github.io/Logging_0115/artfynd/A 68108-2019 artfynd.xlsx", "A 68108-2019")</f>
        <v/>
      </c>
      <c r="T344">
        <f>HYPERLINK("https://klasma.github.io/Logging_0115/kartor/A 68108-2019 karta.png", "A 68108-2019")</f>
        <v/>
      </c>
      <c r="V344">
        <f>HYPERLINK("https://klasma.github.io/Logging_0115/klagomål/A 68108-2019 FSC-klagomål.docx", "A 68108-2019")</f>
        <v/>
      </c>
      <c r="W344">
        <f>HYPERLINK("https://klasma.github.io/Logging_0115/klagomålsmail/A 68108-2019 FSC-klagomål mail.docx", "A 68108-2019")</f>
        <v/>
      </c>
      <c r="X344">
        <f>HYPERLINK("https://klasma.github.io/Logging_0115/tillsyn/A 68108-2019 tillsynsbegäran.docx", "A 68108-2019")</f>
        <v/>
      </c>
      <c r="Y344">
        <f>HYPERLINK("https://klasma.github.io/Logging_0115/tillsynsmail/A 68108-2019 tillsynsbegäran mail.docx", "A 68108-2019")</f>
        <v/>
      </c>
    </row>
    <row r="345" ht="15" customHeight="1">
      <c r="A345" t="inlineStr">
        <is>
          <t>A 68107-2019</t>
        </is>
      </c>
      <c r="B345" s="1" t="n">
        <v>43817</v>
      </c>
      <c r="C345" s="1" t="n">
        <v>45672</v>
      </c>
      <c r="D345" t="inlineStr">
        <is>
          <t>STOCKHOLMS LÄN</t>
        </is>
      </c>
      <c r="E345" t="inlineStr">
        <is>
          <t>VALLENTUNA</t>
        </is>
      </c>
      <c r="G345" t="n">
        <v>11.4</v>
      </c>
      <c r="H345" t="n">
        <v>0</v>
      </c>
      <c r="I345" t="n">
        <v>0</v>
      </c>
      <c r="J345" t="n">
        <v>1</v>
      </c>
      <c r="K345" t="n">
        <v>0</v>
      </c>
      <c r="L345" t="n">
        <v>0</v>
      </c>
      <c r="M345" t="n">
        <v>0</v>
      </c>
      <c r="N345" t="n">
        <v>0</v>
      </c>
      <c r="O345" t="n">
        <v>1</v>
      </c>
      <c r="P345" t="n">
        <v>0</v>
      </c>
      <c r="Q345" t="n">
        <v>1</v>
      </c>
      <c r="R345" s="2" t="inlineStr">
        <is>
          <t>Tallticka</t>
        </is>
      </c>
      <c r="S345">
        <f>HYPERLINK("https://klasma.github.io/Logging_0115/artfynd/A 68107-2019 artfynd.xlsx", "A 68107-2019")</f>
        <v/>
      </c>
      <c r="T345">
        <f>HYPERLINK("https://klasma.github.io/Logging_0115/kartor/A 68107-2019 karta.png", "A 68107-2019")</f>
        <v/>
      </c>
      <c r="V345">
        <f>HYPERLINK("https://klasma.github.io/Logging_0115/klagomål/A 68107-2019 FSC-klagomål.docx", "A 68107-2019")</f>
        <v/>
      </c>
      <c r="W345">
        <f>HYPERLINK("https://klasma.github.io/Logging_0115/klagomålsmail/A 68107-2019 FSC-klagomål mail.docx", "A 68107-2019")</f>
        <v/>
      </c>
      <c r="X345">
        <f>HYPERLINK("https://klasma.github.io/Logging_0115/tillsyn/A 68107-2019 tillsynsbegäran.docx", "A 68107-2019")</f>
        <v/>
      </c>
      <c r="Y345">
        <f>HYPERLINK("https://klasma.github.io/Logging_0115/tillsynsmail/A 68107-2019 tillsynsbegäran mail.docx", "A 68107-2019")</f>
        <v/>
      </c>
    </row>
    <row r="346" ht="15" customHeight="1">
      <c r="A346" t="inlineStr">
        <is>
          <t>A 68231-2019</t>
        </is>
      </c>
      <c r="B346" s="1" t="n">
        <v>43817</v>
      </c>
      <c r="C346" s="1" t="n">
        <v>45672</v>
      </c>
      <c r="D346" t="inlineStr">
        <is>
          <t>STOCKHOLMS LÄN</t>
        </is>
      </c>
      <c r="E346" t="inlineStr">
        <is>
          <t>HANINGE</t>
        </is>
      </c>
      <c r="F346" t="inlineStr">
        <is>
          <t>Övriga statliga verk och myndigheter</t>
        </is>
      </c>
      <c r="G346" t="n">
        <v>80.5</v>
      </c>
      <c r="H346" t="n">
        <v>1</v>
      </c>
      <c r="I346" t="n">
        <v>0</v>
      </c>
      <c r="J346" t="n">
        <v>1</v>
      </c>
      <c r="K346" t="n">
        <v>0</v>
      </c>
      <c r="L346" t="n">
        <v>0</v>
      </c>
      <c r="M346" t="n">
        <v>0</v>
      </c>
      <c r="N346" t="n">
        <v>0</v>
      </c>
      <c r="O346" t="n">
        <v>1</v>
      </c>
      <c r="P346" t="n">
        <v>0</v>
      </c>
      <c r="Q346" t="n">
        <v>1</v>
      </c>
      <c r="R346" s="2" t="inlineStr">
        <is>
          <t>Havsörn</t>
        </is>
      </c>
      <c r="S346">
        <f>HYPERLINK("https://klasma.github.io/Logging_0136/artfynd/A 68231-2019 artfynd.xlsx", "A 68231-2019")</f>
        <v/>
      </c>
      <c r="T346">
        <f>HYPERLINK("https://klasma.github.io/Logging_0136/kartor/A 68231-2019 karta.png", "A 68231-2019")</f>
        <v/>
      </c>
      <c r="V346">
        <f>HYPERLINK("https://klasma.github.io/Logging_0136/klagomål/A 68231-2019 FSC-klagomål.docx", "A 68231-2019")</f>
        <v/>
      </c>
      <c r="W346">
        <f>HYPERLINK("https://klasma.github.io/Logging_0136/klagomålsmail/A 68231-2019 FSC-klagomål mail.docx", "A 68231-2019")</f>
        <v/>
      </c>
      <c r="X346">
        <f>HYPERLINK("https://klasma.github.io/Logging_0136/tillsyn/A 68231-2019 tillsynsbegäran.docx", "A 68231-2019")</f>
        <v/>
      </c>
      <c r="Y346">
        <f>HYPERLINK("https://klasma.github.io/Logging_0136/tillsynsmail/A 68231-2019 tillsynsbegäran mail.docx", "A 68231-2019")</f>
        <v/>
      </c>
      <c r="Z346">
        <f>HYPERLINK("https://klasma.github.io/Logging_0136/fåglar/A 68231-2019 prioriterade fågelarter.docx", "A 68231-2019")</f>
        <v/>
      </c>
    </row>
    <row r="347" ht="15" customHeight="1">
      <c r="A347" t="inlineStr">
        <is>
          <t>A 2808-2020</t>
        </is>
      </c>
      <c r="B347" s="1" t="n">
        <v>43850</v>
      </c>
      <c r="C347" s="1" t="n">
        <v>45672</v>
      </c>
      <c r="D347" t="inlineStr">
        <is>
          <t>STOCKHOLMS LÄN</t>
        </is>
      </c>
      <c r="E347" t="inlineStr">
        <is>
          <t>NORRTÄLJE</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HYPERLINK("https://klasma.github.io/Logging_0188/artfynd/A 2808-2020 artfynd.xlsx", "A 2808-2020")</f>
        <v/>
      </c>
      <c r="T347">
        <f>HYPERLINK("https://klasma.github.io/Logging_0188/kartor/A 2808-2020 karta.png", "A 2808-2020")</f>
        <v/>
      </c>
      <c r="U347">
        <f>HYPERLINK("https://klasma.github.io/Logging_0188/knärot/A 2808-2020 karta knärot.png", "A 2808-2020")</f>
        <v/>
      </c>
      <c r="V347">
        <f>HYPERLINK("https://klasma.github.io/Logging_0188/klagomål/A 2808-2020 FSC-klagomål.docx", "A 2808-2020")</f>
        <v/>
      </c>
      <c r="W347">
        <f>HYPERLINK("https://klasma.github.io/Logging_0188/klagomålsmail/A 2808-2020 FSC-klagomål mail.docx", "A 2808-2020")</f>
        <v/>
      </c>
      <c r="X347">
        <f>HYPERLINK("https://klasma.github.io/Logging_0188/tillsyn/A 2808-2020 tillsynsbegäran.docx", "A 2808-2020")</f>
        <v/>
      </c>
      <c r="Y347">
        <f>HYPERLINK("https://klasma.github.io/Logging_0188/tillsynsmail/A 2808-2020 tillsynsbegäran mail.docx", "A 2808-2020")</f>
        <v/>
      </c>
    </row>
    <row r="348" ht="15" customHeight="1">
      <c r="A348" t="inlineStr">
        <is>
          <t>A 2796-2020</t>
        </is>
      </c>
      <c r="B348" s="1" t="n">
        <v>43850</v>
      </c>
      <c r="C348" s="1" t="n">
        <v>45672</v>
      </c>
      <c r="D348" t="inlineStr">
        <is>
          <t>STOCKHOLMS LÄN</t>
        </is>
      </c>
      <c r="E348" t="inlineStr">
        <is>
          <t>NORRTÄLJE</t>
        </is>
      </c>
      <c r="G348" t="n">
        <v>5.6</v>
      </c>
      <c r="H348" t="n">
        <v>1</v>
      </c>
      <c r="I348" t="n">
        <v>1</v>
      </c>
      <c r="J348" t="n">
        <v>0</v>
      </c>
      <c r="K348" t="n">
        <v>0</v>
      </c>
      <c r="L348" t="n">
        <v>0</v>
      </c>
      <c r="M348" t="n">
        <v>0</v>
      </c>
      <c r="N348" t="n">
        <v>0</v>
      </c>
      <c r="O348" t="n">
        <v>0</v>
      </c>
      <c r="P348" t="n">
        <v>0</v>
      </c>
      <c r="Q348" t="n">
        <v>1</v>
      </c>
      <c r="R348" s="2" t="inlineStr">
        <is>
          <t>Spindelblomster</t>
        </is>
      </c>
      <c r="S348">
        <f>HYPERLINK("https://klasma.github.io/Logging_0188/artfynd/A 2796-2020 artfynd.xlsx", "A 2796-2020")</f>
        <v/>
      </c>
      <c r="T348">
        <f>HYPERLINK("https://klasma.github.io/Logging_0188/kartor/A 2796-2020 karta.png", "A 2796-2020")</f>
        <v/>
      </c>
      <c r="V348">
        <f>HYPERLINK("https://klasma.github.io/Logging_0188/klagomål/A 2796-2020 FSC-klagomål.docx", "A 2796-2020")</f>
        <v/>
      </c>
      <c r="W348">
        <f>HYPERLINK("https://klasma.github.io/Logging_0188/klagomålsmail/A 2796-2020 FSC-klagomål mail.docx", "A 2796-2020")</f>
        <v/>
      </c>
      <c r="X348">
        <f>HYPERLINK("https://klasma.github.io/Logging_0188/tillsyn/A 2796-2020 tillsynsbegäran.docx", "A 2796-2020")</f>
        <v/>
      </c>
      <c r="Y348">
        <f>HYPERLINK("https://klasma.github.io/Logging_0188/tillsynsmail/A 2796-2020 tillsynsbegäran mail.docx", "A 2796-2020")</f>
        <v/>
      </c>
    </row>
    <row r="349" ht="15" customHeight="1">
      <c r="A349" t="inlineStr">
        <is>
          <t>A 5953-2020</t>
        </is>
      </c>
      <c r="B349" s="1" t="n">
        <v>43864</v>
      </c>
      <c r="C349" s="1" t="n">
        <v>45672</v>
      </c>
      <c r="D349" t="inlineStr">
        <is>
          <t>STOCKHOLMS LÄN</t>
        </is>
      </c>
      <c r="E349" t="inlineStr">
        <is>
          <t>BOTKYRKA</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HYPERLINK("https://klasma.github.io/Logging_0127/artfynd/A 5953-2020 artfynd.xlsx", "A 5953-2020")</f>
        <v/>
      </c>
      <c r="T349">
        <f>HYPERLINK("https://klasma.github.io/Logging_0127/kartor/A 5953-2020 karta.png", "A 5953-2020")</f>
        <v/>
      </c>
      <c r="V349">
        <f>HYPERLINK("https://klasma.github.io/Logging_0127/klagomål/A 5953-2020 FSC-klagomål.docx", "A 5953-2020")</f>
        <v/>
      </c>
      <c r="W349">
        <f>HYPERLINK("https://klasma.github.io/Logging_0127/klagomålsmail/A 5953-2020 FSC-klagomål mail.docx", "A 5953-2020")</f>
        <v/>
      </c>
      <c r="X349">
        <f>HYPERLINK("https://klasma.github.io/Logging_0127/tillsyn/A 5953-2020 tillsynsbegäran.docx", "A 5953-2020")</f>
        <v/>
      </c>
      <c r="Y349">
        <f>HYPERLINK("https://klasma.github.io/Logging_0127/tillsynsmail/A 5953-2020 tillsynsbegäran mail.docx", "A 5953-2020")</f>
        <v/>
      </c>
      <c r="Z349">
        <f>HYPERLINK("https://klasma.github.io/Logging_0127/fåglar/A 5953-2020 prioriterade fågelarter.docx", "A 5953-2020")</f>
        <v/>
      </c>
    </row>
    <row r="350" ht="15" customHeight="1">
      <c r="A350" t="inlineStr">
        <is>
          <t>A 7032-2020</t>
        </is>
      </c>
      <c r="B350" s="1" t="n">
        <v>43868</v>
      </c>
      <c r="C350" s="1" t="n">
        <v>45672</v>
      </c>
      <c r="D350" t="inlineStr">
        <is>
          <t>STOCKHOLMS LÄN</t>
        </is>
      </c>
      <c r="E350" t="inlineStr">
        <is>
          <t>EKERÖ</t>
        </is>
      </c>
      <c r="G350" t="n">
        <v>3.1</v>
      </c>
      <c r="H350" t="n">
        <v>0</v>
      </c>
      <c r="I350" t="n">
        <v>0</v>
      </c>
      <c r="J350" t="n">
        <v>1</v>
      </c>
      <c r="K350" t="n">
        <v>0</v>
      </c>
      <c r="L350" t="n">
        <v>0</v>
      </c>
      <c r="M350" t="n">
        <v>0</v>
      </c>
      <c r="N350" t="n">
        <v>0</v>
      </c>
      <c r="O350" t="n">
        <v>1</v>
      </c>
      <c r="P350" t="n">
        <v>0</v>
      </c>
      <c r="Q350" t="n">
        <v>1</v>
      </c>
      <c r="R350" s="2" t="inlineStr">
        <is>
          <t>Mindre timmerman</t>
        </is>
      </c>
      <c r="S350">
        <f>HYPERLINK("https://klasma.github.io/Logging_0125/artfynd/A 7032-2020 artfynd.xlsx", "A 7032-2020")</f>
        <v/>
      </c>
      <c r="T350">
        <f>HYPERLINK("https://klasma.github.io/Logging_0125/kartor/A 7032-2020 karta.png", "A 7032-2020")</f>
        <v/>
      </c>
      <c r="V350">
        <f>HYPERLINK("https://klasma.github.io/Logging_0125/klagomål/A 7032-2020 FSC-klagomål.docx", "A 7032-2020")</f>
        <v/>
      </c>
      <c r="W350">
        <f>HYPERLINK("https://klasma.github.io/Logging_0125/klagomålsmail/A 7032-2020 FSC-klagomål mail.docx", "A 7032-2020")</f>
        <v/>
      </c>
      <c r="X350">
        <f>HYPERLINK("https://klasma.github.io/Logging_0125/tillsyn/A 7032-2020 tillsynsbegäran.docx", "A 7032-2020")</f>
        <v/>
      </c>
      <c r="Y350">
        <f>HYPERLINK("https://klasma.github.io/Logging_0125/tillsynsmail/A 7032-2020 tillsynsbegäran mail.docx", "A 7032-2020")</f>
        <v/>
      </c>
    </row>
    <row r="351" ht="15" customHeight="1">
      <c r="A351" t="inlineStr">
        <is>
          <t>A 7151-2020</t>
        </is>
      </c>
      <c r="B351" s="1" t="n">
        <v>43869</v>
      </c>
      <c r="C351" s="1" t="n">
        <v>45672</v>
      </c>
      <c r="D351" t="inlineStr">
        <is>
          <t>STOCKHOLMS LÄN</t>
        </is>
      </c>
      <c r="E351" t="inlineStr">
        <is>
          <t>NYNÄSHAMN</t>
        </is>
      </c>
      <c r="F351" t="inlineStr">
        <is>
          <t>Kommuner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HYPERLINK("https://klasma.github.io/Logging_0192/artfynd/A 7151-2020 artfynd.xlsx", "A 7151-2020")</f>
        <v/>
      </c>
      <c r="T351">
        <f>HYPERLINK("https://klasma.github.io/Logging_0192/kartor/A 7151-2020 karta.png", "A 7151-2020")</f>
        <v/>
      </c>
      <c r="V351">
        <f>HYPERLINK("https://klasma.github.io/Logging_0192/klagomål/A 7151-2020 FSC-klagomål.docx", "A 7151-2020")</f>
        <v/>
      </c>
      <c r="W351">
        <f>HYPERLINK("https://klasma.github.io/Logging_0192/klagomålsmail/A 7151-2020 FSC-klagomål mail.docx", "A 7151-2020")</f>
        <v/>
      </c>
      <c r="X351">
        <f>HYPERLINK("https://klasma.github.io/Logging_0192/tillsyn/A 7151-2020 tillsynsbegäran.docx", "A 7151-2020")</f>
        <v/>
      </c>
      <c r="Y351">
        <f>HYPERLINK("https://klasma.github.io/Logging_0192/tillsynsmail/A 7151-2020 tillsynsbegäran mail.docx", "A 7151-2020")</f>
        <v/>
      </c>
    </row>
    <row r="352" ht="15" customHeight="1">
      <c r="A352" t="inlineStr">
        <is>
          <t>A 9051-2020</t>
        </is>
      </c>
      <c r="B352" s="1" t="n">
        <v>43879</v>
      </c>
      <c r="C352" s="1" t="n">
        <v>45672</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9051-2020 artfynd.xlsx", "A 9051-2020")</f>
        <v/>
      </c>
      <c r="T352">
        <f>HYPERLINK("https://klasma.github.io/Logging_0188/kartor/A 9051-2020 karta.png", "A 9051-2020")</f>
        <v/>
      </c>
      <c r="V352">
        <f>HYPERLINK("https://klasma.github.io/Logging_0188/klagomål/A 9051-2020 FSC-klagomål.docx", "A 9051-2020")</f>
        <v/>
      </c>
      <c r="W352">
        <f>HYPERLINK("https://klasma.github.io/Logging_0188/klagomålsmail/A 9051-2020 FSC-klagomål mail.docx", "A 9051-2020")</f>
        <v/>
      </c>
      <c r="X352">
        <f>HYPERLINK("https://klasma.github.io/Logging_0188/tillsyn/A 9051-2020 tillsynsbegäran.docx", "A 9051-2020")</f>
        <v/>
      </c>
      <c r="Y352">
        <f>HYPERLINK("https://klasma.github.io/Logging_0188/tillsynsmail/A 9051-2020 tillsynsbegäran mail.docx", "A 9051-2020")</f>
        <v/>
      </c>
    </row>
    <row r="353" ht="15" customHeight="1">
      <c r="A353" t="inlineStr">
        <is>
          <t>A 13326-2020</t>
        </is>
      </c>
      <c r="B353" s="1" t="n">
        <v>43894</v>
      </c>
      <c r="C353" s="1" t="n">
        <v>45672</v>
      </c>
      <c r="D353" t="inlineStr">
        <is>
          <t>STOCKHOLMS LÄN</t>
        </is>
      </c>
      <c r="E353" t="inlineStr">
        <is>
          <t>HUDDINGE</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HYPERLINK("https://klasma.github.io/Logging_0126/artfynd/A 13326-2020 artfynd.xlsx", "A 13326-2020")</f>
        <v/>
      </c>
      <c r="T353">
        <f>HYPERLINK("https://klasma.github.io/Logging_0126/kartor/A 13326-2020 karta.png", "A 13326-2020")</f>
        <v/>
      </c>
      <c r="V353">
        <f>HYPERLINK("https://klasma.github.io/Logging_0126/klagomål/A 13326-2020 FSC-klagomål.docx", "A 13326-2020")</f>
        <v/>
      </c>
      <c r="W353">
        <f>HYPERLINK("https://klasma.github.io/Logging_0126/klagomålsmail/A 13326-2020 FSC-klagomål mail.docx", "A 13326-2020")</f>
        <v/>
      </c>
      <c r="X353">
        <f>HYPERLINK("https://klasma.github.io/Logging_0126/tillsyn/A 13326-2020 tillsynsbegäran.docx", "A 13326-2020")</f>
        <v/>
      </c>
      <c r="Y353">
        <f>HYPERLINK("https://klasma.github.io/Logging_0126/tillsynsmail/A 13326-2020 tillsynsbegäran mail.docx", "A 13326-2020")</f>
        <v/>
      </c>
    </row>
    <row r="354" ht="15" customHeight="1">
      <c r="A354" t="inlineStr">
        <is>
          <t>A 12843-2020</t>
        </is>
      </c>
      <c r="B354" s="1" t="n">
        <v>43899</v>
      </c>
      <c r="C354" s="1" t="n">
        <v>45672</v>
      </c>
      <c r="D354" t="inlineStr">
        <is>
          <t>STOCKHOLMS LÄN</t>
        </is>
      </c>
      <c r="E354" t="inlineStr">
        <is>
          <t>NORRTÄLJE</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HYPERLINK("https://klasma.github.io/Logging_0188/artfynd/A 12843-2020 artfynd.xlsx", "A 12843-2020")</f>
        <v/>
      </c>
      <c r="T354">
        <f>HYPERLINK("https://klasma.github.io/Logging_0188/kartor/A 12843-2020 karta.png", "A 12843-2020")</f>
        <v/>
      </c>
      <c r="V354">
        <f>HYPERLINK("https://klasma.github.io/Logging_0188/klagomål/A 12843-2020 FSC-klagomål.docx", "A 12843-2020")</f>
        <v/>
      </c>
      <c r="W354">
        <f>HYPERLINK("https://klasma.github.io/Logging_0188/klagomålsmail/A 12843-2020 FSC-klagomål mail.docx", "A 12843-2020")</f>
        <v/>
      </c>
      <c r="X354">
        <f>HYPERLINK("https://klasma.github.io/Logging_0188/tillsyn/A 12843-2020 tillsynsbegäran.docx", "A 12843-2020")</f>
        <v/>
      </c>
      <c r="Y354">
        <f>HYPERLINK("https://klasma.github.io/Logging_0188/tillsynsmail/A 12843-2020 tillsynsbegäran mail.docx", "A 12843-2020")</f>
        <v/>
      </c>
      <c r="Z354">
        <f>HYPERLINK("https://klasma.github.io/Logging_0188/fåglar/A 12843-2020 prioriterade fågelarter.docx", "A 12843-2020")</f>
        <v/>
      </c>
    </row>
    <row r="355" ht="15" customHeight="1">
      <c r="A355" t="inlineStr">
        <is>
          <t>A 12832-2020</t>
        </is>
      </c>
      <c r="B355" s="1" t="n">
        <v>43899</v>
      </c>
      <c r="C355" s="1" t="n">
        <v>45672</v>
      </c>
      <c r="D355" t="inlineStr">
        <is>
          <t>STOCKHOLMS LÄN</t>
        </is>
      </c>
      <c r="E355" t="inlineStr">
        <is>
          <t>SÖDERTÄLJE</t>
        </is>
      </c>
      <c r="G355" t="n">
        <v>3.8</v>
      </c>
      <c r="H355" t="n">
        <v>0</v>
      </c>
      <c r="I355" t="n">
        <v>0</v>
      </c>
      <c r="J355" t="n">
        <v>1</v>
      </c>
      <c r="K355" t="n">
        <v>0</v>
      </c>
      <c r="L355" t="n">
        <v>0</v>
      </c>
      <c r="M355" t="n">
        <v>0</v>
      </c>
      <c r="N355" t="n">
        <v>0</v>
      </c>
      <c r="O355" t="n">
        <v>1</v>
      </c>
      <c r="P355" t="n">
        <v>0</v>
      </c>
      <c r="Q355" t="n">
        <v>1</v>
      </c>
      <c r="R355" s="2" t="inlineStr">
        <is>
          <t>Ängsskära</t>
        </is>
      </c>
      <c r="S355">
        <f>HYPERLINK("https://klasma.github.io/Logging_0181/artfynd/A 12832-2020 artfynd.xlsx", "A 12832-2020")</f>
        <v/>
      </c>
      <c r="T355">
        <f>HYPERLINK("https://klasma.github.io/Logging_0181/kartor/A 12832-2020 karta.png", "A 12832-2020")</f>
        <v/>
      </c>
      <c r="V355">
        <f>HYPERLINK("https://klasma.github.io/Logging_0181/klagomål/A 12832-2020 FSC-klagomål.docx", "A 12832-2020")</f>
        <v/>
      </c>
      <c r="W355">
        <f>HYPERLINK("https://klasma.github.io/Logging_0181/klagomålsmail/A 12832-2020 FSC-klagomål mail.docx", "A 12832-2020")</f>
        <v/>
      </c>
      <c r="X355">
        <f>HYPERLINK("https://klasma.github.io/Logging_0181/tillsyn/A 12832-2020 tillsynsbegäran.docx", "A 12832-2020")</f>
        <v/>
      </c>
      <c r="Y355">
        <f>HYPERLINK("https://klasma.github.io/Logging_0181/tillsynsmail/A 12832-2020 tillsynsbegäran mail.docx", "A 12832-2020")</f>
        <v/>
      </c>
    </row>
    <row r="356" ht="15" customHeight="1">
      <c r="A356" t="inlineStr">
        <is>
          <t>A 13922-2020</t>
        </is>
      </c>
      <c r="B356" s="1" t="n">
        <v>43906</v>
      </c>
      <c r="C356" s="1" t="n">
        <v>45672</v>
      </c>
      <c r="D356" t="inlineStr">
        <is>
          <t>STOCKHOLMS LÄN</t>
        </is>
      </c>
      <c r="E356" t="inlineStr">
        <is>
          <t>NYKVARN</t>
        </is>
      </c>
      <c r="G356" t="n">
        <v>19.8</v>
      </c>
      <c r="H356" t="n">
        <v>0</v>
      </c>
      <c r="I356" t="n">
        <v>0</v>
      </c>
      <c r="J356" t="n">
        <v>1</v>
      </c>
      <c r="K356" t="n">
        <v>0</v>
      </c>
      <c r="L356" t="n">
        <v>0</v>
      </c>
      <c r="M356" t="n">
        <v>0</v>
      </c>
      <c r="N356" t="n">
        <v>0</v>
      </c>
      <c r="O356" t="n">
        <v>1</v>
      </c>
      <c r="P356" t="n">
        <v>0</v>
      </c>
      <c r="Q356" t="n">
        <v>1</v>
      </c>
      <c r="R356" s="2" t="inlineStr">
        <is>
          <t>Svedjenäva</t>
        </is>
      </c>
      <c r="S356">
        <f>HYPERLINK("https://klasma.github.io/Logging_0140/artfynd/A 13922-2020 artfynd.xlsx", "A 13922-2020")</f>
        <v/>
      </c>
      <c r="T356">
        <f>HYPERLINK("https://klasma.github.io/Logging_0140/kartor/A 13922-2020 karta.png", "A 13922-2020")</f>
        <v/>
      </c>
      <c r="V356">
        <f>HYPERLINK("https://klasma.github.io/Logging_0140/klagomål/A 13922-2020 FSC-klagomål.docx", "A 13922-2020")</f>
        <v/>
      </c>
      <c r="W356">
        <f>HYPERLINK("https://klasma.github.io/Logging_0140/klagomålsmail/A 13922-2020 FSC-klagomål mail.docx", "A 13922-2020")</f>
        <v/>
      </c>
      <c r="X356">
        <f>HYPERLINK("https://klasma.github.io/Logging_0140/tillsyn/A 13922-2020 tillsynsbegäran.docx", "A 13922-2020")</f>
        <v/>
      </c>
      <c r="Y356">
        <f>HYPERLINK("https://klasma.github.io/Logging_0140/tillsynsmail/A 13922-2020 tillsynsbegäran mail.docx", "A 13922-2020")</f>
        <v/>
      </c>
    </row>
    <row r="357" ht="15" customHeight="1">
      <c r="A357" t="inlineStr">
        <is>
          <t>A 15312-2020</t>
        </is>
      </c>
      <c r="B357" s="1" t="n">
        <v>43913</v>
      </c>
      <c r="C357" s="1" t="n">
        <v>45672</v>
      </c>
      <c r="D357" t="inlineStr">
        <is>
          <t>STOCKHOLMS LÄN</t>
        </is>
      </c>
      <c r="E357" t="inlineStr">
        <is>
          <t>HANINGE</t>
        </is>
      </c>
      <c r="F357" t="inlineStr">
        <is>
          <t>Övriga statliga verk och myndigheter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HYPERLINK("https://klasma.github.io/Logging_0136/artfynd/A 15312-2020 artfynd.xlsx", "A 15312-2020")</f>
        <v/>
      </c>
      <c r="T357">
        <f>HYPERLINK("https://klasma.github.io/Logging_0136/kartor/A 15312-2020 karta.png", "A 15312-2020")</f>
        <v/>
      </c>
      <c r="V357">
        <f>HYPERLINK("https://klasma.github.io/Logging_0136/klagomål/A 15312-2020 FSC-klagomål.docx", "A 15312-2020")</f>
        <v/>
      </c>
      <c r="W357">
        <f>HYPERLINK("https://klasma.github.io/Logging_0136/klagomålsmail/A 15312-2020 FSC-klagomål mail.docx", "A 15312-2020")</f>
        <v/>
      </c>
      <c r="X357">
        <f>HYPERLINK("https://klasma.github.io/Logging_0136/tillsyn/A 15312-2020 tillsynsbegäran.docx", "A 15312-2020")</f>
        <v/>
      </c>
      <c r="Y357">
        <f>HYPERLINK("https://klasma.github.io/Logging_0136/tillsynsmail/A 15312-2020 tillsynsbegäran mail.docx", "A 15312-2020")</f>
        <v/>
      </c>
    </row>
    <row r="358" ht="15" customHeight="1">
      <c r="A358" t="inlineStr">
        <is>
          <t>A 16236-2020</t>
        </is>
      </c>
      <c r="B358" s="1" t="n">
        <v>43917</v>
      </c>
      <c r="C358" s="1" t="n">
        <v>45672</v>
      </c>
      <c r="D358" t="inlineStr">
        <is>
          <t>STOCKHOLMS LÄN</t>
        </is>
      </c>
      <c r="E358" t="inlineStr">
        <is>
          <t>BOTKYRKA</t>
        </is>
      </c>
      <c r="G358" t="n">
        <v>2.5</v>
      </c>
      <c r="H358" t="n">
        <v>0</v>
      </c>
      <c r="I358" t="n">
        <v>1</v>
      </c>
      <c r="J358" t="n">
        <v>0</v>
      </c>
      <c r="K358" t="n">
        <v>0</v>
      </c>
      <c r="L358" t="n">
        <v>0</v>
      </c>
      <c r="M358" t="n">
        <v>0</v>
      </c>
      <c r="N358" t="n">
        <v>0</v>
      </c>
      <c r="O358" t="n">
        <v>0</v>
      </c>
      <c r="P358" t="n">
        <v>0</v>
      </c>
      <c r="Q358" t="n">
        <v>1</v>
      </c>
      <c r="R358" s="2" t="inlineStr">
        <is>
          <t>Granbarkgnagare</t>
        </is>
      </c>
      <c r="S358">
        <f>HYPERLINK("https://klasma.github.io/Logging_0127/artfynd/A 16236-2020 artfynd.xlsx", "A 16236-2020")</f>
        <v/>
      </c>
      <c r="T358">
        <f>HYPERLINK("https://klasma.github.io/Logging_0127/kartor/A 16236-2020 karta.png", "A 16236-2020")</f>
        <v/>
      </c>
      <c r="V358">
        <f>HYPERLINK("https://klasma.github.io/Logging_0127/klagomål/A 16236-2020 FSC-klagomål.docx", "A 16236-2020")</f>
        <v/>
      </c>
      <c r="W358">
        <f>HYPERLINK("https://klasma.github.io/Logging_0127/klagomålsmail/A 16236-2020 FSC-klagomål mail.docx", "A 16236-2020")</f>
        <v/>
      </c>
      <c r="X358">
        <f>HYPERLINK("https://klasma.github.io/Logging_0127/tillsyn/A 16236-2020 tillsynsbegäran.docx", "A 16236-2020")</f>
        <v/>
      </c>
      <c r="Y358">
        <f>HYPERLINK("https://klasma.github.io/Logging_0127/tillsynsmail/A 16236-2020 tillsynsbegäran mail.docx", "A 16236-2020")</f>
        <v/>
      </c>
    </row>
    <row r="359" ht="15" customHeight="1">
      <c r="A359" t="inlineStr">
        <is>
          <t>A 16917-2020</t>
        </is>
      </c>
      <c r="B359" s="1" t="n">
        <v>43921</v>
      </c>
      <c r="C359" s="1" t="n">
        <v>45672</v>
      </c>
      <c r="D359" t="inlineStr">
        <is>
          <t>STOCKHOLMS LÄN</t>
        </is>
      </c>
      <c r="E359" t="inlineStr">
        <is>
          <t>SALEM</t>
        </is>
      </c>
      <c r="G359" t="n">
        <v>23.8</v>
      </c>
      <c r="H359" t="n">
        <v>1</v>
      </c>
      <c r="I359" t="n">
        <v>0</v>
      </c>
      <c r="J359" t="n">
        <v>1</v>
      </c>
      <c r="K359" t="n">
        <v>0</v>
      </c>
      <c r="L359" t="n">
        <v>0</v>
      </c>
      <c r="M359" t="n">
        <v>0</v>
      </c>
      <c r="N359" t="n">
        <v>0</v>
      </c>
      <c r="O359" t="n">
        <v>1</v>
      </c>
      <c r="P359" t="n">
        <v>0</v>
      </c>
      <c r="Q359" t="n">
        <v>1</v>
      </c>
      <c r="R359" s="2" t="inlineStr">
        <is>
          <t>Talltita</t>
        </is>
      </c>
      <c r="S359">
        <f>HYPERLINK("https://klasma.github.io/Logging_0128/artfynd/A 16917-2020 artfynd.xlsx", "A 16917-2020")</f>
        <v/>
      </c>
      <c r="T359">
        <f>HYPERLINK("https://klasma.github.io/Logging_0128/kartor/A 16917-2020 karta.png", "A 16917-2020")</f>
        <v/>
      </c>
      <c r="V359">
        <f>HYPERLINK("https://klasma.github.io/Logging_0128/klagomål/A 16917-2020 FSC-klagomål.docx", "A 16917-2020")</f>
        <v/>
      </c>
      <c r="W359">
        <f>HYPERLINK("https://klasma.github.io/Logging_0128/klagomålsmail/A 16917-2020 FSC-klagomål mail.docx", "A 16917-2020")</f>
        <v/>
      </c>
      <c r="X359">
        <f>HYPERLINK("https://klasma.github.io/Logging_0128/tillsyn/A 16917-2020 tillsynsbegäran.docx", "A 16917-2020")</f>
        <v/>
      </c>
      <c r="Y359">
        <f>HYPERLINK("https://klasma.github.io/Logging_0128/tillsynsmail/A 16917-2020 tillsynsbegäran mail.docx", "A 16917-2020")</f>
        <v/>
      </c>
      <c r="Z359">
        <f>HYPERLINK("https://klasma.github.io/Logging_0128/fåglar/A 16917-2020 prioriterade fågelarter.docx", "A 16917-2020")</f>
        <v/>
      </c>
    </row>
    <row r="360" ht="15" customHeight="1">
      <c r="A360" t="inlineStr">
        <is>
          <t>A 18965-2020</t>
        </is>
      </c>
      <c r="B360" s="1" t="n">
        <v>43935</v>
      </c>
      <c r="C360" s="1" t="n">
        <v>45672</v>
      </c>
      <c r="D360" t="inlineStr">
        <is>
          <t>STOCKHOLMS LÄN</t>
        </is>
      </c>
      <c r="E360" t="inlineStr">
        <is>
          <t>NYNÄSHAMN</t>
        </is>
      </c>
      <c r="F360" t="inlineStr">
        <is>
          <t>Kommuner</t>
        </is>
      </c>
      <c r="G360" t="n">
        <v>14.3</v>
      </c>
      <c r="H360" t="n">
        <v>1</v>
      </c>
      <c r="I360" t="n">
        <v>0</v>
      </c>
      <c r="J360" t="n">
        <v>0</v>
      </c>
      <c r="K360" t="n">
        <v>1</v>
      </c>
      <c r="L360" t="n">
        <v>0</v>
      </c>
      <c r="M360" t="n">
        <v>0</v>
      </c>
      <c r="N360" t="n">
        <v>0</v>
      </c>
      <c r="O360" t="n">
        <v>1</v>
      </c>
      <c r="P360" t="n">
        <v>1</v>
      </c>
      <c r="Q360" t="n">
        <v>1</v>
      </c>
      <c r="R360" s="2" t="inlineStr">
        <is>
          <t>Hasselsnok</t>
        </is>
      </c>
      <c r="S360">
        <f>HYPERLINK("https://klasma.github.io/Logging_0192/artfynd/A 18965-2020 artfynd.xlsx", "A 18965-2020")</f>
        <v/>
      </c>
      <c r="T360">
        <f>HYPERLINK("https://klasma.github.io/Logging_0192/kartor/A 18965-2020 karta.png", "A 18965-2020")</f>
        <v/>
      </c>
      <c r="V360">
        <f>HYPERLINK("https://klasma.github.io/Logging_0192/klagomål/A 18965-2020 FSC-klagomål.docx", "A 18965-2020")</f>
        <v/>
      </c>
      <c r="W360">
        <f>HYPERLINK("https://klasma.github.io/Logging_0192/klagomålsmail/A 18965-2020 FSC-klagomål mail.docx", "A 18965-2020")</f>
        <v/>
      </c>
      <c r="X360">
        <f>HYPERLINK("https://klasma.github.io/Logging_0192/tillsyn/A 18965-2020 tillsynsbegäran.docx", "A 18965-2020")</f>
        <v/>
      </c>
      <c r="Y360">
        <f>HYPERLINK("https://klasma.github.io/Logging_0192/tillsynsmail/A 18965-2020 tillsynsbegäran mail.docx", "A 18965-2020")</f>
        <v/>
      </c>
    </row>
    <row r="361" ht="15" customHeight="1">
      <c r="A361" t="inlineStr">
        <is>
          <t>A 21628-2020</t>
        </is>
      </c>
      <c r="B361" s="1" t="n">
        <v>43956</v>
      </c>
      <c r="C361" s="1" t="n">
        <v>45672</v>
      </c>
      <c r="D361" t="inlineStr">
        <is>
          <t>STOCKHOLMS LÄN</t>
        </is>
      </c>
      <c r="E361" t="inlineStr">
        <is>
          <t>NYKVARN</t>
        </is>
      </c>
      <c r="G361" t="n">
        <v>1.5</v>
      </c>
      <c r="H361" t="n">
        <v>0</v>
      </c>
      <c r="I361" t="n">
        <v>0</v>
      </c>
      <c r="J361" t="n">
        <v>1</v>
      </c>
      <c r="K361" t="n">
        <v>0</v>
      </c>
      <c r="L361" t="n">
        <v>0</v>
      </c>
      <c r="M361" t="n">
        <v>0</v>
      </c>
      <c r="N361" t="n">
        <v>0</v>
      </c>
      <c r="O361" t="n">
        <v>1</v>
      </c>
      <c r="P361" t="n">
        <v>0</v>
      </c>
      <c r="Q361" t="n">
        <v>1</v>
      </c>
      <c r="R361" s="2" t="inlineStr">
        <is>
          <t>Igelkott</t>
        </is>
      </c>
      <c r="S361">
        <f>HYPERLINK("https://klasma.github.io/Logging_0140/artfynd/A 21628-2020 artfynd.xlsx", "A 21628-2020")</f>
        <v/>
      </c>
      <c r="T361">
        <f>HYPERLINK("https://klasma.github.io/Logging_0140/kartor/A 21628-2020 karta.png", "A 21628-2020")</f>
        <v/>
      </c>
      <c r="V361">
        <f>HYPERLINK("https://klasma.github.io/Logging_0140/klagomål/A 21628-2020 FSC-klagomål.docx", "A 21628-2020")</f>
        <v/>
      </c>
      <c r="W361">
        <f>HYPERLINK("https://klasma.github.io/Logging_0140/klagomålsmail/A 21628-2020 FSC-klagomål mail.docx", "A 21628-2020")</f>
        <v/>
      </c>
      <c r="X361">
        <f>HYPERLINK("https://klasma.github.io/Logging_0140/tillsyn/A 21628-2020 tillsynsbegäran.docx", "A 21628-2020")</f>
        <v/>
      </c>
      <c r="Y361">
        <f>HYPERLINK("https://klasma.github.io/Logging_0140/tillsynsmail/A 21628-2020 tillsynsbegäran mail.docx", "A 21628-2020")</f>
        <v/>
      </c>
    </row>
    <row r="362" ht="15" customHeight="1">
      <c r="A362" t="inlineStr">
        <is>
          <t>A 28380-2020</t>
        </is>
      </c>
      <c r="B362" s="1" t="n">
        <v>43998</v>
      </c>
      <c r="C362" s="1" t="n">
        <v>45672</v>
      </c>
      <c r="D362" t="inlineStr">
        <is>
          <t>STOCKHOLMS LÄN</t>
        </is>
      </c>
      <c r="E362" t="inlineStr">
        <is>
          <t>NORRTÄLJE</t>
        </is>
      </c>
      <c r="G362" t="n">
        <v>43</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28380-2020 artfynd.xlsx", "A 28380-2020")</f>
        <v/>
      </c>
      <c r="T362">
        <f>HYPERLINK("https://klasma.github.io/Logging_0188/kartor/A 28380-2020 karta.png", "A 28380-2020")</f>
        <v/>
      </c>
      <c r="V362">
        <f>HYPERLINK("https://klasma.github.io/Logging_0188/klagomål/A 28380-2020 FSC-klagomål.docx", "A 28380-2020")</f>
        <v/>
      </c>
      <c r="W362">
        <f>HYPERLINK("https://klasma.github.io/Logging_0188/klagomålsmail/A 28380-2020 FSC-klagomål mail.docx", "A 28380-2020")</f>
        <v/>
      </c>
      <c r="X362">
        <f>HYPERLINK("https://klasma.github.io/Logging_0188/tillsyn/A 28380-2020 tillsynsbegäran.docx", "A 28380-2020")</f>
        <v/>
      </c>
      <c r="Y362">
        <f>HYPERLINK("https://klasma.github.io/Logging_0188/tillsynsmail/A 28380-2020 tillsynsbegäran mail.docx", "A 28380-2020")</f>
        <v/>
      </c>
    </row>
    <row r="363" ht="15" customHeight="1">
      <c r="A363" t="inlineStr">
        <is>
          <t>A 32525-2020</t>
        </is>
      </c>
      <c r="B363" s="1" t="n">
        <v>44018</v>
      </c>
      <c r="C363" s="1" t="n">
        <v>45672</v>
      </c>
      <c r="D363" t="inlineStr">
        <is>
          <t>STOCKHOLMS LÄN</t>
        </is>
      </c>
      <c r="E363" t="inlineStr">
        <is>
          <t>HANINGE</t>
        </is>
      </c>
      <c r="F363" t="inlineStr">
        <is>
          <t>Kommuner</t>
        </is>
      </c>
      <c r="G363" t="n">
        <v>2.3</v>
      </c>
      <c r="H363" t="n">
        <v>0</v>
      </c>
      <c r="I363" t="n">
        <v>1</v>
      </c>
      <c r="J363" t="n">
        <v>0</v>
      </c>
      <c r="K363" t="n">
        <v>0</v>
      </c>
      <c r="L363" t="n">
        <v>0</v>
      </c>
      <c r="M363" t="n">
        <v>0</v>
      </c>
      <c r="N363" t="n">
        <v>0</v>
      </c>
      <c r="O363" t="n">
        <v>0</v>
      </c>
      <c r="P363" t="n">
        <v>0</v>
      </c>
      <c r="Q363" t="n">
        <v>1</v>
      </c>
      <c r="R363" s="2" t="inlineStr">
        <is>
          <t>Vedticka</t>
        </is>
      </c>
      <c r="S363">
        <f>HYPERLINK("https://klasma.github.io/Logging_0136/artfynd/A 32525-2020 artfynd.xlsx", "A 32525-2020")</f>
        <v/>
      </c>
      <c r="T363">
        <f>HYPERLINK("https://klasma.github.io/Logging_0136/kartor/A 32525-2020 karta.png", "A 32525-2020")</f>
        <v/>
      </c>
      <c r="V363">
        <f>HYPERLINK("https://klasma.github.io/Logging_0136/klagomål/A 32525-2020 FSC-klagomål.docx", "A 32525-2020")</f>
        <v/>
      </c>
      <c r="W363">
        <f>HYPERLINK("https://klasma.github.io/Logging_0136/klagomålsmail/A 32525-2020 FSC-klagomål mail.docx", "A 32525-2020")</f>
        <v/>
      </c>
      <c r="X363">
        <f>HYPERLINK("https://klasma.github.io/Logging_0136/tillsyn/A 32525-2020 tillsynsbegäran.docx", "A 32525-2020")</f>
        <v/>
      </c>
      <c r="Y363">
        <f>HYPERLINK("https://klasma.github.io/Logging_0136/tillsynsmail/A 32525-2020 tillsynsbegäran mail.docx", "A 32525-2020")</f>
        <v/>
      </c>
    </row>
    <row r="364" ht="15" customHeight="1">
      <c r="A364" t="inlineStr">
        <is>
          <t>A 34971-2020</t>
        </is>
      </c>
      <c r="B364" s="1" t="n">
        <v>44039</v>
      </c>
      <c r="C364" s="1" t="n">
        <v>45672</v>
      </c>
      <c r="D364" t="inlineStr">
        <is>
          <t>STOCKHOLMS LÄN</t>
        </is>
      </c>
      <c r="E364" t="inlineStr">
        <is>
          <t>BOTKYRKA</t>
        </is>
      </c>
      <c r="G364" t="n">
        <v>4.2</v>
      </c>
      <c r="H364" t="n">
        <v>0</v>
      </c>
      <c r="I364" t="n">
        <v>1</v>
      </c>
      <c r="J364" t="n">
        <v>0</v>
      </c>
      <c r="K364" t="n">
        <v>0</v>
      </c>
      <c r="L364" t="n">
        <v>0</v>
      </c>
      <c r="M364" t="n">
        <v>0</v>
      </c>
      <c r="N364" t="n">
        <v>0</v>
      </c>
      <c r="O364" t="n">
        <v>0</v>
      </c>
      <c r="P364" t="n">
        <v>0</v>
      </c>
      <c r="Q364" t="n">
        <v>1</v>
      </c>
      <c r="R364" s="2" t="inlineStr">
        <is>
          <t>Tibast</t>
        </is>
      </c>
      <c r="S364">
        <f>HYPERLINK("https://klasma.github.io/Logging_0127/artfynd/A 34971-2020 artfynd.xlsx", "A 34971-2020")</f>
        <v/>
      </c>
      <c r="T364">
        <f>HYPERLINK("https://klasma.github.io/Logging_0127/kartor/A 34971-2020 karta.png", "A 34971-2020")</f>
        <v/>
      </c>
      <c r="V364">
        <f>HYPERLINK("https://klasma.github.io/Logging_0127/klagomål/A 34971-2020 FSC-klagomål.docx", "A 34971-2020")</f>
        <v/>
      </c>
      <c r="W364">
        <f>HYPERLINK("https://klasma.github.io/Logging_0127/klagomålsmail/A 34971-2020 FSC-klagomål mail.docx", "A 34971-2020")</f>
        <v/>
      </c>
      <c r="X364">
        <f>HYPERLINK("https://klasma.github.io/Logging_0127/tillsyn/A 34971-2020 tillsynsbegäran.docx", "A 34971-2020")</f>
        <v/>
      </c>
      <c r="Y364">
        <f>HYPERLINK("https://klasma.github.io/Logging_0127/tillsynsmail/A 34971-2020 tillsynsbegäran mail.docx", "A 34971-2020")</f>
        <v/>
      </c>
    </row>
    <row r="365" ht="15" customHeight="1">
      <c r="A365" t="inlineStr">
        <is>
          <t>A 41774-2020</t>
        </is>
      </c>
      <c r="B365" s="1" t="n">
        <v>44074</v>
      </c>
      <c r="C365" s="1" t="n">
        <v>45672</v>
      </c>
      <c r="D365" t="inlineStr">
        <is>
          <t>STOCKHOLMS LÄN</t>
        </is>
      </c>
      <c r="E365" t="inlineStr">
        <is>
          <t>SALEM</t>
        </is>
      </c>
      <c r="F365" t="inlineStr">
        <is>
          <t>Kommuner</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HYPERLINK("https://klasma.github.io/Logging_0128/artfynd/A 41774-2020 artfynd.xlsx", "A 41774-2020")</f>
        <v/>
      </c>
      <c r="T365">
        <f>HYPERLINK("https://klasma.github.io/Logging_0128/kartor/A 41774-2020 karta.png", "A 41774-2020")</f>
        <v/>
      </c>
      <c r="V365">
        <f>HYPERLINK("https://klasma.github.io/Logging_0128/klagomål/A 41774-2020 FSC-klagomål.docx", "A 41774-2020")</f>
        <v/>
      </c>
      <c r="W365">
        <f>HYPERLINK("https://klasma.github.io/Logging_0128/klagomålsmail/A 41774-2020 FSC-klagomål mail.docx", "A 41774-2020")</f>
        <v/>
      </c>
      <c r="X365">
        <f>HYPERLINK("https://klasma.github.io/Logging_0128/tillsyn/A 41774-2020 tillsynsbegäran.docx", "A 41774-2020")</f>
        <v/>
      </c>
      <c r="Y365">
        <f>HYPERLINK("https://klasma.github.io/Logging_0128/tillsynsmail/A 41774-2020 tillsynsbegäran mail.docx", "A 41774-2020")</f>
        <v/>
      </c>
    </row>
    <row r="366" ht="15" customHeight="1">
      <c r="A366" t="inlineStr">
        <is>
          <t>A 45158-2020</t>
        </is>
      </c>
      <c r="B366" s="1" t="n">
        <v>44088</v>
      </c>
      <c r="C366" s="1" t="n">
        <v>45672</v>
      </c>
      <c r="D366" t="inlineStr">
        <is>
          <t>STOCKHOLMS LÄN</t>
        </is>
      </c>
      <c r="E366" t="inlineStr">
        <is>
          <t>SALEM</t>
        </is>
      </c>
      <c r="F366" t="inlineStr">
        <is>
          <t>Kommuner</t>
        </is>
      </c>
      <c r="G366" t="n">
        <v>1.5</v>
      </c>
      <c r="H366" t="n">
        <v>1</v>
      </c>
      <c r="I366" t="n">
        <v>0</v>
      </c>
      <c r="J366" t="n">
        <v>1</v>
      </c>
      <c r="K366" t="n">
        <v>0</v>
      </c>
      <c r="L366" t="n">
        <v>0</v>
      </c>
      <c r="M366" t="n">
        <v>0</v>
      </c>
      <c r="N366" t="n">
        <v>0</v>
      </c>
      <c r="O366" t="n">
        <v>1</v>
      </c>
      <c r="P366" t="n">
        <v>0</v>
      </c>
      <c r="Q366" t="n">
        <v>1</v>
      </c>
      <c r="R366" s="2" t="inlineStr">
        <is>
          <t>Spillkråka</t>
        </is>
      </c>
      <c r="S366">
        <f>HYPERLINK("https://klasma.github.io/Logging_0128/artfynd/A 45158-2020 artfynd.xlsx", "A 45158-2020")</f>
        <v/>
      </c>
      <c r="T366">
        <f>HYPERLINK("https://klasma.github.io/Logging_0128/kartor/A 45158-2020 karta.png", "A 45158-2020")</f>
        <v/>
      </c>
      <c r="V366">
        <f>HYPERLINK("https://klasma.github.io/Logging_0128/klagomål/A 45158-2020 FSC-klagomål.docx", "A 45158-2020")</f>
        <v/>
      </c>
      <c r="W366">
        <f>HYPERLINK("https://klasma.github.io/Logging_0128/klagomålsmail/A 45158-2020 FSC-klagomål mail.docx", "A 45158-2020")</f>
        <v/>
      </c>
      <c r="X366">
        <f>HYPERLINK("https://klasma.github.io/Logging_0128/tillsyn/A 45158-2020 tillsynsbegäran.docx", "A 45158-2020")</f>
        <v/>
      </c>
      <c r="Y366">
        <f>HYPERLINK("https://klasma.github.io/Logging_0128/tillsynsmail/A 45158-2020 tillsynsbegäran mail.docx", "A 45158-2020")</f>
        <v/>
      </c>
      <c r="Z366">
        <f>HYPERLINK("https://klasma.github.io/Logging_0128/fåglar/A 45158-2020 prioriterade fågelarter.docx", "A 45158-2020")</f>
        <v/>
      </c>
    </row>
    <row r="367" ht="15" customHeight="1">
      <c r="A367" t="inlineStr">
        <is>
          <t>A 47329-2020</t>
        </is>
      </c>
      <c r="B367" s="1" t="n">
        <v>44097</v>
      </c>
      <c r="C367" s="1" t="n">
        <v>45672</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47329-2020 artfynd.xlsx", "A 47329-2020")</f>
        <v/>
      </c>
      <c r="T367">
        <f>HYPERLINK("https://klasma.github.io/Logging_0139/kartor/A 47329-2020 karta.png", "A 47329-2020")</f>
        <v/>
      </c>
      <c r="V367">
        <f>HYPERLINK("https://klasma.github.io/Logging_0139/klagomål/A 47329-2020 FSC-klagomål.docx", "A 47329-2020")</f>
        <v/>
      </c>
      <c r="W367">
        <f>HYPERLINK("https://klasma.github.io/Logging_0139/klagomålsmail/A 47329-2020 FSC-klagomål mail.docx", "A 47329-2020")</f>
        <v/>
      </c>
      <c r="X367">
        <f>HYPERLINK("https://klasma.github.io/Logging_0139/tillsyn/A 47329-2020 tillsynsbegäran.docx", "A 47329-2020")</f>
        <v/>
      </c>
      <c r="Y367">
        <f>HYPERLINK("https://klasma.github.io/Logging_0139/tillsynsmail/A 47329-2020 tillsynsbegäran mail.docx", "A 47329-2020")</f>
        <v/>
      </c>
    </row>
    <row r="368" ht="15" customHeight="1">
      <c r="A368" t="inlineStr">
        <is>
          <t>A 48288-2020</t>
        </is>
      </c>
      <c r="B368" s="1" t="n">
        <v>44102</v>
      </c>
      <c r="C368" s="1" t="n">
        <v>45672</v>
      </c>
      <c r="D368" t="inlineStr">
        <is>
          <t>STOCKHOLMS LÄN</t>
        </is>
      </c>
      <c r="E368" t="inlineStr">
        <is>
          <t>NORRTÄLJE</t>
        </is>
      </c>
      <c r="F368" t="inlineStr">
        <is>
          <t>Holmen skog AB</t>
        </is>
      </c>
      <c r="G368" t="n">
        <v>2.9</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48288-2020 artfynd.xlsx", "A 48288-2020")</f>
        <v/>
      </c>
      <c r="T368">
        <f>HYPERLINK("https://klasma.github.io/Logging_0188/kartor/A 48288-2020 karta.png", "A 48288-2020")</f>
        <v/>
      </c>
      <c r="V368">
        <f>HYPERLINK("https://klasma.github.io/Logging_0188/klagomål/A 48288-2020 FSC-klagomål.docx", "A 48288-2020")</f>
        <v/>
      </c>
      <c r="W368">
        <f>HYPERLINK("https://klasma.github.io/Logging_0188/klagomålsmail/A 48288-2020 FSC-klagomål mail.docx", "A 48288-2020")</f>
        <v/>
      </c>
      <c r="X368">
        <f>HYPERLINK("https://klasma.github.io/Logging_0188/tillsyn/A 48288-2020 tillsynsbegäran.docx", "A 48288-2020")</f>
        <v/>
      </c>
      <c r="Y368">
        <f>HYPERLINK("https://klasma.github.io/Logging_0188/tillsynsmail/A 48288-2020 tillsynsbegäran mail.docx", "A 48288-2020")</f>
        <v/>
      </c>
    </row>
    <row r="369" ht="15" customHeight="1">
      <c r="A369" t="inlineStr">
        <is>
          <t>A 62846-2020</t>
        </is>
      </c>
      <c r="B369" s="1" t="n">
        <v>44161</v>
      </c>
      <c r="C369" s="1" t="n">
        <v>45672</v>
      </c>
      <c r="D369" t="inlineStr">
        <is>
          <t>STOCKHOLMS LÄN</t>
        </is>
      </c>
      <c r="E369" t="inlineStr">
        <is>
          <t>NORRTÄLJE</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HYPERLINK("https://klasma.github.io/Logging_0188/artfynd/A 62846-2020 artfynd.xlsx", "A 62846-2020")</f>
        <v/>
      </c>
      <c r="T369">
        <f>HYPERLINK("https://klasma.github.io/Logging_0188/kartor/A 62846-2020 karta.png", "A 62846-2020")</f>
        <v/>
      </c>
      <c r="V369">
        <f>HYPERLINK("https://klasma.github.io/Logging_0188/klagomål/A 62846-2020 FSC-klagomål.docx", "A 62846-2020")</f>
        <v/>
      </c>
      <c r="W369">
        <f>HYPERLINK("https://klasma.github.io/Logging_0188/klagomålsmail/A 62846-2020 FSC-klagomål mail.docx", "A 62846-2020")</f>
        <v/>
      </c>
      <c r="X369">
        <f>HYPERLINK("https://klasma.github.io/Logging_0188/tillsyn/A 62846-2020 tillsynsbegäran.docx", "A 62846-2020")</f>
        <v/>
      </c>
      <c r="Y369">
        <f>HYPERLINK("https://klasma.github.io/Logging_0188/tillsynsmail/A 62846-2020 tillsynsbegäran mail.docx", "A 62846-2020")</f>
        <v/>
      </c>
    </row>
    <row r="370" ht="15" customHeight="1">
      <c r="A370" t="inlineStr">
        <is>
          <t>A 1162-2021</t>
        </is>
      </c>
      <c r="B370" s="1" t="n">
        <v>44207</v>
      </c>
      <c r="C370" s="1" t="n">
        <v>45672</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1424-2021</t>
        </is>
      </c>
      <c r="B371" s="1" t="n">
        <v>44208</v>
      </c>
      <c r="C371" s="1" t="n">
        <v>45672</v>
      </c>
      <c r="D371" t="inlineStr">
        <is>
          <t>STOCKHOLMS LÄN</t>
        </is>
      </c>
      <c r="E371" t="inlineStr">
        <is>
          <t>HANINGE</t>
        </is>
      </c>
      <c r="G371" t="n">
        <v>1.7</v>
      </c>
      <c r="H371" t="n">
        <v>1</v>
      </c>
      <c r="I371" t="n">
        <v>1</v>
      </c>
      <c r="J371" t="n">
        <v>0</v>
      </c>
      <c r="K371" t="n">
        <v>0</v>
      </c>
      <c r="L371" t="n">
        <v>0</v>
      </c>
      <c r="M371" t="n">
        <v>0</v>
      </c>
      <c r="N371" t="n">
        <v>0</v>
      </c>
      <c r="O371" t="n">
        <v>0</v>
      </c>
      <c r="P371" t="n">
        <v>0</v>
      </c>
      <c r="Q371" t="n">
        <v>1</v>
      </c>
      <c r="R371" s="2" t="inlineStr">
        <is>
          <t>Tvåblad</t>
        </is>
      </c>
      <c r="S371">
        <f>HYPERLINK("https://klasma.github.io/Logging_0136/artfynd/A 1424-2021 artfynd.xlsx", "A 1424-2021")</f>
        <v/>
      </c>
      <c r="T371">
        <f>HYPERLINK("https://klasma.github.io/Logging_0136/kartor/A 1424-2021 karta.png", "A 1424-2021")</f>
        <v/>
      </c>
      <c r="U371">
        <f>HYPERLINK("https://klasma.github.io/Logging_0136/knärot/A 1424-2021 karta knärot.png", "A 1424-2021")</f>
        <v/>
      </c>
      <c r="V371">
        <f>HYPERLINK("https://klasma.github.io/Logging_0136/klagomål/A 1424-2021 FSC-klagomål.docx", "A 1424-2021")</f>
        <v/>
      </c>
      <c r="W371">
        <f>HYPERLINK("https://klasma.github.io/Logging_0136/klagomålsmail/A 1424-2021 FSC-klagomål mail.docx", "A 1424-2021")</f>
        <v/>
      </c>
      <c r="X371">
        <f>HYPERLINK("https://klasma.github.io/Logging_0136/tillsyn/A 1424-2021 tillsynsbegäran.docx", "A 1424-2021")</f>
        <v/>
      </c>
      <c r="Y371">
        <f>HYPERLINK("https://klasma.github.io/Logging_0136/tillsynsmail/A 1424-2021 tillsynsbegäran mail.docx", "A 1424-2021")</f>
        <v/>
      </c>
    </row>
    <row r="372" ht="15" customHeight="1">
      <c r="A372" t="inlineStr">
        <is>
          <t>A 9945-2021</t>
        </is>
      </c>
      <c r="B372" s="1" t="n">
        <v>44253</v>
      </c>
      <c r="C372" s="1" t="n">
        <v>45672</v>
      </c>
      <c r="D372" t="inlineStr">
        <is>
          <t>STOCKHOLMS LÄN</t>
        </is>
      </c>
      <c r="E372" t="inlineStr">
        <is>
          <t>HUDDINGE</t>
        </is>
      </c>
      <c r="F372" t="inlineStr">
        <is>
          <t>Kommuner</t>
        </is>
      </c>
      <c r="G372" t="n">
        <v>3</v>
      </c>
      <c r="H372" t="n">
        <v>1</v>
      </c>
      <c r="I372" t="n">
        <v>0</v>
      </c>
      <c r="J372" t="n">
        <v>0</v>
      </c>
      <c r="K372" t="n">
        <v>0</v>
      </c>
      <c r="L372" t="n">
        <v>0</v>
      </c>
      <c r="M372" t="n">
        <v>0</v>
      </c>
      <c r="N372" t="n">
        <v>0</v>
      </c>
      <c r="O372" t="n">
        <v>0</v>
      </c>
      <c r="P372" t="n">
        <v>0</v>
      </c>
      <c r="Q372" t="n">
        <v>1</v>
      </c>
      <c r="R372" s="2" t="inlineStr">
        <is>
          <t>Nattskärra</t>
        </is>
      </c>
      <c r="S372">
        <f>HYPERLINK("https://klasma.github.io/Logging_0126/artfynd/A 9945-2021 artfynd.xlsx", "A 9945-2021")</f>
        <v/>
      </c>
      <c r="T372">
        <f>HYPERLINK("https://klasma.github.io/Logging_0126/kartor/A 9945-2021 karta.png", "A 9945-2021")</f>
        <v/>
      </c>
      <c r="V372">
        <f>HYPERLINK("https://klasma.github.io/Logging_0126/klagomål/A 9945-2021 FSC-klagomål.docx", "A 9945-2021")</f>
        <v/>
      </c>
      <c r="W372">
        <f>HYPERLINK("https://klasma.github.io/Logging_0126/klagomålsmail/A 9945-2021 FSC-klagomål mail.docx", "A 9945-2021")</f>
        <v/>
      </c>
      <c r="X372">
        <f>HYPERLINK("https://klasma.github.io/Logging_0126/tillsyn/A 9945-2021 tillsynsbegäran.docx", "A 9945-2021")</f>
        <v/>
      </c>
      <c r="Y372">
        <f>HYPERLINK("https://klasma.github.io/Logging_0126/tillsynsmail/A 9945-2021 tillsynsbegäran mail.docx", "A 9945-2021")</f>
        <v/>
      </c>
      <c r="Z372">
        <f>HYPERLINK("https://klasma.github.io/Logging_0126/fåglar/A 9945-2021 prioriterade fågelarter.docx", "A 9945-2021")</f>
        <v/>
      </c>
    </row>
    <row r="373" ht="15" customHeight="1">
      <c r="A373" t="inlineStr">
        <is>
          <t>A 12989-2021</t>
        </is>
      </c>
      <c r="B373" s="1" t="n">
        <v>44271</v>
      </c>
      <c r="C373" s="1" t="n">
        <v>45672</v>
      </c>
      <c r="D373" t="inlineStr">
        <is>
          <t>STOCKHOLMS LÄN</t>
        </is>
      </c>
      <c r="E373" t="inlineStr">
        <is>
          <t>NYNÄSHAMN</t>
        </is>
      </c>
      <c r="F373" t="inlineStr">
        <is>
          <t>Kommuner</t>
        </is>
      </c>
      <c r="G373" t="n">
        <v>6.6</v>
      </c>
      <c r="H373" t="n">
        <v>1</v>
      </c>
      <c r="I373" t="n">
        <v>0</v>
      </c>
      <c r="J373" t="n">
        <v>0</v>
      </c>
      <c r="K373" t="n">
        <v>1</v>
      </c>
      <c r="L373" t="n">
        <v>0</v>
      </c>
      <c r="M373" t="n">
        <v>0</v>
      </c>
      <c r="N373" t="n">
        <v>0</v>
      </c>
      <c r="O373" t="n">
        <v>1</v>
      </c>
      <c r="P373" t="n">
        <v>1</v>
      </c>
      <c r="Q373" t="n">
        <v>1</v>
      </c>
      <c r="R373" s="2" t="inlineStr">
        <is>
          <t>Hasselsnok</t>
        </is>
      </c>
      <c r="S373">
        <f>HYPERLINK("https://klasma.github.io/Logging_0192/artfynd/A 12989-2021 artfynd.xlsx", "A 12989-2021")</f>
        <v/>
      </c>
      <c r="T373">
        <f>HYPERLINK("https://klasma.github.io/Logging_0192/kartor/A 12989-2021 karta.png", "A 12989-2021")</f>
        <v/>
      </c>
      <c r="V373">
        <f>HYPERLINK("https://klasma.github.io/Logging_0192/klagomål/A 12989-2021 FSC-klagomål.docx", "A 12989-2021")</f>
        <v/>
      </c>
      <c r="W373">
        <f>HYPERLINK("https://klasma.github.io/Logging_0192/klagomålsmail/A 12989-2021 FSC-klagomål mail.docx", "A 12989-2021")</f>
        <v/>
      </c>
      <c r="X373">
        <f>HYPERLINK("https://klasma.github.io/Logging_0192/tillsyn/A 12989-2021 tillsynsbegäran.docx", "A 12989-2021")</f>
        <v/>
      </c>
      <c r="Y373">
        <f>HYPERLINK("https://klasma.github.io/Logging_0192/tillsynsmail/A 12989-2021 tillsynsbegäran mail.docx", "A 12989-2021")</f>
        <v/>
      </c>
    </row>
    <row r="374" ht="15" customHeight="1">
      <c r="A374" t="inlineStr">
        <is>
          <t>A 13942-2021</t>
        </is>
      </c>
      <c r="B374" s="1" t="n">
        <v>44277</v>
      </c>
      <c r="C374" s="1" t="n">
        <v>45672</v>
      </c>
      <c r="D374" t="inlineStr">
        <is>
          <t>STOCKHOLMS LÄN</t>
        </is>
      </c>
      <c r="E374" t="inlineStr">
        <is>
          <t>ÖSTERÅKER</t>
        </is>
      </c>
      <c r="G374" t="n">
        <v>5.2</v>
      </c>
      <c r="H374" t="n">
        <v>0</v>
      </c>
      <c r="I374" t="n">
        <v>1</v>
      </c>
      <c r="J374" t="n">
        <v>0</v>
      </c>
      <c r="K374" t="n">
        <v>0</v>
      </c>
      <c r="L374" t="n">
        <v>0</v>
      </c>
      <c r="M374" t="n">
        <v>0</v>
      </c>
      <c r="N374" t="n">
        <v>0</v>
      </c>
      <c r="O374" t="n">
        <v>0</v>
      </c>
      <c r="P374" t="n">
        <v>0</v>
      </c>
      <c r="Q374" t="n">
        <v>1</v>
      </c>
      <c r="R374" s="2" t="inlineStr">
        <is>
          <t>Skogsbräsma</t>
        </is>
      </c>
      <c r="S374">
        <f>HYPERLINK("https://klasma.github.io/Logging_0117/artfynd/A 13942-2021 artfynd.xlsx", "A 13942-2021")</f>
        <v/>
      </c>
      <c r="T374">
        <f>HYPERLINK("https://klasma.github.io/Logging_0117/kartor/A 13942-2021 karta.png", "A 13942-2021")</f>
        <v/>
      </c>
      <c r="V374">
        <f>HYPERLINK("https://klasma.github.io/Logging_0117/klagomål/A 13942-2021 FSC-klagomål.docx", "A 13942-2021")</f>
        <v/>
      </c>
      <c r="W374">
        <f>HYPERLINK("https://klasma.github.io/Logging_0117/klagomålsmail/A 13942-2021 FSC-klagomål mail.docx", "A 13942-2021")</f>
        <v/>
      </c>
      <c r="X374">
        <f>HYPERLINK("https://klasma.github.io/Logging_0117/tillsyn/A 13942-2021 tillsynsbegäran.docx", "A 13942-2021")</f>
        <v/>
      </c>
      <c r="Y374">
        <f>HYPERLINK("https://klasma.github.io/Logging_0117/tillsynsmail/A 13942-2021 tillsynsbegäran mail.docx", "A 13942-2021")</f>
        <v/>
      </c>
    </row>
    <row r="375" ht="15" customHeight="1">
      <c r="A375" t="inlineStr">
        <is>
          <t>A 16461-2021</t>
        </is>
      </c>
      <c r="B375" s="1" t="n">
        <v>44293</v>
      </c>
      <c r="C375" s="1" t="n">
        <v>45672</v>
      </c>
      <c r="D375" t="inlineStr">
        <is>
          <t>STOCKHOLMS LÄN</t>
        </is>
      </c>
      <c r="E375" t="inlineStr">
        <is>
          <t>SIGTUNA</t>
        </is>
      </c>
      <c r="G375" t="n">
        <v>8</v>
      </c>
      <c r="H375" t="n">
        <v>1</v>
      </c>
      <c r="I375" t="n">
        <v>0</v>
      </c>
      <c r="J375" t="n">
        <v>0</v>
      </c>
      <c r="K375" t="n">
        <v>0</v>
      </c>
      <c r="L375" t="n">
        <v>0</v>
      </c>
      <c r="M375" t="n">
        <v>0</v>
      </c>
      <c r="N375" t="n">
        <v>0</v>
      </c>
      <c r="O375" t="n">
        <v>0</v>
      </c>
      <c r="P375" t="n">
        <v>0</v>
      </c>
      <c r="Q375" t="n">
        <v>1</v>
      </c>
      <c r="R375" s="2" t="inlineStr">
        <is>
          <t>Större vattensalamander</t>
        </is>
      </c>
      <c r="S375">
        <f>HYPERLINK("https://klasma.github.io/Logging_0191/artfynd/A 16461-2021 artfynd.xlsx", "A 16461-2021")</f>
        <v/>
      </c>
      <c r="T375">
        <f>HYPERLINK("https://klasma.github.io/Logging_0191/kartor/A 16461-2021 karta.png", "A 16461-2021")</f>
        <v/>
      </c>
      <c r="V375">
        <f>HYPERLINK("https://klasma.github.io/Logging_0191/klagomål/A 16461-2021 FSC-klagomål.docx", "A 16461-2021")</f>
        <v/>
      </c>
      <c r="W375">
        <f>HYPERLINK("https://klasma.github.io/Logging_0191/klagomålsmail/A 16461-2021 FSC-klagomål mail.docx", "A 16461-2021")</f>
        <v/>
      </c>
      <c r="X375">
        <f>HYPERLINK("https://klasma.github.io/Logging_0191/tillsyn/A 16461-2021 tillsynsbegäran.docx", "A 16461-2021")</f>
        <v/>
      </c>
      <c r="Y375">
        <f>HYPERLINK("https://klasma.github.io/Logging_0191/tillsynsmail/A 16461-2021 tillsynsbegäran mail.docx", "A 16461-2021")</f>
        <v/>
      </c>
    </row>
    <row r="376" ht="15" customHeight="1">
      <c r="A376" t="inlineStr">
        <is>
          <t>A 18280-2021</t>
        </is>
      </c>
      <c r="B376" s="1" t="n">
        <v>44298</v>
      </c>
      <c r="C376" s="1" t="n">
        <v>45672</v>
      </c>
      <c r="D376" t="inlineStr">
        <is>
          <t>STOCKHOLMS LÄN</t>
        </is>
      </c>
      <c r="E376" t="inlineStr">
        <is>
          <t>NACKA</t>
        </is>
      </c>
      <c r="G376" t="n">
        <v>4.4</v>
      </c>
      <c r="H376" t="n">
        <v>1</v>
      </c>
      <c r="I376" t="n">
        <v>0</v>
      </c>
      <c r="J376" t="n">
        <v>1</v>
      </c>
      <c r="K376" t="n">
        <v>0</v>
      </c>
      <c r="L376" t="n">
        <v>0</v>
      </c>
      <c r="M376" t="n">
        <v>0</v>
      </c>
      <c r="N376" t="n">
        <v>0</v>
      </c>
      <c r="O376" t="n">
        <v>1</v>
      </c>
      <c r="P376" t="n">
        <v>0</v>
      </c>
      <c r="Q376" t="n">
        <v>1</v>
      </c>
      <c r="R376" s="2" t="inlineStr">
        <is>
          <t>Duvhök</t>
        </is>
      </c>
      <c r="S376">
        <f>HYPERLINK("https://klasma.github.io/Logging_0182/artfynd/A 18280-2021 artfynd.xlsx", "A 18280-2021")</f>
        <v/>
      </c>
      <c r="T376">
        <f>HYPERLINK("https://klasma.github.io/Logging_0182/kartor/A 18280-2021 karta.png", "A 18280-2021")</f>
        <v/>
      </c>
      <c r="V376">
        <f>HYPERLINK("https://klasma.github.io/Logging_0182/klagomål/A 18280-2021 FSC-klagomål.docx", "A 18280-2021")</f>
        <v/>
      </c>
      <c r="W376">
        <f>HYPERLINK("https://klasma.github.io/Logging_0182/klagomålsmail/A 18280-2021 FSC-klagomål mail.docx", "A 18280-2021")</f>
        <v/>
      </c>
      <c r="X376">
        <f>HYPERLINK("https://klasma.github.io/Logging_0182/tillsyn/A 18280-2021 tillsynsbegäran.docx", "A 18280-2021")</f>
        <v/>
      </c>
      <c r="Y376">
        <f>HYPERLINK("https://klasma.github.io/Logging_0182/tillsynsmail/A 18280-2021 tillsynsbegäran mail.docx", "A 18280-2021")</f>
        <v/>
      </c>
      <c r="Z376">
        <f>HYPERLINK("https://klasma.github.io/Logging_0182/fåglar/A 18280-2021 prioriterade fågelarter.docx", "A 18280-2021")</f>
        <v/>
      </c>
    </row>
    <row r="377" ht="15" customHeight="1">
      <c r="A377" t="inlineStr">
        <is>
          <t>A 27757-2021</t>
        </is>
      </c>
      <c r="B377" s="1" t="n">
        <v>44354</v>
      </c>
      <c r="C377" s="1" t="n">
        <v>45672</v>
      </c>
      <c r="D377" t="inlineStr">
        <is>
          <t>STOCKHOLMS LÄN</t>
        </is>
      </c>
      <c r="E377" t="inlineStr">
        <is>
          <t>SÖDERTÄLJE</t>
        </is>
      </c>
      <c r="F377" t="inlineStr">
        <is>
          <t>Sveaskog</t>
        </is>
      </c>
      <c r="G377" t="n">
        <v>1.7</v>
      </c>
      <c r="H377" t="n">
        <v>0</v>
      </c>
      <c r="I377" t="n">
        <v>0</v>
      </c>
      <c r="J377" t="n">
        <v>0</v>
      </c>
      <c r="K377" t="n">
        <v>0</v>
      </c>
      <c r="L377" t="n">
        <v>1</v>
      </c>
      <c r="M377" t="n">
        <v>0</v>
      </c>
      <c r="N377" t="n">
        <v>0</v>
      </c>
      <c r="O377" t="n">
        <v>1</v>
      </c>
      <c r="P377" t="n">
        <v>1</v>
      </c>
      <c r="Q377" t="n">
        <v>1</v>
      </c>
      <c r="R377" s="2" t="inlineStr">
        <is>
          <t>Ryl</t>
        </is>
      </c>
      <c r="S377">
        <f>HYPERLINK("https://klasma.github.io/Logging_0181/artfynd/A 27757-2021 artfynd.xlsx", "A 27757-2021")</f>
        <v/>
      </c>
      <c r="T377">
        <f>HYPERLINK("https://klasma.github.io/Logging_0181/kartor/A 27757-2021 karta.png", "A 27757-2021")</f>
        <v/>
      </c>
      <c r="V377">
        <f>HYPERLINK("https://klasma.github.io/Logging_0181/klagomål/A 27757-2021 FSC-klagomål.docx", "A 27757-2021")</f>
        <v/>
      </c>
      <c r="W377">
        <f>HYPERLINK("https://klasma.github.io/Logging_0181/klagomålsmail/A 27757-2021 FSC-klagomål mail.docx", "A 27757-2021")</f>
        <v/>
      </c>
      <c r="X377">
        <f>HYPERLINK("https://klasma.github.io/Logging_0181/tillsyn/A 27757-2021 tillsynsbegäran.docx", "A 27757-2021")</f>
        <v/>
      </c>
      <c r="Y377">
        <f>HYPERLINK("https://klasma.github.io/Logging_0181/tillsynsmail/A 27757-2021 tillsynsbegäran mail.docx", "A 27757-2021")</f>
        <v/>
      </c>
    </row>
    <row r="378" ht="15" customHeight="1">
      <c r="A378" t="inlineStr">
        <is>
          <t>A 30138-2021</t>
        </is>
      </c>
      <c r="B378" s="1" t="n">
        <v>44363</v>
      </c>
      <c r="C378" s="1" t="n">
        <v>45672</v>
      </c>
      <c r="D378" t="inlineStr">
        <is>
          <t>STOCKHOLMS LÄN</t>
        </is>
      </c>
      <c r="E378" t="inlineStr">
        <is>
          <t>NORRTÄLJE</t>
        </is>
      </c>
      <c r="G378" t="n">
        <v>4.5</v>
      </c>
      <c r="H378" t="n">
        <v>0</v>
      </c>
      <c r="I378" t="n">
        <v>1</v>
      </c>
      <c r="J378" t="n">
        <v>0</v>
      </c>
      <c r="K378" t="n">
        <v>0</v>
      </c>
      <c r="L378" t="n">
        <v>0</v>
      </c>
      <c r="M378" t="n">
        <v>0</v>
      </c>
      <c r="N378" t="n">
        <v>0</v>
      </c>
      <c r="O378" t="n">
        <v>0</v>
      </c>
      <c r="P378" t="n">
        <v>0</v>
      </c>
      <c r="Q378" t="n">
        <v>1</v>
      </c>
      <c r="R378" s="2" t="inlineStr">
        <is>
          <t>Vårärt</t>
        </is>
      </c>
      <c r="S378">
        <f>HYPERLINK("https://klasma.github.io/Logging_0188/artfynd/A 30138-2021 artfynd.xlsx", "A 30138-2021")</f>
        <v/>
      </c>
      <c r="T378">
        <f>HYPERLINK("https://klasma.github.io/Logging_0188/kartor/A 30138-2021 karta.png", "A 30138-2021")</f>
        <v/>
      </c>
      <c r="V378">
        <f>HYPERLINK("https://klasma.github.io/Logging_0188/klagomål/A 30138-2021 FSC-klagomål.docx", "A 30138-2021")</f>
        <v/>
      </c>
      <c r="W378">
        <f>HYPERLINK("https://klasma.github.io/Logging_0188/klagomålsmail/A 30138-2021 FSC-klagomål mail.docx", "A 30138-2021")</f>
        <v/>
      </c>
      <c r="X378">
        <f>HYPERLINK("https://klasma.github.io/Logging_0188/tillsyn/A 30138-2021 tillsynsbegäran.docx", "A 30138-2021")</f>
        <v/>
      </c>
      <c r="Y378">
        <f>HYPERLINK("https://klasma.github.io/Logging_0188/tillsynsmail/A 30138-2021 tillsynsbegäran mail.docx", "A 30138-2021")</f>
        <v/>
      </c>
    </row>
    <row r="379" ht="15" customHeight="1">
      <c r="A379" t="inlineStr">
        <is>
          <t>A 31980-2021</t>
        </is>
      </c>
      <c r="B379" s="1" t="n">
        <v>44370</v>
      </c>
      <c r="C379" s="1" t="n">
        <v>45672</v>
      </c>
      <c r="D379" t="inlineStr">
        <is>
          <t>STOCKHOLMS LÄN</t>
        </is>
      </c>
      <c r="E379" t="inlineStr">
        <is>
          <t>NYNÄSHAMN</t>
        </is>
      </c>
      <c r="G379" t="n">
        <v>3.3</v>
      </c>
      <c r="H379" t="n">
        <v>0</v>
      </c>
      <c r="I379" t="n">
        <v>0</v>
      </c>
      <c r="J379" t="n">
        <v>1</v>
      </c>
      <c r="K379" t="n">
        <v>0</v>
      </c>
      <c r="L379" t="n">
        <v>0</v>
      </c>
      <c r="M379" t="n">
        <v>0</v>
      </c>
      <c r="N379" t="n">
        <v>0</v>
      </c>
      <c r="O379" t="n">
        <v>1</v>
      </c>
      <c r="P379" t="n">
        <v>0</v>
      </c>
      <c r="Q379" t="n">
        <v>1</v>
      </c>
      <c r="R379" s="2" t="inlineStr">
        <is>
          <t>Liten ekkremla</t>
        </is>
      </c>
      <c r="S379">
        <f>HYPERLINK("https://klasma.github.io/Logging_0192/artfynd/A 31980-2021 artfynd.xlsx", "A 31980-2021")</f>
        <v/>
      </c>
      <c r="T379">
        <f>HYPERLINK("https://klasma.github.io/Logging_0192/kartor/A 31980-2021 karta.png", "A 31980-2021")</f>
        <v/>
      </c>
      <c r="V379">
        <f>HYPERLINK("https://klasma.github.io/Logging_0192/klagomål/A 31980-2021 FSC-klagomål.docx", "A 31980-2021")</f>
        <v/>
      </c>
      <c r="W379">
        <f>HYPERLINK("https://klasma.github.io/Logging_0192/klagomålsmail/A 31980-2021 FSC-klagomål mail.docx", "A 31980-2021")</f>
        <v/>
      </c>
      <c r="X379">
        <f>HYPERLINK("https://klasma.github.io/Logging_0192/tillsyn/A 31980-2021 tillsynsbegäran.docx", "A 31980-2021")</f>
        <v/>
      </c>
      <c r="Y379">
        <f>HYPERLINK("https://klasma.github.io/Logging_0192/tillsynsmail/A 31980-2021 tillsynsbegäran mail.docx", "A 31980-2021")</f>
        <v/>
      </c>
    </row>
    <row r="380" ht="15" customHeight="1">
      <c r="A380" t="inlineStr">
        <is>
          <t>A 33302-2021</t>
        </is>
      </c>
      <c r="B380" s="1" t="n">
        <v>44377</v>
      </c>
      <c r="C380" s="1" t="n">
        <v>45672</v>
      </c>
      <c r="D380" t="inlineStr">
        <is>
          <t>STOCKHOLMS LÄN</t>
        </is>
      </c>
      <c r="E380" t="inlineStr">
        <is>
          <t>NORRTÄLJE</t>
        </is>
      </c>
      <c r="G380" t="n">
        <v>12.5</v>
      </c>
      <c r="H380" t="n">
        <v>1</v>
      </c>
      <c r="I380" t="n">
        <v>0</v>
      </c>
      <c r="J380" t="n">
        <v>1</v>
      </c>
      <c r="K380" t="n">
        <v>0</v>
      </c>
      <c r="L380" t="n">
        <v>0</v>
      </c>
      <c r="M380" t="n">
        <v>0</v>
      </c>
      <c r="N380" t="n">
        <v>0</v>
      </c>
      <c r="O380" t="n">
        <v>1</v>
      </c>
      <c r="P380" t="n">
        <v>0</v>
      </c>
      <c r="Q380" t="n">
        <v>1</v>
      </c>
      <c r="R380" s="2" t="inlineStr">
        <is>
          <t>Spillkråka</t>
        </is>
      </c>
      <c r="S380">
        <f>HYPERLINK("https://klasma.github.io/Logging_0188/artfynd/A 33302-2021 artfynd.xlsx", "A 33302-2021")</f>
        <v/>
      </c>
      <c r="T380">
        <f>HYPERLINK("https://klasma.github.io/Logging_0188/kartor/A 33302-2021 karta.png", "A 33302-2021")</f>
        <v/>
      </c>
      <c r="V380">
        <f>HYPERLINK("https://klasma.github.io/Logging_0188/klagomål/A 33302-2021 FSC-klagomål.docx", "A 33302-2021")</f>
        <v/>
      </c>
      <c r="W380">
        <f>HYPERLINK("https://klasma.github.io/Logging_0188/klagomålsmail/A 33302-2021 FSC-klagomål mail.docx", "A 33302-2021")</f>
        <v/>
      </c>
      <c r="X380">
        <f>HYPERLINK("https://klasma.github.io/Logging_0188/tillsyn/A 33302-2021 tillsynsbegäran.docx", "A 33302-2021")</f>
        <v/>
      </c>
      <c r="Y380">
        <f>HYPERLINK("https://klasma.github.io/Logging_0188/tillsynsmail/A 33302-2021 tillsynsbegäran mail.docx", "A 33302-2021")</f>
        <v/>
      </c>
      <c r="Z380">
        <f>HYPERLINK("https://klasma.github.io/Logging_0188/fåglar/A 33302-2021 prioriterade fågelarter.docx", "A 33302-2021")</f>
        <v/>
      </c>
    </row>
    <row r="381" ht="15" customHeight="1">
      <c r="A381" t="inlineStr">
        <is>
          <t>A 37100-2021</t>
        </is>
      </c>
      <c r="B381" s="1" t="n">
        <v>44396</v>
      </c>
      <c r="C381" s="1" t="n">
        <v>45672</v>
      </c>
      <c r="D381" t="inlineStr">
        <is>
          <t>STOCKHOLMS LÄN</t>
        </is>
      </c>
      <c r="E381" t="inlineStr">
        <is>
          <t>NYNÄSHAMN</t>
        </is>
      </c>
      <c r="G381" t="n">
        <v>1.4</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37100-2021 artfynd.xlsx", "A 37100-2021")</f>
        <v/>
      </c>
      <c r="T381">
        <f>HYPERLINK("https://klasma.github.io/Logging_0192/kartor/A 37100-2021 karta.png", "A 37100-2021")</f>
        <v/>
      </c>
      <c r="V381">
        <f>HYPERLINK("https://klasma.github.io/Logging_0192/klagomål/A 37100-2021 FSC-klagomål.docx", "A 37100-2021")</f>
        <v/>
      </c>
      <c r="W381">
        <f>HYPERLINK("https://klasma.github.io/Logging_0192/klagomålsmail/A 37100-2021 FSC-klagomål mail.docx", "A 37100-2021")</f>
        <v/>
      </c>
      <c r="X381">
        <f>HYPERLINK("https://klasma.github.io/Logging_0192/tillsyn/A 37100-2021 tillsynsbegäran.docx", "A 37100-2021")</f>
        <v/>
      </c>
      <c r="Y381">
        <f>HYPERLINK("https://klasma.github.io/Logging_0192/tillsynsmail/A 37100-2021 tillsynsbegäran mail.docx", "A 37100-2021")</f>
        <v/>
      </c>
    </row>
    <row r="382" ht="15" customHeight="1">
      <c r="A382" t="inlineStr">
        <is>
          <t>A 37678-2021</t>
        </is>
      </c>
      <c r="B382" s="1" t="n">
        <v>44400</v>
      </c>
      <c r="C382" s="1" t="n">
        <v>45672</v>
      </c>
      <c r="D382" t="inlineStr">
        <is>
          <t>STOCKHOLMS LÄN</t>
        </is>
      </c>
      <c r="E382" t="inlineStr">
        <is>
          <t>SÖDERTÄLJE</t>
        </is>
      </c>
      <c r="F382" t="inlineStr">
        <is>
          <t>Sveaskog</t>
        </is>
      </c>
      <c r="G382" t="n">
        <v>0.8</v>
      </c>
      <c r="H382" t="n">
        <v>0</v>
      </c>
      <c r="I382" t="n">
        <v>0</v>
      </c>
      <c r="J382" t="n">
        <v>1</v>
      </c>
      <c r="K382" t="n">
        <v>0</v>
      </c>
      <c r="L382" t="n">
        <v>0</v>
      </c>
      <c r="M382" t="n">
        <v>0</v>
      </c>
      <c r="N382" t="n">
        <v>0</v>
      </c>
      <c r="O382" t="n">
        <v>1</v>
      </c>
      <c r="P382" t="n">
        <v>0</v>
      </c>
      <c r="Q382" t="n">
        <v>1</v>
      </c>
      <c r="R382" s="2" t="inlineStr">
        <is>
          <t>Motaggsvamp</t>
        </is>
      </c>
      <c r="S382">
        <f>HYPERLINK("https://klasma.github.io/Logging_0181/artfynd/A 37678-2021 artfynd.xlsx", "A 37678-2021")</f>
        <v/>
      </c>
      <c r="T382">
        <f>HYPERLINK("https://klasma.github.io/Logging_0181/kartor/A 37678-2021 karta.png", "A 37678-2021")</f>
        <v/>
      </c>
      <c r="V382">
        <f>HYPERLINK("https://klasma.github.io/Logging_0181/klagomål/A 37678-2021 FSC-klagomål.docx", "A 37678-2021")</f>
        <v/>
      </c>
      <c r="W382">
        <f>HYPERLINK("https://klasma.github.io/Logging_0181/klagomålsmail/A 37678-2021 FSC-klagomål mail.docx", "A 37678-2021")</f>
        <v/>
      </c>
      <c r="X382">
        <f>HYPERLINK("https://klasma.github.io/Logging_0181/tillsyn/A 37678-2021 tillsynsbegäran.docx", "A 37678-2021")</f>
        <v/>
      </c>
      <c r="Y382">
        <f>HYPERLINK("https://klasma.github.io/Logging_0181/tillsynsmail/A 37678-2021 tillsynsbegäran mail.docx", "A 37678-2021")</f>
        <v/>
      </c>
    </row>
    <row r="383" ht="15" customHeight="1">
      <c r="A383" t="inlineStr">
        <is>
          <t>A 41934-2021</t>
        </is>
      </c>
      <c r="B383" s="1" t="n">
        <v>44425</v>
      </c>
      <c r="C383" s="1" t="n">
        <v>45672</v>
      </c>
      <c r="D383" t="inlineStr">
        <is>
          <t>STOCKHOLMS LÄN</t>
        </is>
      </c>
      <c r="E383" t="inlineStr">
        <is>
          <t>VALLENTUNA</t>
        </is>
      </c>
      <c r="F383" t="inlineStr">
        <is>
          <t>Övriga Aktiebolag</t>
        </is>
      </c>
      <c r="G383" t="n">
        <v>7.1</v>
      </c>
      <c r="H383" t="n">
        <v>0</v>
      </c>
      <c r="I383" t="n">
        <v>0</v>
      </c>
      <c r="J383" t="n">
        <v>1</v>
      </c>
      <c r="K383" t="n">
        <v>0</v>
      </c>
      <c r="L383" t="n">
        <v>0</v>
      </c>
      <c r="M383" t="n">
        <v>0</v>
      </c>
      <c r="N383" t="n">
        <v>0</v>
      </c>
      <c r="O383" t="n">
        <v>1</v>
      </c>
      <c r="P383" t="n">
        <v>0</v>
      </c>
      <c r="Q383" t="n">
        <v>1</v>
      </c>
      <c r="R383" s="2" t="inlineStr">
        <is>
          <t>Skogsklocka</t>
        </is>
      </c>
      <c r="S383">
        <f>HYPERLINK("https://klasma.github.io/Logging_0115/artfynd/A 41934-2021 artfynd.xlsx", "A 41934-2021")</f>
        <v/>
      </c>
      <c r="T383">
        <f>HYPERLINK("https://klasma.github.io/Logging_0115/kartor/A 41934-2021 karta.png", "A 41934-2021")</f>
        <v/>
      </c>
      <c r="V383">
        <f>HYPERLINK("https://klasma.github.io/Logging_0115/klagomål/A 41934-2021 FSC-klagomål.docx", "A 41934-2021")</f>
        <v/>
      </c>
      <c r="W383">
        <f>HYPERLINK("https://klasma.github.io/Logging_0115/klagomålsmail/A 41934-2021 FSC-klagomål mail.docx", "A 41934-2021")</f>
        <v/>
      </c>
      <c r="X383">
        <f>HYPERLINK("https://klasma.github.io/Logging_0115/tillsyn/A 41934-2021 tillsynsbegäran.docx", "A 41934-2021")</f>
        <v/>
      </c>
      <c r="Y383">
        <f>HYPERLINK("https://klasma.github.io/Logging_0115/tillsynsmail/A 41934-2021 tillsynsbegäran mail.docx", "A 41934-2021")</f>
        <v/>
      </c>
    </row>
    <row r="384" ht="15" customHeight="1">
      <c r="A384" t="inlineStr">
        <is>
          <t>A 42050-2021</t>
        </is>
      </c>
      <c r="B384" s="1" t="n">
        <v>44426</v>
      </c>
      <c r="C384" s="1" t="n">
        <v>45672</v>
      </c>
      <c r="D384" t="inlineStr">
        <is>
          <t>STOCKHOLMS LÄN</t>
        </is>
      </c>
      <c r="E384" t="inlineStr">
        <is>
          <t>NYNÄSHAMN</t>
        </is>
      </c>
      <c r="G384" t="n">
        <v>2</v>
      </c>
      <c r="H384" t="n">
        <v>0</v>
      </c>
      <c r="I384" t="n">
        <v>0</v>
      </c>
      <c r="J384" t="n">
        <v>1</v>
      </c>
      <c r="K384" t="n">
        <v>0</v>
      </c>
      <c r="L384" t="n">
        <v>0</v>
      </c>
      <c r="M384" t="n">
        <v>0</v>
      </c>
      <c r="N384" t="n">
        <v>0</v>
      </c>
      <c r="O384" t="n">
        <v>1</v>
      </c>
      <c r="P384" t="n">
        <v>0</v>
      </c>
      <c r="Q384" t="n">
        <v>1</v>
      </c>
      <c r="R384" s="2" t="inlineStr">
        <is>
          <t>Kandelabersvamp</t>
        </is>
      </c>
      <c r="S384">
        <f>HYPERLINK("https://klasma.github.io/Logging_0192/artfynd/A 42050-2021 artfynd.xlsx", "A 42050-2021")</f>
        <v/>
      </c>
      <c r="T384">
        <f>HYPERLINK("https://klasma.github.io/Logging_0192/kartor/A 42050-2021 karta.png", "A 42050-2021")</f>
        <v/>
      </c>
      <c r="V384">
        <f>HYPERLINK("https://klasma.github.io/Logging_0192/klagomål/A 42050-2021 FSC-klagomål.docx", "A 42050-2021")</f>
        <v/>
      </c>
      <c r="W384">
        <f>HYPERLINK("https://klasma.github.io/Logging_0192/klagomålsmail/A 42050-2021 FSC-klagomål mail.docx", "A 42050-2021")</f>
        <v/>
      </c>
      <c r="X384">
        <f>HYPERLINK("https://klasma.github.io/Logging_0192/tillsyn/A 42050-2021 tillsynsbegäran.docx", "A 42050-2021")</f>
        <v/>
      </c>
      <c r="Y384">
        <f>HYPERLINK("https://klasma.github.io/Logging_0192/tillsynsmail/A 42050-2021 tillsynsbegäran mail.docx", "A 42050-2021")</f>
        <v/>
      </c>
    </row>
    <row r="385" ht="15" customHeight="1">
      <c r="A385" t="inlineStr">
        <is>
          <t>A 55263-2021</t>
        </is>
      </c>
      <c r="B385" s="1" t="n">
        <v>44475</v>
      </c>
      <c r="C385" s="1" t="n">
        <v>45672</v>
      </c>
      <c r="D385" t="inlineStr">
        <is>
          <t>STOCKHOLMS LÄN</t>
        </is>
      </c>
      <c r="E385" t="inlineStr">
        <is>
          <t>SÖDERTÄLJE</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HYPERLINK("https://klasma.github.io/Logging_0181/artfynd/A 55263-2021 artfynd.xlsx", "A 55263-2021")</f>
        <v/>
      </c>
      <c r="T385">
        <f>HYPERLINK("https://klasma.github.io/Logging_0181/kartor/A 55263-2021 karta.png", "A 55263-2021")</f>
        <v/>
      </c>
      <c r="V385">
        <f>HYPERLINK("https://klasma.github.io/Logging_0181/klagomål/A 55263-2021 FSC-klagomål.docx", "A 55263-2021")</f>
        <v/>
      </c>
      <c r="W385">
        <f>HYPERLINK("https://klasma.github.io/Logging_0181/klagomålsmail/A 55263-2021 FSC-klagomål mail.docx", "A 55263-2021")</f>
        <v/>
      </c>
      <c r="X385">
        <f>HYPERLINK("https://klasma.github.io/Logging_0181/tillsyn/A 55263-2021 tillsynsbegäran.docx", "A 55263-2021")</f>
        <v/>
      </c>
      <c r="Y385">
        <f>HYPERLINK("https://klasma.github.io/Logging_0181/tillsynsmail/A 55263-2021 tillsynsbegäran mail.docx", "A 55263-2021")</f>
        <v/>
      </c>
    </row>
    <row r="386" ht="15" customHeight="1">
      <c r="A386" t="inlineStr">
        <is>
          <t>A 58888-2021</t>
        </is>
      </c>
      <c r="B386" s="1" t="n">
        <v>44489</v>
      </c>
      <c r="C386" s="1" t="n">
        <v>45672</v>
      </c>
      <c r="D386" t="inlineStr">
        <is>
          <t>STOCKHOLMS LÄN</t>
        </is>
      </c>
      <c r="E386" t="inlineStr">
        <is>
          <t>NORRTÄLJE</t>
        </is>
      </c>
      <c r="F386" t="inlineStr">
        <is>
          <t>Holmen skog AB</t>
        </is>
      </c>
      <c r="G386" t="n">
        <v>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58888-2021 artfynd.xlsx", "A 58888-2021")</f>
        <v/>
      </c>
      <c r="T386">
        <f>HYPERLINK("https://klasma.github.io/Logging_0188/kartor/A 58888-2021 karta.png", "A 58888-2021")</f>
        <v/>
      </c>
      <c r="V386">
        <f>HYPERLINK("https://klasma.github.io/Logging_0188/klagomål/A 58888-2021 FSC-klagomål.docx", "A 58888-2021")</f>
        <v/>
      </c>
      <c r="W386">
        <f>HYPERLINK("https://klasma.github.io/Logging_0188/klagomålsmail/A 58888-2021 FSC-klagomål mail.docx", "A 58888-2021")</f>
        <v/>
      </c>
      <c r="X386">
        <f>HYPERLINK("https://klasma.github.io/Logging_0188/tillsyn/A 58888-2021 tillsynsbegäran.docx", "A 58888-2021")</f>
        <v/>
      </c>
      <c r="Y386">
        <f>HYPERLINK("https://klasma.github.io/Logging_0188/tillsynsmail/A 58888-2021 tillsynsbegäran mail.docx", "A 58888-2021")</f>
        <v/>
      </c>
    </row>
    <row r="387" ht="15" customHeight="1">
      <c r="A387" t="inlineStr">
        <is>
          <t>A 67278-2021</t>
        </is>
      </c>
      <c r="B387" s="1" t="n">
        <v>44523</v>
      </c>
      <c r="C387" s="1" t="n">
        <v>45672</v>
      </c>
      <c r="D387" t="inlineStr">
        <is>
          <t>STOCKHOLMS LÄN</t>
        </is>
      </c>
      <c r="E387" t="inlineStr">
        <is>
          <t>ÖSTERÅKER</t>
        </is>
      </c>
      <c r="F387" t="inlineStr">
        <is>
          <t>Kommuner</t>
        </is>
      </c>
      <c r="G387" t="n">
        <v>3</v>
      </c>
      <c r="H387" t="n">
        <v>0</v>
      </c>
      <c r="I387" t="n">
        <v>0</v>
      </c>
      <c r="J387" t="n">
        <v>1</v>
      </c>
      <c r="K387" t="n">
        <v>0</v>
      </c>
      <c r="L387" t="n">
        <v>0</v>
      </c>
      <c r="M387" t="n">
        <v>0</v>
      </c>
      <c r="N387" t="n">
        <v>0</v>
      </c>
      <c r="O387" t="n">
        <v>1</v>
      </c>
      <c r="P387" t="n">
        <v>0</v>
      </c>
      <c r="Q387" t="n">
        <v>1</v>
      </c>
      <c r="R387" s="2" t="inlineStr">
        <is>
          <t>Veckticka</t>
        </is>
      </c>
      <c r="S387">
        <f>HYPERLINK("https://klasma.github.io/Logging_0117/artfynd/A 67278-2021 artfynd.xlsx", "A 67278-2021")</f>
        <v/>
      </c>
      <c r="T387">
        <f>HYPERLINK("https://klasma.github.io/Logging_0117/kartor/A 67278-2021 karta.png", "A 67278-2021")</f>
        <v/>
      </c>
      <c r="V387">
        <f>HYPERLINK("https://klasma.github.io/Logging_0117/klagomål/A 67278-2021 FSC-klagomål.docx", "A 67278-2021")</f>
        <v/>
      </c>
      <c r="W387">
        <f>HYPERLINK("https://klasma.github.io/Logging_0117/klagomålsmail/A 67278-2021 FSC-klagomål mail.docx", "A 67278-2021")</f>
        <v/>
      </c>
      <c r="X387">
        <f>HYPERLINK("https://klasma.github.io/Logging_0117/tillsyn/A 67278-2021 tillsynsbegäran.docx", "A 67278-2021")</f>
        <v/>
      </c>
      <c r="Y387">
        <f>HYPERLINK("https://klasma.github.io/Logging_0117/tillsynsmail/A 67278-2021 tillsynsbegäran mail.docx", "A 67278-2021")</f>
        <v/>
      </c>
    </row>
    <row r="388" ht="15" customHeight="1">
      <c r="A388" t="inlineStr">
        <is>
          <t>A 68883-2021</t>
        </is>
      </c>
      <c r="B388" s="1" t="n">
        <v>44526</v>
      </c>
      <c r="C388" s="1" t="n">
        <v>45672</v>
      </c>
      <c r="D388" t="inlineStr">
        <is>
          <t>STOCKHOLMS LÄN</t>
        </is>
      </c>
      <c r="E388" t="inlineStr">
        <is>
          <t>HANINGE</t>
        </is>
      </c>
      <c r="G388" t="n">
        <v>2.5</v>
      </c>
      <c r="H388" t="n">
        <v>1</v>
      </c>
      <c r="I388" t="n">
        <v>0</v>
      </c>
      <c r="J388" t="n">
        <v>0</v>
      </c>
      <c r="K388" t="n">
        <v>0</v>
      </c>
      <c r="L388" t="n">
        <v>0</v>
      </c>
      <c r="M388" t="n">
        <v>0</v>
      </c>
      <c r="N388" t="n">
        <v>0</v>
      </c>
      <c r="O388" t="n">
        <v>0</v>
      </c>
      <c r="P388" t="n">
        <v>0</v>
      </c>
      <c r="Q388" t="n">
        <v>1</v>
      </c>
      <c r="R388" s="2" t="inlineStr">
        <is>
          <t>Nattviol</t>
        </is>
      </c>
      <c r="S388">
        <f>HYPERLINK("https://klasma.github.io/Logging_0136/artfynd/A 68883-2021 artfynd.xlsx", "A 68883-2021")</f>
        <v/>
      </c>
      <c r="T388">
        <f>HYPERLINK("https://klasma.github.io/Logging_0136/kartor/A 68883-2021 karta.png", "A 68883-2021")</f>
        <v/>
      </c>
      <c r="V388">
        <f>HYPERLINK("https://klasma.github.io/Logging_0136/klagomål/A 68883-2021 FSC-klagomål.docx", "A 68883-2021")</f>
        <v/>
      </c>
      <c r="W388">
        <f>HYPERLINK("https://klasma.github.io/Logging_0136/klagomålsmail/A 68883-2021 FSC-klagomål mail.docx", "A 68883-2021")</f>
        <v/>
      </c>
      <c r="X388">
        <f>HYPERLINK("https://klasma.github.io/Logging_0136/tillsyn/A 68883-2021 tillsynsbegäran.docx", "A 68883-2021")</f>
        <v/>
      </c>
      <c r="Y388">
        <f>HYPERLINK("https://klasma.github.io/Logging_0136/tillsynsmail/A 68883-2021 tillsynsbegäran mail.docx", "A 68883-2021")</f>
        <v/>
      </c>
    </row>
    <row r="389" ht="15" customHeight="1">
      <c r="A389" t="inlineStr">
        <is>
          <t>A 68692-2021</t>
        </is>
      </c>
      <c r="B389" s="1" t="n">
        <v>44529</v>
      </c>
      <c r="C389" s="1" t="n">
        <v>45672</v>
      </c>
      <c r="D389" t="inlineStr">
        <is>
          <t>STOCKHOLMS LÄN</t>
        </is>
      </c>
      <c r="E389" t="inlineStr">
        <is>
          <t>NORRTÄLJE</t>
        </is>
      </c>
      <c r="F389" t="inlineStr">
        <is>
          <t>Holmen skog AB</t>
        </is>
      </c>
      <c r="G389" t="n">
        <v>0.7</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68692-2021 artfynd.xlsx", "A 68692-2021")</f>
        <v/>
      </c>
      <c r="T389">
        <f>HYPERLINK("https://klasma.github.io/Logging_0188/kartor/A 68692-2021 karta.png", "A 68692-2021")</f>
        <v/>
      </c>
      <c r="V389">
        <f>HYPERLINK("https://klasma.github.io/Logging_0188/klagomål/A 68692-2021 FSC-klagomål.docx", "A 68692-2021")</f>
        <v/>
      </c>
      <c r="W389">
        <f>HYPERLINK("https://klasma.github.io/Logging_0188/klagomålsmail/A 68692-2021 FSC-klagomål mail.docx", "A 68692-2021")</f>
        <v/>
      </c>
      <c r="X389">
        <f>HYPERLINK("https://klasma.github.io/Logging_0188/tillsyn/A 68692-2021 tillsynsbegäran.docx", "A 68692-2021")</f>
        <v/>
      </c>
      <c r="Y389">
        <f>HYPERLINK("https://klasma.github.io/Logging_0188/tillsynsmail/A 68692-2021 tillsynsbegäran mail.docx", "A 68692-2021")</f>
        <v/>
      </c>
    </row>
    <row r="390" ht="15" customHeight="1">
      <c r="A390" t="inlineStr">
        <is>
          <t>A 71315-2021</t>
        </is>
      </c>
      <c r="B390" s="1" t="n">
        <v>44539</v>
      </c>
      <c r="C390" s="1" t="n">
        <v>45672</v>
      </c>
      <c r="D390" t="inlineStr">
        <is>
          <t>STOCKHOLMS LÄN</t>
        </is>
      </c>
      <c r="E390" t="inlineStr">
        <is>
          <t>VÄRMDÖ</t>
        </is>
      </c>
      <c r="F390" t="inlineStr">
        <is>
          <t>Övriga Aktiebolag</t>
        </is>
      </c>
      <c r="G390" t="n">
        <v>5.3</v>
      </c>
      <c r="H390" t="n">
        <v>0</v>
      </c>
      <c r="I390" t="n">
        <v>1</v>
      </c>
      <c r="J390" t="n">
        <v>0</v>
      </c>
      <c r="K390" t="n">
        <v>0</v>
      </c>
      <c r="L390" t="n">
        <v>0</v>
      </c>
      <c r="M390" t="n">
        <v>0</v>
      </c>
      <c r="N390" t="n">
        <v>0</v>
      </c>
      <c r="O390" t="n">
        <v>0</v>
      </c>
      <c r="P390" t="n">
        <v>0</v>
      </c>
      <c r="Q390" t="n">
        <v>1</v>
      </c>
      <c r="R390" s="2" t="inlineStr">
        <is>
          <t>Sårläka</t>
        </is>
      </c>
      <c r="S390">
        <f>HYPERLINK("https://klasma.github.io/Logging_0120/artfynd/A 71315-2021 artfynd.xlsx", "A 71315-2021")</f>
        <v/>
      </c>
      <c r="T390">
        <f>HYPERLINK("https://klasma.github.io/Logging_0120/kartor/A 71315-2021 karta.png", "A 71315-2021")</f>
        <v/>
      </c>
      <c r="V390">
        <f>HYPERLINK("https://klasma.github.io/Logging_0120/klagomål/A 71315-2021 FSC-klagomål.docx", "A 71315-2021")</f>
        <v/>
      </c>
      <c r="W390">
        <f>HYPERLINK("https://klasma.github.io/Logging_0120/klagomålsmail/A 71315-2021 FSC-klagomål mail.docx", "A 71315-2021")</f>
        <v/>
      </c>
      <c r="X390">
        <f>HYPERLINK("https://klasma.github.io/Logging_0120/tillsyn/A 71315-2021 tillsynsbegäran.docx", "A 71315-2021")</f>
        <v/>
      </c>
      <c r="Y390">
        <f>HYPERLINK("https://klasma.github.io/Logging_0120/tillsynsmail/A 71315-2021 tillsynsbegäran mail.docx", "A 71315-2021")</f>
        <v/>
      </c>
    </row>
    <row r="391" ht="15" customHeight="1">
      <c r="A391" t="inlineStr">
        <is>
          <t>A 73773-2021</t>
        </is>
      </c>
      <c r="B391" s="1" t="n">
        <v>44552</v>
      </c>
      <c r="C391" s="1" t="n">
        <v>45672</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73787-2021</t>
        </is>
      </c>
      <c r="B392" s="1" t="n">
        <v>44552</v>
      </c>
      <c r="C392" s="1" t="n">
        <v>45672</v>
      </c>
      <c r="D392" t="inlineStr">
        <is>
          <t>STOCKHOLMS LÄN</t>
        </is>
      </c>
      <c r="E392" t="inlineStr">
        <is>
          <t>UPPLANDS-BRO</t>
        </is>
      </c>
      <c r="G392" t="n">
        <v>4.6</v>
      </c>
      <c r="H392" t="n">
        <v>0</v>
      </c>
      <c r="I392" t="n">
        <v>0</v>
      </c>
      <c r="J392" t="n">
        <v>1</v>
      </c>
      <c r="K392" t="n">
        <v>0</v>
      </c>
      <c r="L392" t="n">
        <v>0</v>
      </c>
      <c r="M392" t="n">
        <v>0</v>
      </c>
      <c r="N392" t="n">
        <v>0</v>
      </c>
      <c r="O392" t="n">
        <v>1</v>
      </c>
      <c r="P392" t="n">
        <v>0</v>
      </c>
      <c r="Q392" t="n">
        <v>1</v>
      </c>
      <c r="R392" s="2" t="inlineStr">
        <is>
          <t>Dofttaggsvamp</t>
        </is>
      </c>
      <c r="S392">
        <f>HYPERLINK("https://klasma.github.io/Logging_0139/artfynd/A 73787-2021 artfynd.xlsx", "A 73787-2021")</f>
        <v/>
      </c>
      <c r="T392">
        <f>HYPERLINK("https://klasma.github.io/Logging_0139/kartor/A 73787-2021 karta.png", "A 73787-2021")</f>
        <v/>
      </c>
      <c r="V392">
        <f>HYPERLINK("https://klasma.github.io/Logging_0139/klagomål/A 73787-2021 FSC-klagomål.docx", "A 73787-2021")</f>
        <v/>
      </c>
      <c r="W392">
        <f>HYPERLINK("https://klasma.github.io/Logging_0139/klagomålsmail/A 73787-2021 FSC-klagomål mail.docx", "A 73787-2021")</f>
        <v/>
      </c>
      <c r="X392">
        <f>HYPERLINK("https://klasma.github.io/Logging_0139/tillsyn/A 73787-2021 tillsynsbegäran.docx", "A 73787-2021")</f>
        <v/>
      </c>
      <c r="Y392">
        <f>HYPERLINK("https://klasma.github.io/Logging_0139/tillsynsmail/A 73787-2021 tillsynsbegäran mail.docx", "A 73787-2021")</f>
        <v/>
      </c>
    </row>
    <row r="393" ht="15" customHeight="1">
      <c r="A393" t="inlineStr">
        <is>
          <t>A 131-2022</t>
        </is>
      </c>
      <c r="B393" s="1" t="n">
        <v>44560</v>
      </c>
      <c r="C393" s="1" t="n">
        <v>45672</v>
      </c>
      <c r="D393" t="inlineStr">
        <is>
          <t>STOCKHOLMS LÄN</t>
        </is>
      </c>
      <c r="E393" t="inlineStr">
        <is>
          <t>VALLENTUNA</t>
        </is>
      </c>
      <c r="F393" t="inlineStr">
        <is>
          <t>Övriga Aktiebolag</t>
        </is>
      </c>
      <c r="G393" t="n">
        <v>4.6</v>
      </c>
      <c r="H393" t="n">
        <v>0</v>
      </c>
      <c r="I393" t="n">
        <v>1</v>
      </c>
      <c r="J393" t="n">
        <v>0</v>
      </c>
      <c r="K393" t="n">
        <v>0</v>
      </c>
      <c r="L393" t="n">
        <v>0</v>
      </c>
      <c r="M393" t="n">
        <v>0</v>
      </c>
      <c r="N393" t="n">
        <v>0</v>
      </c>
      <c r="O393" t="n">
        <v>0</v>
      </c>
      <c r="P393" t="n">
        <v>0</v>
      </c>
      <c r="Q393" t="n">
        <v>1</v>
      </c>
      <c r="R393" s="2" t="inlineStr">
        <is>
          <t>Tjockfotad fingersvamp</t>
        </is>
      </c>
      <c r="S393">
        <f>HYPERLINK("https://klasma.github.io/Logging_0115/artfynd/A 131-2022 artfynd.xlsx", "A 131-2022")</f>
        <v/>
      </c>
      <c r="T393">
        <f>HYPERLINK("https://klasma.github.io/Logging_0115/kartor/A 131-2022 karta.png", "A 131-2022")</f>
        <v/>
      </c>
      <c r="V393">
        <f>HYPERLINK("https://klasma.github.io/Logging_0115/klagomål/A 131-2022 FSC-klagomål.docx", "A 131-2022")</f>
        <v/>
      </c>
      <c r="W393">
        <f>HYPERLINK("https://klasma.github.io/Logging_0115/klagomålsmail/A 131-2022 FSC-klagomål mail.docx", "A 131-2022")</f>
        <v/>
      </c>
      <c r="X393">
        <f>HYPERLINK("https://klasma.github.io/Logging_0115/tillsyn/A 131-2022 tillsynsbegäran.docx", "A 131-2022")</f>
        <v/>
      </c>
      <c r="Y393">
        <f>HYPERLINK("https://klasma.github.io/Logging_0115/tillsynsmail/A 131-2022 tillsynsbegäran mail.docx", "A 131-2022")</f>
        <v/>
      </c>
    </row>
    <row r="394" ht="15" customHeight="1">
      <c r="A394" t="inlineStr">
        <is>
          <t>A 21-2022</t>
        </is>
      </c>
      <c r="B394" s="1" t="n">
        <v>44560</v>
      </c>
      <c r="C394" s="1" t="n">
        <v>45672</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188-2022</t>
        </is>
      </c>
      <c r="B395" s="1" t="n">
        <v>44564</v>
      </c>
      <c r="C395" s="1" t="n">
        <v>45672</v>
      </c>
      <c r="D395" t="inlineStr">
        <is>
          <t>STOCKHOLMS LÄN</t>
        </is>
      </c>
      <c r="E395" t="inlineStr">
        <is>
          <t>NORRTÄLJE</t>
        </is>
      </c>
      <c r="G395" t="n">
        <v>4.1</v>
      </c>
      <c r="H395" t="n">
        <v>0</v>
      </c>
      <c r="I395" t="n">
        <v>1</v>
      </c>
      <c r="J395" t="n">
        <v>0</v>
      </c>
      <c r="K395" t="n">
        <v>0</v>
      </c>
      <c r="L395" t="n">
        <v>0</v>
      </c>
      <c r="M395" t="n">
        <v>0</v>
      </c>
      <c r="N395" t="n">
        <v>0</v>
      </c>
      <c r="O395" t="n">
        <v>0</v>
      </c>
      <c r="P395" t="n">
        <v>0</v>
      </c>
      <c r="Q395" t="n">
        <v>1</v>
      </c>
      <c r="R395" s="2" t="inlineStr">
        <is>
          <t>Svart trolldruva</t>
        </is>
      </c>
      <c r="S395">
        <f>HYPERLINK("https://klasma.github.io/Logging_0188/artfynd/A 188-2022 artfynd.xlsx", "A 188-2022")</f>
        <v/>
      </c>
      <c r="T395">
        <f>HYPERLINK("https://klasma.github.io/Logging_0188/kartor/A 188-2022 karta.png", "A 188-2022")</f>
        <v/>
      </c>
      <c r="V395">
        <f>HYPERLINK("https://klasma.github.io/Logging_0188/klagomål/A 188-2022 FSC-klagomål.docx", "A 188-2022")</f>
        <v/>
      </c>
      <c r="W395">
        <f>HYPERLINK("https://klasma.github.io/Logging_0188/klagomålsmail/A 188-2022 FSC-klagomål mail.docx", "A 188-2022")</f>
        <v/>
      </c>
      <c r="X395">
        <f>HYPERLINK("https://klasma.github.io/Logging_0188/tillsyn/A 188-2022 tillsynsbegäran.docx", "A 188-2022")</f>
        <v/>
      </c>
      <c r="Y395">
        <f>HYPERLINK("https://klasma.github.io/Logging_0188/tillsynsmail/A 188-2022 tillsynsbegäran mail.docx", "A 188-2022")</f>
        <v/>
      </c>
    </row>
    <row r="396" ht="15" customHeight="1">
      <c r="A396" t="inlineStr">
        <is>
          <t>A 1547-2022</t>
        </is>
      </c>
      <c r="B396" s="1" t="n">
        <v>44573</v>
      </c>
      <c r="C396" s="1" t="n">
        <v>45672</v>
      </c>
      <c r="D396" t="inlineStr">
        <is>
          <t>STOCKHOLMS LÄN</t>
        </is>
      </c>
      <c r="E396" t="inlineStr">
        <is>
          <t>NORRTÄLJE</t>
        </is>
      </c>
      <c r="G396" t="n">
        <v>1.8</v>
      </c>
      <c r="H396" t="n">
        <v>1</v>
      </c>
      <c r="I396" t="n">
        <v>0</v>
      </c>
      <c r="J396" t="n">
        <v>0</v>
      </c>
      <c r="K396" t="n">
        <v>1</v>
      </c>
      <c r="L396" t="n">
        <v>0</v>
      </c>
      <c r="M396" t="n">
        <v>0</v>
      </c>
      <c r="N396" t="n">
        <v>0</v>
      </c>
      <c r="O396" t="n">
        <v>1</v>
      </c>
      <c r="P396" t="n">
        <v>1</v>
      </c>
      <c r="Q396" t="n">
        <v>1</v>
      </c>
      <c r="R396" s="2" t="inlineStr">
        <is>
          <t>Hällebräcka</t>
        </is>
      </c>
      <c r="S396">
        <f>HYPERLINK("https://klasma.github.io/Logging_0188/artfynd/A 1547-2022 artfynd.xlsx", "A 1547-2022")</f>
        <v/>
      </c>
      <c r="T396">
        <f>HYPERLINK("https://klasma.github.io/Logging_0188/kartor/A 1547-2022 karta.png", "A 1547-2022")</f>
        <v/>
      </c>
      <c r="V396">
        <f>HYPERLINK("https://klasma.github.io/Logging_0188/klagomål/A 1547-2022 FSC-klagomål.docx", "A 1547-2022")</f>
        <v/>
      </c>
      <c r="W396">
        <f>HYPERLINK("https://klasma.github.io/Logging_0188/klagomålsmail/A 1547-2022 FSC-klagomål mail.docx", "A 1547-2022")</f>
        <v/>
      </c>
      <c r="X396">
        <f>HYPERLINK("https://klasma.github.io/Logging_0188/tillsyn/A 1547-2022 tillsynsbegäran.docx", "A 1547-2022")</f>
        <v/>
      </c>
      <c r="Y396">
        <f>HYPERLINK("https://klasma.github.io/Logging_0188/tillsynsmail/A 1547-2022 tillsynsbegäran mail.docx", "A 1547-2022")</f>
        <v/>
      </c>
    </row>
    <row r="397" ht="15" customHeight="1">
      <c r="A397" t="inlineStr">
        <is>
          <t>A 1946-2022</t>
        </is>
      </c>
      <c r="B397" s="1" t="n">
        <v>44575</v>
      </c>
      <c r="C397" s="1" t="n">
        <v>45672</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2722-2022</t>
        </is>
      </c>
      <c r="B398" s="1" t="n">
        <v>44580</v>
      </c>
      <c r="C398" s="1" t="n">
        <v>45672</v>
      </c>
      <c r="D398" t="inlineStr">
        <is>
          <t>STOCKHOLMS LÄN</t>
        </is>
      </c>
      <c r="E398" t="inlineStr">
        <is>
          <t>HANINGE</t>
        </is>
      </c>
      <c r="G398" t="n">
        <v>1.5</v>
      </c>
      <c r="H398" t="n">
        <v>1</v>
      </c>
      <c r="I398" t="n">
        <v>1</v>
      </c>
      <c r="J398" t="n">
        <v>0</v>
      </c>
      <c r="K398" t="n">
        <v>0</v>
      </c>
      <c r="L398" t="n">
        <v>0</v>
      </c>
      <c r="M398" t="n">
        <v>0</v>
      </c>
      <c r="N398" t="n">
        <v>0</v>
      </c>
      <c r="O398" t="n">
        <v>0</v>
      </c>
      <c r="P398" t="n">
        <v>0</v>
      </c>
      <c r="Q398" t="n">
        <v>1</v>
      </c>
      <c r="R398" s="2" t="inlineStr">
        <is>
          <t>Grön sköldmossa</t>
        </is>
      </c>
      <c r="S398">
        <f>HYPERLINK("https://klasma.github.io/Logging_0136/artfynd/A 2722-2022 artfynd.xlsx", "A 2722-2022")</f>
        <v/>
      </c>
      <c r="T398">
        <f>HYPERLINK("https://klasma.github.io/Logging_0136/kartor/A 2722-2022 karta.png", "A 2722-2022")</f>
        <v/>
      </c>
      <c r="V398">
        <f>HYPERLINK("https://klasma.github.io/Logging_0136/klagomål/A 2722-2022 FSC-klagomål.docx", "A 2722-2022")</f>
        <v/>
      </c>
      <c r="W398">
        <f>HYPERLINK("https://klasma.github.io/Logging_0136/klagomålsmail/A 2722-2022 FSC-klagomål mail.docx", "A 2722-2022")</f>
        <v/>
      </c>
      <c r="X398">
        <f>HYPERLINK("https://klasma.github.io/Logging_0136/tillsyn/A 2722-2022 tillsynsbegäran.docx", "A 2722-2022")</f>
        <v/>
      </c>
      <c r="Y398">
        <f>HYPERLINK("https://klasma.github.io/Logging_0136/tillsynsmail/A 2722-2022 tillsynsbegäran mail.docx", "A 2722-2022")</f>
        <v/>
      </c>
    </row>
    <row r="399" ht="15" customHeight="1">
      <c r="A399" t="inlineStr">
        <is>
          <t>A 3218-2022</t>
        </is>
      </c>
      <c r="B399" s="1" t="n">
        <v>44582</v>
      </c>
      <c r="C399" s="1" t="n">
        <v>45672</v>
      </c>
      <c r="D399" t="inlineStr">
        <is>
          <t>STOCKHOLMS LÄN</t>
        </is>
      </c>
      <c r="E399" t="inlineStr">
        <is>
          <t>EKERÖ</t>
        </is>
      </c>
      <c r="G399" t="n">
        <v>1.2</v>
      </c>
      <c r="H399" t="n">
        <v>0</v>
      </c>
      <c r="I399" t="n">
        <v>0</v>
      </c>
      <c r="J399" t="n">
        <v>0</v>
      </c>
      <c r="K399" t="n">
        <v>1</v>
      </c>
      <c r="L399" t="n">
        <v>0</v>
      </c>
      <c r="M399" t="n">
        <v>0</v>
      </c>
      <c r="N399" t="n">
        <v>0</v>
      </c>
      <c r="O399" t="n">
        <v>1</v>
      </c>
      <c r="P399" t="n">
        <v>1</v>
      </c>
      <c r="Q399" t="n">
        <v>1</v>
      </c>
      <c r="R399" s="2" t="inlineStr">
        <is>
          <t>Gul lammticka</t>
        </is>
      </c>
      <c r="S399">
        <f>HYPERLINK("https://klasma.github.io/Logging_0125/artfynd/A 3218-2022 artfynd.xlsx", "A 3218-2022")</f>
        <v/>
      </c>
      <c r="T399">
        <f>HYPERLINK("https://klasma.github.io/Logging_0125/kartor/A 3218-2022 karta.png", "A 3218-2022")</f>
        <v/>
      </c>
      <c r="V399">
        <f>HYPERLINK("https://klasma.github.io/Logging_0125/klagomål/A 3218-2022 FSC-klagomål.docx", "A 3218-2022")</f>
        <v/>
      </c>
      <c r="W399">
        <f>HYPERLINK("https://klasma.github.io/Logging_0125/klagomålsmail/A 3218-2022 FSC-klagomål mail.docx", "A 3218-2022")</f>
        <v/>
      </c>
      <c r="X399">
        <f>HYPERLINK("https://klasma.github.io/Logging_0125/tillsyn/A 3218-2022 tillsynsbegäran.docx", "A 3218-2022")</f>
        <v/>
      </c>
      <c r="Y399">
        <f>HYPERLINK("https://klasma.github.io/Logging_0125/tillsynsmail/A 3218-2022 tillsynsbegäran mail.docx", "A 3218-2022")</f>
        <v/>
      </c>
    </row>
    <row r="400" ht="15" customHeight="1">
      <c r="A400" t="inlineStr">
        <is>
          <t>A 7172-2022</t>
        </is>
      </c>
      <c r="B400" s="1" t="n">
        <v>44604</v>
      </c>
      <c r="C400" s="1" t="n">
        <v>45672</v>
      </c>
      <c r="D400" t="inlineStr">
        <is>
          <t>STOCKHOLMS LÄN</t>
        </is>
      </c>
      <c r="E400" t="inlineStr">
        <is>
          <t>NORRTÄLJE</t>
        </is>
      </c>
      <c r="G400" t="n">
        <v>4.8</v>
      </c>
      <c r="H400" t="n">
        <v>0</v>
      </c>
      <c r="I400" t="n">
        <v>1</v>
      </c>
      <c r="J400" t="n">
        <v>0</v>
      </c>
      <c r="K400" t="n">
        <v>0</v>
      </c>
      <c r="L400" t="n">
        <v>0</v>
      </c>
      <c r="M400" t="n">
        <v>0</v>
      </c>
      <c r="N400" t="n">
        <v>0</v>
      </c>
      <c r="O400" t="n">
        <v>0</v>
      </c>
      <c r="P400" t="n">
        <v>0</v>
      </c>
      <c r="Q400" t="n">
        <v>1</v>
      </c>
      <c r="R400" s="2" t="inlineStr">
        <is>
          <t>Trådticka</t>
        </is>
      </c>
      <c r="S400">
        <f>HYPERLINK("https://klasma.github.io/Logging_0188/artfynd/A 7172-2022 artfynd.xlsx", "A 7172-2022")</f>
        <v/>
      </c>
      <c r="T400">
        <f>HYPERLINK("https://klasma.github.io/Logging_0188/kartor/A 7172-2022 karta.png", "A 7172-2022")</f>
        <v/>
      </c>
      <c r="U400">
        <f>HYPERLINK("https://klasma.github.io/Logging_0188/knärot/A 7172-2022 karta knärot.png", "A 7172-2022")</f>
        <v/>
      </c>
      <c r="V400">
        <f>HYPERLINK("https://klasma.github.io/Logging_0188/klagomål/A 7172-2022 FSC-klagomål.docx", "A 7172-2022")</f>
        <v/>
      </c>
      <c r="W400">
        <f>HYPERLINK("https://klasma.github.io/Logging_0188/klagomålsmail/A 7172-2022 FSC-klagomål mail.docx", "A 7172-2022")</f>
        <v/>
      </c>
      <c r="X400">
        <f>HYPERLINK("https://klasma.github.io/Logging_0188/tillsyn/A 7172-2022 tillsynsbegäran.docx", "A 7172-2022")</f>
        <v/>
      </c>
      <c r="Y400">
        <f>HYPERLINK("https://klasma.github.io/Logging_0188/tillsynsmail/A 7172-2022 tillsynsbegäran mail.docx", "A 7172-2022")</f>
        <v/>
      </c>
    </row>
    <row r="401" ht="15" customHeight="1">
      <c r="A401" t="inlineStr">
        <is>
          <t>A 7285-2022</t>
        </is>
      </c>
      <c r="B401" s="1" t="n">
        <v>44606</v>
      </c>
      <c r="C401" s="1" t="n">
        <v>45672</v>
      </c>
      <c r="D401" t="inlineStr">
        <is>
          <t>STOCKHOLMS LÄN</t>
        </is>
      </c>
      <c r="E401" t="inlineStr">
        <is>
          <t>UPPLANDS-BRO</t>
        </is>
      </c>
      <c r="F401" t="inlineStr">
        <is>
          <t>Övriga statliga verk och myndigheter</t>
        </is>
      </c>
      <c r="G401" t="n">
        <v>22.6</v>
      </c>
      <c r="H401" t="n">
        <v>0</v>
      </c>
      <c r="I401" t="n">
        <v>0</v>
      </c>
      <c r="J401" t="n">
        <v>0</v>
      </c>
      <c r="K401" t="n">
        <v>1</v>
      </c>
      <c r="L401" t="n">
        <v>0</v>
      </c>
      <c r="M401" t="n">
        <v>0</v>
      </c>
      <c r="N401" t="n">
        <v>0</v>
      </c>
      <c r="O401" t="n">
        <v>1</v>
      </c>
      <c r="P401" t="n">
        <v>1</v>
      </c>
      <c r="Q401" t="n">
        <v>1</v>
      </c>
      <c r="R401" s="2" t="inlineStr">
        <is>
          <t>Koppartaggsvamp</t>
        </is>
      </c>
      <c r="S401">
        <f>HYPERLINK("https://klasma.github.io/Logging_0139/artfynd/A 7285-2022 artfynd.xlsx", "A 7285-2022")</f>
        <v/>
      </c>
      <c r="T401">
        <f>HYPERLINK("https://klasma.github.io/Logging_0139/kartor/A 7285-2022 karta.png", "A 7285-2022")</f>
        <v/>
      </c>
      <c r="V401">
        <f>HYPERLINK("https://klasma.github.io/Logging_0139/klagomål/A 7285-2022 FSC-klagomål.docx", "A 7285-2022")</f>
        <v/>
      </c>
      <c r="W401">
        <f>HYPERLINK("https://klasma.github.io/Logging_0139/klagomålsmail/A 7285-2022 FSC-klagomål mail.docx", "A 7285-2022")</f>
        <v/>
      </c>
      <c r="X401">
        <f>HYPERLINK("https://klasma.github.io/Logging_0139/tillsyn/A 7285-2022 tillsynsbegäran.docx", "A 7285-2022")</f>
        <v/>
      </c>
      <c r="Y401">
        <f>HYPERLINK("https://klasma.github.io/Logging_0139/tillsynsmail/A 7285-2022 tillsynsbegäran mail.docx", "A 7285-2022")</f>
        <v/>
      </c>
    </row>
    <row r="402" ht="15" customHeight="1">
      <c r="A402" t="inlineStr">
        <is>
          <t>A 8285-2022</t>
        </is>
      </c>
      <c r="B402" s="1" t="n">
        <v>44610</v>
      </c>
      <c r="C402" s="1" t="n">
        <v>45672</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9445-2022</t>
        </is>
      </c>
      <c r="B403" s="1" t="n">
        <v>44616</v>
      </c>
      <c r="C403" s="1" t="n">
        <v>45672</v>
      </c>
      <c r="D403" t="inlineStr">
        <is>
          <t>STOCKHOLMS LÄN</t>
        </is>
      </c>
      <c r="E403" t="inlineStr">
        <is>
          <t>VALLENTUNA</t>
        </is>
      </c>
      <c r="G403" t="n">
        <v>10.8</v>
      </c>
      <c r="H403" t="n">
        <v>0</v>
      </c>
      <c r="I403" t="n">
        <v>1</v>
      </c>
      <c r="J403" t="n">
        <v>0</v>
      </c>
      <c r="K403" t="n">
        <v>0</v>
      </c>
      <c r="L403" t="n">
        <v>0</v>
      </c>
      <c r="M403" t="n">
        <v>0</v>
      </c>
      <c r="N403" t="n">
        <v>0</v>
      </c>
      <c r="O403" t="n">
        <v>0</v>
      </c>
      <c r="P403" t="n">
        <v>0</v>
      </c>
      <c r="Q403" t="n">
        <v>1</v>
      </c>
      <c r="R403" s="2" t="inlineStr">
        <is>
          <t>Grönpyrola</t>
        </is>
      </c>
      <c r="S403">
        <f>HYPERLINK("https://klasma.github.io/Logging_0115/artfynd/A 9445-2022 artfynd.xlsx", "A 9445-2022")</f>
        <v/>
      </c>
      <c r="T403">
        <f>HYPERLINK("https://klasma.github.io/Logging_0115/kartor/A 9445-2022 karta.png", "A 9445-2022")</f>
        <v/>
      </c>
      <c r="V403">
        <f>HYPERLINK("https://klasma.github.io/Logging_0115/klagomål/A 9445-2022 FSC-klagomål.docx", "A 9445-2022")</f>
        <v/>
      </c>
      <c r="W403">
        <f>HYPERLINK("https://klasma.github.io/Logging_0115/klagomålsmail/A 9445-2022 FSC-klagomål mail.docx", "A 9445-2022")</f>
        <v/>
      </c>
      <c r="X403">
        <f>HYPERLINK("https://klasma.github.io/Logging_0115/tillsyn/A 9445-2022 tillsynsbegäran.docx", "A 9445-2022")</f>
        <v/>
      </c>
      <c r="Y403">
        <f>HYPERLINK("https://klasma.github.io/Logging_0115/tillsynsmail/A 9445-2022 tillsynsbegäran mail.docx", "A 9445-2022")</f>
        <v/>
      </c>
    </row>
    <row r="404" ht="15" customHeight="1">
      <c r="A404" t="inlineStr">
        <is>
          <t>A 9714-2022</t>
        </is>
      </c>
      <c r="B404" s="1" t="n">
        <v>44617</v>
      </c>
      <c r="C404" s="1" t="n">
        <v>45672</v>
      </c>
      <c r="D404" t="inlineStr">
        <is>
          <t>STOCKHOLMS LÄN</t>
        </is>
      </c>
      <c r="E404" t="inlineStr">
        <is>
          <t>NYKVARN</t>
        </is>
      </c>
      <c r="G404" t="n">
        <v>0.5</v>
      </c>
      <c r="H404" t="n">
        <v>0</v>
      </c>
      <c r="I404" t="n">
        <v>1</v>
      </c>
      <c r="J404" t="n">
        <v>0</v>
      </c>
      <c r="K404" t="n">
        <v>0</v>
      </c>
      <c r="L404" t="n">
        <v>0</v>
      </c>
      <c r="M404" t="n">
        <v>0</v>
      </c>
      <c r="N404" t="n">
        <v>0</v>
      </c>
      <c r="O404" t="n">
        <v>0</v>
      </c>
      <c r="P404" t="n">
        <v>0</v>
      </c>
      <c r="Q404" t="n">
        <v>1</v>
      </c>
      <c r="R404" s="2" t="inlineStr">
        <is>
          <t>Jättesvampmal</t>
        </is>
      </c>
      <c r="S404">
        <f>HYPERLINK("https://klasma.github.io/Logging_0140/artfynd/A 9714-2022 artfynd.xlsx", "A 9714-2022")</f>
        <v/>
      </c>
      <c r="T404">
        <f>HYPERLINK("https://klasma.github.io/Logging_0140/kartor/A 9714-2022 karta.png", "A 9714-2022")</f>
        <v/>
      </c>
      <c r="V404">
        <f>HYPERLINK("https://klasma.github.io/Logging_0140/klagomål/A 9714-2022 FSC-klagomål.docx", "A 9714-2022")</f>
        <v/>
      </c>
      <c r="W404">
        <f>HYPERLINK("https://klasma.github.io/Logging_0140/klagomålsmail/A 9714-2022 FSC-klagomål mail.docx", "A 9714-2022")</f>
        <v/>
      </c>
      <c r="X404">
        <f>HYPERLINK("https://klasma.github.io/Logging_0140/tillsyn/A 9714-2022 tillsynsbegäran.docx", "A 9714-2022")</f>
        <v/>
      </c>
      <c r="Y404">
        <f>HYPERLINK("https://klasma.github.io/Logging_0140/tillsynsmail/A 9714-2022 tillsynsbegäran mail.docx", "A 9714-2022")</f>
        <v/>
      </c>
    </row>
    <row r="405" ht="15" customHeight="1">
      <c r="A405" t="inlineStr">
        <is>
          <t>A 9747-2022</t>
        </is>
      </c>
      <c r="B405" s="1" t="n">
        <v>44618</v>
      </c>
      <c r="C405" s="1" t="n">
        <v>45672</v>
      </c>
      <c r="D405" t="inlineStr">
        <is>
          <t>STOCKHOLMS LÄN</t>
        </is>
      </c>
      <c r="E405" t="inlineStr">
        <is>
          <t>VALLENTUNA</t>
        </is>
      </c>
      <c r="G405" t="n">
        <v>5.7</v>
      </c>
      <c r="H405" t="n">
        <v>0</v>
      </c>
      <c r="I405" t="n">
        <v>0</v>
      </c>
      <c r="J405" t="n">
        <v>0</v>
      </c>
      <c r="K405" t="n">
        <v>1</v>
      </c>
      <c r="L405" t="n">
        <v>0</v>
      </c>
      <c r="M405" t="n">
        <v>0</v>
      </c>
      <c r="N405" t="n">
        <v>0</v>
      </c>
      <c r="O405" t="n">
        <v>1</v>
      </c>
      <c r="P405" t="n">
        <v>1</v>
      </c>
      <c r="Q405" t="n">
        <v>1</v>
      </c>
      <c r="R405" s="2" t="inlineStr">
        <is>
          <t>Violgubbe</t>
        </is>
      </c>
      <c r="S405">
        <f>HYPERLINK("https://klasma.github.io/Logging_0115/artfynd/A 9747-2022 artfynd.xlsx", "A 9747-2022")</f>
        <v/>
      </c>
      <c r="T405">
        <f>HYPERLINK("https://klasma.github.io/Logging_0115/kartor/A 9747-2022 karta.png", "A 9747-2022")</f>
        <v/>
      </c>
      <c r="V405">
        <f>HYPERLINK("https://klasma.github.io/Logging_0115/klagomål/A 9747-2022 FSC-klagomål.docx", "A 9747-2022")</f>
        <v/>
      </c>
      <c r="W405">
        <f>HYPERLINK("https://klasma.github.io/Logging_0115/klagomålsmail/A 9747-2022 FSC-klagomål mail.docx", "A 9747-2022")</f>
        <v/>
      </c>
      <c r="X405">
        <f>HYPERLINK("https://klasma.github.io/Logging_0115/tillsyn/A 9747-2022 tillsynsbegäran.docx", "A 9747-2022")</f>
        <v/>
      </c>
      <c r="Y405">
        <f>HYPERLINK("https://klasma.github.io/Logging_0115/tillsynsmail/A 9747-2022 tillsynsbegäran mail.docx", "A 9747-2022")</f>
        <v/>
      </c>
    </row>
    <row r="406" ht="15" customHeight="1">
      <c r="A406" t="inlineStr">
        <is>
          <t>A 9955-2022</t>
        </is>
      </c>
      <c r="B406" s="1" t="n">
        <v>44620</v>
      </c>
      <c r="C406" s="1" t="n">
        <v>45672</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10059-2022</t>
        </is>
      </c>
      <c r="B407" s="1" t="n">
        <v>44621</v>
      </c>
      <c r="C407" s="1" t="n">
        <v>45672</v>
      </c>
      <c r="D407" t="inlineStr">
        <is>
          <t>STOCKHOLMS LÄN</t>
        </is>
      </c>
      <c r="E407" t="inlineStr">
        <is>
          <t>NYNÄSHAMN</t>
        </is>
      </c>
      <c r="G407" t="n">
        <v>17</v>
      </c>
      <c r="H407" t="n">
        <v>0</v>
      </c>
      <c r="I407" t="n">
        <v>1</v>
      </c>
      <c r="J407" t="n">
        <v>0</v>
      </c>
      <c r="K407" t="n">
        <v>0</v>
      </c>
      <c r="L407" t="n">
        <v>0</v>
      </c>
      <c r="M407" t="n">
        <v>0</v>
      </c>
      <c r="N407" t="n">
        <v>0</v>
      </c>
      <c r="O407" t="n">
        <v>0</v>
      </c>
      <c r="P407" t="n">
        <v>0</v>
      </c>
      <c r="Q407" t="n">
        <v>1</v>
      </c>
      <c r="R407" s="2" t="inlineStr">
        <is>
          <t>Bollvitmossa</t>
        </is>
      </c>
      <c r="S407">
        <f>HYPERLINK("https://klasma.github.io/Logging_0192/artfynd/A 10059-2022 artfynd.xlsx", "A 10059-2022")</f>
        <v/>
      </c>
      <c r="T407">
        <f>HYPERLINK("https://klasma.github.io/Logging_0192/kartor/A 10059-2022 karta.png", "A 10059-2022")</f>
        <v/>
      </c>
      <c r="V407">
        <f>HYPERLINK("https://klasma.github.io/Logging_0192/klagomål/A 10059-2022 FSC-klagomål.docx", "A 10059-2022")</f>
        <v/>
      </c>
      <c r="W407">
        <f>HYPERLINK("https://klasma.github.io/Logging_0192/klagomålsmail/A 10059-2022 FSC-klagomål mail.docx", "A 10059-2022")</f>
        <v/>
      </c>
      <c r="X407">
        <f>HYPERLINK("https://klasma.github.io/Logging_0192/tillsyn/A 10059-2022 tillsynsbegäran.docx", "A 10059-2022")</f>
        <v/>
      </c>
      <c r="Y407">
        <f>HYPERLINK("https://klasma.github.io/Logging_0192/tillsynsmail/A 10059-2022 tillsynsbegäran mail.docx", "A 10059-2022")</f>
        <v/>
      </c>
    </row>
    <row r="408" ht="15" customHeight="1">
      <c r="A408" t="inlineStr">
        <is>
          <t>A 10469-2022</t>
        </is>
      </c>
      <c r="B408" s="1" t="n">
        <v>44623</v>
      </c>
      <c r="C408" s="1" t="n">
        <v>45672</v>
      </c>
      <c r="D408" t="inlineStr">
        <is>
          <t>STOCKHOLMS LÄN</t>
        </is>
      </c>
      <c r="E408" t="inlineStr">
        <is>
          <t>BOTKYRKA</t>
        </is>
      </c>
      <c r="G408" t="n">
        <v>2.4</v>
      </c>
      <c r="H408" t="n">
        <v>0</v>
      </c>
      <c r="I408" t="n">
        <v>1</v>
      </c>
      <c r="J408" t="n">
        <v>0</v>
      </c>
      <c r="K408" t="n">
        <v>0</v>
      </c>
      <c r="L408" t="n">
        <v>0</v>
      </c>
      <c r="M408" t="n">
        <v>0</v>
      </c>
      <c r="N408" t="n">
        <v>0</v>
      </c>
      <c r="O408" t="n">
        <v>0</v>
      </c>
      <c r="P408" t="n">
        <v>0</v>
      </c>
      <c r="Q408" t="n">
        <v>1</v>
      </c>
      <c r="R408" s="2" t="inlineStr">
        <is>
          <t>Tibast</t>
        </is>
      </c>
      <c r="S408">
        <f>HYPERLINK("https://klasma.github.io/Logging_0127/artfynd/A 10469-2022 artfynd.xlsx", "A 10469-2022")</f>
        <v/>
      </c>
      <c r="T408">
        <f>HYPERLINK("https://klasma.github.io/Logging_0127/kartor/A 10469-2022 karta.png", "A 10469-2022")</f>
        <v/>
      </c>
      <c r="V408">
        <f>HYPERLINK("https://klasma.github.io/Logging_0127/klagomål/A 10469-2022 FSC-klagomål.docx", "A 10469-2022")</f>
        <v/>
      </c>
      <c r="W408">
        <f>HYPERLINK("https://klasma.github.io/Logging_0127/klagomålsmail/A 10469-2022 FSC-klagomål mail.docx", "A 10469-2022")</f>
        <v/>
      </c>
      <c r="X408">
        <f>HYPERLINK("https://klasma.github.io/Logging_0127/tillsyn/A 10469-2022 tillsynsbegäran.docx", "A 10469-2022")</f>
        <v/>
      </c>
      <c r="Y408">
        <f>HYPERLINK("https://klasma.github.io/Logging_0127/tillsynsmail/A 10469-2022 tillsynsbegäran mail.docx", "A 10469-2022")</f>
        <v/>
      </c>
    </row>
    <row r="409" ht="15" customHeight="1">
      <c r="A409" t="inlineStr">
        <is>
          <t>A 10712-2022</t>
        </is>
      </c>
      <c r="B409" s="1" t="n">
        <v>44626</v>
      </c>
      <c r="C409" s="1" t="n">
        <v>45672</v>
      </c>
      <c r="D409" t="inlineStr">
        <is>
          <t>STOCKHOLMS LÄN</t>
        </is>
      </c>
      <c r="E409" t="inlineStr">
        <is>
          <t>NORRTÄLJE</t>
        </is>
      </c>
      <c r="G409" t="n">
        <v>4.5</v>
      </c>
      <c r="H409" t="n">
        <v>1</v>
      </c>
      <c r="I409" t="n">
        <v>0</v>
      </c>
      <c r="J409" t="n">
        <v>0</v>
      </c>
      <c r="K409" t="n">
        <v>0</v>
      </c>
      <c r="L409" t="n">
        <v>0</v>
      </c>
      <c r="M409" t="n">
        <v>0</v>
      </c>
      <c r="N409" t="n">
        <v>0</v>
      </c>
      <c r="O409" t="n">
        <v>0</v>
      </c>
      <c r="P409" t="n">
        <v>0</v>
      </c>
      <c r="Q409" t="n">
        <v>1</v>
      </c>
      <c r="R409" s="2" t="inlineStr">
        <is>
          <t>Åkergroda</t>
        </is>
      </c>
      <c r="S409">
        <f>HYPERLINK("https://klasma.github.io/Logging_0188/artfynd/A 10712-2022 artfynd.xlsx", "A 10712-2022")</f>
        <v/>
      </c>
      <c r="T409">
        <f>HYPERLINK("https://klasma.github.io/Logging_0188/kartor/A 10712-2022 karta.png", "A 10712-2022")</f>
        <v/>
      </c>
      <c r="V409">
        <f>HYPERLINK("https://klasma.github.io/Logging_0188/klagomål/A 10712-2022 FSC-klagomål.docx", "A 10712-2022")</f>
        <v/>
      </c>
      <c r="W409">
        <f>HYPERLINK("https://klasma.github.io/Logging_0188/klagomålsmail/A 10712-2022 FSC-klagomål mail.docx", "A 10712-2022")</f>
        <v/>
      </c>
      <c r="X409">
        <f>HYPERLINK("https://klasma.github.io/Logging_0188/tillsyn/A 10712-2022 tillsynsbegäran.docx", "A 10712-2022")</f>
        <v/>
      </c>
      <c r="Y409">
        <f>HYPERLINK("https://klasma.github.io/Logging_0188/tillsynsmail/A 10712-2022 tillsynsbegäran mail.docx", "A 10712-2022")</f>
        <v/>
      </c>
    </row>
    <row r="410" ht="15" customHeight="1">
      <c r="A410" t="inlineStr">
        <is>
          <t>A 13891-2022</t>
        </is>
      </c>
      <c r="B410" s="1" t="n">
        <v>44646</v>
      </c>
      <c r="C410" s="1" t="n">
        <v>45672</v>
      </c>
      <c r="D410" t="inlineStr">
        <is>
          <t>STOCKHOLMS LÄN</t>
        </is>
      </c>
      <c r="E410" t="inlineStr">
        <is>
          <t>EKERÖ</t>
        </is>
      </c>
      <c r="G410" t="n">
        <v>2.3</v>
      </c>
      <c r="H410" t="n">
        <v>0</v>
      </c>
      <c r="I410" t="n">
        <v>1</v>
      </c>
      <c r="J410" t="n">
        <v>0</v>
      </c>
      <c r="K410" t="n">
        <v>0</v>
      </c>
      <c r="L410" t="n">
        <v>0</v>
      </c>
      <c r="M410" t="n">
        <v>0</v>
      </c>
      <c r="N410" t="n">
        <v>0</v>
      </c>
      <c r="O410" t="n">
        <v>0</v>
      </c>
      <c r="P410" t="n">
        <v>0</v>
      </c>
      <c r="Q410" t="n">
        <v>1</v>
      </c>
      <c r="R410" s="2" t="inlineStr">
        <is>
          <t>Granbarkgnagare</t>
        </is>
      </c>
      <c r="S410">
        <f>HYPERLINK("https://klasma.github.io/Logging_0125/artfynd/A 13891-2022 artfynd.xlsx", "A 13891-2022")</f>
        <v/>
      </c>
      <c r="T410">
        <f>HYPERLINK("https://klasma.github.io/Logging_0125/kartor/A 13891-2022 karta.png", "A 13891-2022")</f>
        <v/>
      </c>
      <c r="V410">
        <f>HYPERLINK("https://klasma.github.io/Logging_0125/klagomål/A 13891-2022 FSC-klagomål.docx", "A 13891-2022")</f>
        <v/>
      </c>
      <c r="W410">
        <f>HYPERLINK("https://klasma.github.io/Logging_0125/klagomålsmail/A 13891-2022 FSC-klagomål mail.docx", "A 13891-2022")</f>
        <v/>
      </c>
      <c r="X410">
        <f>HYPERLINK("https://klasma.github.io/Logging_0125/tillsyn/A 13891-2022 tillsynsbegäran.docx", "A 13891-2022")</f>
        <v/>
      </c>
      <c r="Y410">
        <f>HYPERLINK("https://klasma.github.io/Logging_0125/tillsynsmail/A 13891-2022 tillsynsbegäran mail.docx", "A 13891-2022")</f>
        <v/>
      </c>
    </row>
    <row r="411" ht="15" customHeight="1">
      <c r="A411" t="inlineStr">
        <is>
          <t>A 14720-2022</t>
        </is>
      </c>
      <c r="B411" s="1" t="n">
        <v>44656</v>
      </c>
      <c r="C411" s="1" t="n">
        <v>45672</v>
      </c>
      <c r="D411" t="inlineStr">
        <is>
          <t>STOCKHOLMS LÄN</t>
        </is>
      </c>
      <c r="E411" t="inlineStr">
        <is>
          <t>NORRTÄLJE</t>
        </is>
      </c>
      <c r="F411" t="inlineStr">
        <is>
          <t>Sveaskog</t>
        </is>
      </c>
      <c r="G411" t="n">
        <v>5.1</v>
      </c>
      <c r="H411" t="n">
        <v>0</v>
      </c>
      <c r="I411" t="n">
        <v>0</v>
      </c>
      <c r="J411" t="n">
        <v>1</v>
      </c>
      <c r="K411" t="n">
        <v>0</v>
      </c>
      <c r="L411" t="n">
        <v>0</v>
      </c>
      <c r="M411" t="n">
        <v>0</v>
      </c>
      <c r="N411" t="n">
        <v>0</v>
      </c>
      <c r="O411" t="n">
        <v>1</v>
      </c>
      <c r="P411" t="n">
        <v>0</v>
      </c>
      <c r="Q411" t="n">
        <v>1</v>
      </c>
      <c r="R411" s="2" t="inlineStr">
        <is>
          <t>Loppstarr</t>
        </is>
      </c>
      <c r="S411">
        <f>HYPERLINK("https://klasma.github.io/Logging_0188/artfynd/A 14720-2022 artfynd.xlsx", "A 14720-2022")</f>
        <v/>
      </c>
      <c r="T411">
        <f>HYPERLINK("https://klasma.github.io/Logging_0188/kartor/A 14720-2022 karta.png", "A 14720-2022")</f>
        <v/>
      </c>
      <c r="V411">
        <f>HYPERLINK("https://klasma.github.io/Logging_0188/klagomål/A 14720-2022 FSC-klagomål.docx", "A 14720-2022")</f>
        <v/>
      </c>
      <c r="W411">
        <f>HYPERLINK("https://klasma.github.io/Logging_0188/klagomålsmail/A 14720-2022 FSC-klagomål mail.docx", "A 14720-2022")</f>
        <v/>
      </c>
      <c r="X411">
        <f>HYPERLINK("https://klasma.github.io/Logging_0188/tillsyn/A 14720-2022 tillsynsbegäran.docx", "A 14720-2022")</f>
        <v/>
      </c>
      <c r="Y411">
        <f>HYPERLINK("https://klasma.github.io/Logging_0188/tillsynsmail/A 14720-2022 tillsynsbegäran mail.docx", "A 14720-2022")</f>
        <v/>
      </c>
    </row>
    <row r="412" ht="15" customHeight="1">
      <c r="A412" t="inlineStr">
        <is>
          <t>A 16309-2022</t>
        </is>
      </c>
      <c r="B412" s="1" t="n">
        <v>44670</v>
      </c>
      <c r="C412" s="1" t="n">
        <v>45672</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16539-2022</t>
        </is>
      </c>
      <c r="B413" s="1" t="n">
        <v>44672</v>
      </c>
      <c r="C413" s="1" t="n">
        <v>45672</v>
      </c>
      <c r="D413" t="inlineStr">
        <is>
          <t>STOCKHOLMS LÄN</t>
        </is>
      </c>
      <c r="E413" t="inlineStr">
        <is>
          <t>NORRTÄLJE</t>
        </is>
      </c>
      <c r="G413" t="n">
        <v>8.6</v>
      </c>
      <c r="H413" t="n">
        <v>1</v>
      </c>
      <c r="I413" t="n">
        <v>1</v>
      </c>
      <c r="J413" t="n">
        <v>0</v>
      </c>
      <c r="K413" t="n">
        <v>0</v>
      </c>
      <c r="L413" t="n">
        <v>0</v>
      </c>
      <c r="M413" t="n">
        <v>0</v>
      </c>
      <c r="N413" t="n">
        <v>0</v>
      </c>
      <c r="O413" t="n">
        <v>0</v>
      </c>
      <c r="P413" t="n">
        <v>0</v>
      </c>
      <c r="Q413" t="n">
        <v>1</v>
      </c>
      <c r="R413" s="2" t="inlineStr">
        <is>
          <t>Nästrot</t>
        </is>
      </c>
      <c r="S413">
        <f>HYPERLINK("https://klasma.github.io/Logging_0188/artfynd/A 16539-2022 artfynd.xlsx", "A 16539-2022")</f>
        <v/>
      </c>
      <c r="T413">
        <f>HYPERLINK("https://klasma.github.io/Logging_0188/kartor/A 16539-2022 karta.png", "A 16539-2022")</f>
        <v/>
      </c>
      <c r="V413">
        <f>HYPERLINK("https://klasma.github.io/Logging_0188/klagomål/A 16539-2022 FSC-klagomål.docx", "A 16539-2022")</f>
        <v/>
      </c>
      <c r="W413">
        <f>HYPERLINK("https://klasma.github.io/Logging_0188/klagomålsmail/A 16539-2022 FSC-klagomål mail.docx", "A 16539-2022")</f>
        <v/>
      </c>
      <c r="X413">
        <f>HYPERLINK("https://klasma.github.io/Logging_0188/tillsyn/A 16539-2022 tillsynsbegäran.docx", "A 16539-2022")</f>
        <v/>
      </c>
      <c r="Y413">
        <f>HYPERLINK("https://klasma.github.io/Logging_0188/tillsynsmail/A 16539-2022 tillsynsbegäran mail.docx", "A 16539-2022")</f>
        <v/>
      </c>
    </row>
    <row r="414" ht="15" customHeight="1">
      <c r="A414" t="inlineStr">
        <is>
          <t>A 18100-2022</t>
        </is>
      </c>
      <c r="B414" s="1" t="n">
        <v>44684</v>
      </c>
      <c r="C414" s="1" t="n">
        <v>45672</v>
      </c>
      <c r="D414" t="inlineStr">
        <is>
          <t>STOCKHOLMS LÄN</t>
        </is>
      </c>
      <c r="E414" t="inlineStr">
        <is>
          <t>BOTKYRKA</t>
        </is>
      </c>
      <c r="G414" t="n">
        <v>3.1</v>
      </c>
      <c r="H414" t="n">
        <v>1</v>
      </c>
      <c r="I414" t="n">
        <v>0</v>
      </c>
      <c r="J414" t="n">
        <v>0</v>
      </c>
      <c r="K414" t="n">
        <v>0</v>
      </c>
      <c r="L414" t="n">
        <v>0</v>
      </c>
      <c r="M414" t="n">
        <v>0</v>
      </c>
      <c r="N414" t="n">
        <v>0</v>
      </c>
      <c r="O414" t="n">
        <v>0</v>
      </c>
      <c r="P414" t="n">
        <v>0</v>
      </c>
      <c r="Q414" t="n">
        <v>1</v>
      </c>
      <c r="R414" s="2" t="inlineStr">
        <is>
          <t>Gullviva</t>
        </is>
      </c>
      <c r="S414">
        <f>HYPERLINK("https://klasma.github.io/Logging_0127/artfynd/A 18100-2022 artfynd.xlsx", "A 18100-2022")</f>
        <v/>
      </c>
      <c r="T414">
        <f>HYPERLINK("https://klasma.github.io/Logging_0127/kartor/A 18100-2022 karta.png", "A 18100-2022")</f>
        <v/>
      </c>
      <c r="V414">
        <f>HYPERLINK("https://klasma.github.io/Logging_0127/klagomål/A 18100-2022 FSC-klagomål.docx", "A 18100-2022")</f>
        <v/>
      </c>
      <c r="W414">
        <f>HYPERLINK("https://klasma.github.io/Logging_0127/klagomålsmail/A 18100-2022 FSC-klagomål mail.docx", "A 18100-2022")</f>
        <v/>
      </c>
      <c r="X414">
        <f>HYPERLINK("https://klasma.github.io/Logging_0127/tillsyn/A 18100-2022 tillsynsbegäran.docx", "A 18100-2022")</f>
        <v/>
      </c>
      <c r="Y414">
        <f>HYPERLINK("https://klasma.github.io/Logging_0127/tillsynsmail/A 18100-2022 tillsynsbegäran mail.docx", "A 18100-2022")</f>
        <v/>
      </c>
    </row>
    <row r="415" ht="15" customHeight="1">
      <c r="A415" t="inlineStr">
        <is>
          <t>A 19829-2022</t>
        </is>
      </c>
      <c r="B415" s="1" t="n">
        <v>44695</v>
      </c>
      <c r="C415" s="1" t="n">
        <v>45672</v>
      </c>
      <c r="D415" t="inlineStr">
        <is>
          <t>STOCKHOLMS LÄN</t>
        </is>
      </c>
      <c r="E415" t="inlineStr">
        <is>
          <t>NORRTÄLJE</t>
        </is>
      </c>
      <c r="G415" t="n">
        <v>2</v>
      </c>
      <c r="H415" t="n">
        <v>1</v>
      </c>
      <c r="I415" t="n">
        <v>1</v>
      </c>
      <c r="J415" t="n">
        <v>0</v>
      </c>
      <c r="K415" t="n">
        <v>0</v>
      </c>
      <c r="L415" t="n">
        <v>0</v>
      </c>
      <c r="M415" t="n">
        <v>0</v>
      </c>
      <c r="N415" t="n">
        <v>0</v>
      </c>
      <c r="O415" t="n">
        <v>0</v>
      </c>
      <c r="P415" t="n">
        <v>0</v>
      </c>
      <c r="Q415" t="n">
        <v>1</v>
      </c>
      <c r="R415" s="2" t="inlineStr">
        <is>
          <t>Guckusko</t>
        </is>
      </c>
      <c r="S415">
        <f>HYPERLINK("https://klasma.github.io/Logging_0188/artfynd/A 19829-2022 artfynd.xlsx", "A 19829-2022")</f>
        <v/>
      </c>
      <c r="T415">
        <f>HYPERLINK("https://klasma.github.io/Logging_0188/kartor/A 19829-2022 karta.png", "A 19829-2022")</f>
        <v/>
      </c>
      <c r="V415">
        <f>HYPERLINK("https://klasma.github.io/Logging_0188/klagomål/A 19829-2022 FSC-klagomål.docx", "A 19829-2022")</f>
        <v/>
      </c>
      <c r="W415">
        <f>HYPERLINK("https://klasma.github.io/Logging_0188/klagomålsmail/A 19829-2022 FSC-klagomål mail.docx", "A 19829-2022")</f>
        <v/>
      </c>
      <c r="X415">
        <f>HYPERLINK("https://klasma.github.io/Logging_0188/tillsyn/A 19829-2022 tillsynsbegäran.docx", "A 19829-2022")</f>
        <v/>
      </c>
      <c r="Y415">
        <f>HYPERLINK("https://klasma.github.io/Logging_0188/tillsynsmail/A 19829-2022 tillsynsbegäran mail.docx", "A 19829-2022")</f>
        <v/>
      </c>
    </row>
    <row r="416" ht="15" customHeight="1">
      <c r="A416" t="inlineStr">
        <is>
          <t>A 20456-2022</t>
        </is>
      </c>
      <c r="B416" s="1" t="n">
        <v>44699</v>
      </c>
      <c r="C416" s="1" t="n">
        <v>45672</v>
      </c>
      <c r="D416" t="inlineStr">
        <is>
          <t>STOCKHOLMS LÄN</t>
        </is>
      </c>
      <c r="E416" t="inlineStr">
        <is>
          <t>NYKVARN</t>
        </is>
      </c>
      <c r="F416" t="inlineStr">
        <is>
          <t>Allmännings- och besparingsskogar</t>
        </is>
      </c>
      <c r="G416" t="n">
        <v>15.4</v>
      </c>
      <c r="H416" t="n">
        <v>0</v>
      </c>
      <c r="I416" t="n">
        <v>1</v>
      </c>
      <c r="J416" t="n">
        <v>0</v>
      </c>
      <c r="K416" t="n">
        <v>0</v>
      </c>
      <c r="L416" t="n">
        <v>0</v>
      </c>
      <c r="M416" t="n">
        <v>0</v>
      </c>
      <c r="N416" t="n">
        <v>0</v>
      </c>
      <c r="O416" t="n">
        <v>0</v>
      </c>
      <c r="P416" t="n">
        <v>0</v>
      </c>
      <c r="Q416" t="n">
        <v>1</v>
      </c>
      <c r="R416" s="2" t="inlineStr">
        <is>
          <t>Grönpyrola</t>
        </is>
      </c>
      <c r="S416">
        <f>HYPERLINK("https://klasma.github.io/Logging_0140/artfynd/A 20456-2022 artfynd.xlsx", "A 20456-2022")</f>
        <v/>
      </c>
      <c r="T416">
        <f>HYPERLINK("https://klasma.github.io/Logging_0140/kartor/A 20456-2022 karta.png", "A 20456-2022")</f>
        <v/>
      </c>
      <c r="V416">
        <f>HYPERLINK("https://klasma.github.io/Logging_0140/klagomål/A 20456-2022 FSC-klagomål.docx", "A 20456-2022")</f>
        <v/>
      </c>
      <c r="W416">
        <f>HYPERLINK("https://klasma.github.io/Logging_0140/klagomålsmail/A 20456-2022 FSC-klagomål mail.docx", "A 20456-2022")</f>
        <v/>
      </c>
      <c r="X416">
        <f>HYPERLINK("https://klasma.github.io/Logging_0140/tillsyn/A 20456-2022 tillsynsbegäran.docx", "A 20456-2022")</f>
        <v/>
      </c>
      <c r="Y416">
        <f>HYPERLINK("https://klasma.github.io/Logging_0140/tillsynsmail/A 20456-2022 tillsynsbegäran mail.docx", "A 20456-2022")</f>
        <v/>
      </c>
    </row>
    <row r="417" ht="15" customHeight="1">
      <c r="A417" t="inlineStr">
        <is>
          <t>A 21150-2022</t>
        </is>
      </c>
      <c r="B417" s="1" t="n">
        <v>44704</v>
      </c>
      <c r="C417" s="1" t="n">
        <v>45672</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22172-2022</t>
        </is>
      </c>
      <c r="B418" s="1" t="n">
        <v>44712</v>
      </c>
      <c r="C418" s="1" t="n">
        <v>45672</v>
      </c>
      <c r="D418" t="inlineStr">
        <is>
          <t>STOCKHOLMS LÄN</t>
        </is>
      </c>
      <c r="E418" t="inlineStr">
        <is>
          <t>ÖSTERÅKER</t>
        </is>
      </c>
      <c r="G418" t="n">
        <v>3.7</v>
      </c>
      <c r="H418" t="n">
        <v>1</v>
      </c>
      <c r="I418" t="n">
        <v>0</v>
      </c>
      <c r="J418" t="n">
        <v>1</v>
      </c>
      <c r="K418" t="n">
        <v>0</v>
      </c>
      <c r="L418" t="n">
        <v>0</v>
      </c>
      <c r="M418" t="n">
        <v>0</v>
      </c>
      <c r="N418" t="n">
        <v>0</v>
      </c>
      <c r="O418" t="n">
        <v>1</v>
      </c>
      <c r="P418" t="n">
        <v>0</v>
      </c>
      <c r="Q418" t="n">
        <v>1</v>
      </c>
      <c r="R418" s="2" t="inlineStr">
        <is>
          <t>Kråka</t>
        </is>
      </c>
      <c r="S418">
        <f>HYPERLINK("https://klasma.github.io/Logging_0117/artfynd/A 22172-2022 artfynd.xlsx", "A 22172-2022")</f>
        <v/>
      </c>
      <c r="T418">
        <f>HYPERLINK("https://klasma.github.io/Logging_0117/kartor/A 22172-2022 karta.png", "A 22172-2022")</f>
        <v/>
      </c>
      <c r="V418">
        <f>HYPERLINK("https://klasma.github.io/Logging_0117/klagomål/A 22172-2022 FSC-klagomål.docx", "A 22172-2022")</f>
        <v/>
      </c>
      <c r="W418">
        <f>HYPERLINK("https://klasma.github.io/Logging_0117/klagomålsmail/A 22172-2022 FSC-klagomål mail.docx", "A 22172-2022")</f>
        <v/>
      </c>
      <c r="X418">
        <f>HYPERLINK("https://klasma.github.io/Logging_0117/tillsyn/A 22172-2022 tillsynsbegäran.docx", "A 22172-2022")</f>
        <v/>
      </c>
      <c r="Y418">
        <f>HYPERLINK("https://klasma.github.io/Logging_0117/tillsynsmail/A 22172-2022 tillsynsbegäran mail.docx", "A 22172-2022")</f>
        <v/>
      </c>
      <c r="Z418">
        <f>HYPERLINK("https://klasma.github.io/Logging_0117/fåglar/A 22172-2022 prioriterade fågelarter.docx", "A 22172-2022")</f>
        <v/>
      </c>
    </row>
    <row r="419" ht="15" customHeight="1">
      <c r="A419" t="inlineStr">
        <is>
          <t>A 30154-2022</t>
        </is>
      </c>
      <c r="B419" s="1" t="n">
        <v>44757</v>
      </c>
      <c r="C419" s="1" t="n">
        <v>45672</v>
      </c>
      <c r="D419" t="inlineStr">
        <is>
          <t>STOCKHOLMS LÄN</t>
        </is>
      </c>
      <c r="E419" t="inlineStr">
        <is>
          <t>VÄRMDÖ</t>
        </is>
      </c>
      <c r="G419" t="n">
        <v>3.1</v>
      </c>
      <c r="H419" t="n">
        <v>0</v>
      </c>
      <c r="I419" t="n">
        <v>0</v>
      </c>
      <c r="J419" t="n">
        <v>1</v>
      </c>
      <c r="K419" t="n">
        <v>0</v>
      </c>
      <c r="L419" t="n">
        <v>0</v>
      </c>
      <c r="M419" t="n">
        <v>0</v>
      </c>
      <c r="N419" t="n">
        <v>0</v>
      </c>
      <c r="O419" t="n">
        <v>1</v>
      </c>
      <c r="P419" t="n">
        <v>0</v>
      </c>
      <c r="Q419" t="n">
        <v>1</v>
      </c>
      <c r="R419" s="2" t="inlineStr">
        <is>
          <t>Lunglav</t>
        </is>
      </c>
      <c r="S419">
        <f>HYPERLINK("https://klasma.github.io/Logging_0120/artfynd/A 30154-2022 artfynd.xlsx", "A 30154-2022")</f>
        <v/>
      </c>
      <c r="T419">
        <f>HYPERLINK("https://klasma.github.io/Logging_0120/kartor/A 30154-2022 karta.png", "A 30154-2022")</f>
        <v/>
      </c>
      <c r="V419">
        <f>HYPERLINK("https://klasma.github.io/Logging_0120/klagomål/A 30154-2022 FSC-klagomål.docx", "A 30154-2022")</f>
        <v/>
      </c>
      <c r="W419">
        <f>HYPERLINK("https://klasma.github.io/Logging_0120/klagomålsmail/A 30154-2022 FSC-klagomål mail.docx", "A 30154-2022")</f>
        <v/>
      </c>
      <c r="X419">
        <f>HYPERLINK("https://klasma.github.io/Logging_0120/tillsyn/A 30154-2022 tillsynsbegäran.docx", "A 30154-2022")</f>
        <v/>
      </c>
      <c r="Y419">
        <f>HYPERLINK("https://klasma.github.io/Logging_0120/tillsynsmail/A 30154-2022 tillsynsbegäran mail.docx", "A 30154-2022")</f>
        <v/>
      </c>
    </row>
    <row r="420" ht="15" customHeight="1">
      <c r="A420" t="inlineStr">
        <is>
          <t>A 31194-2022</t>
        </is>
      </c>
      <c r="B420" s="1" t="n">
        <v>44770</v>
      </c>
      <c r="C420" s="1" t="n">
        <v>45672</v>
      </c>
      <c r="D420" t="inlineStr">
        <is>
          <t>STOCKHOLMS LÄN</t>
        </is>
      </c>
      <c r="E420" t="inlineStr">
        <is>
          <t>NORRTÄLJE</t>
        </is>
      </c>
      <c r="G420" t="n">
        <v>2.7</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31194-2022 artfynd.xlsx", "A 31194-2022")</f>
        <v/>
      </c>
      <c r="T420">
        <f>HYPERLINK("https://klasma.github.io/Logging_0188/kartor/A 31194-2022 karta.png", "A 31194-2022")</f>
        <v/>
      </c>
      <c r="V420">
        <f>HYPERLINK("https://klasma.github.io/Logging_0188/klagomål/A 31194-2022 FSC-klagomål.docx", "A 31194-2022")</f>
        <v/>
      </c>
      <c r="W420">
        <f>HYPERLINK("https://klasma.github.io/Logging_0188/klagomålsmail/A 31194-2022 FSC-klagomål mail.docx", "A 31194-2022")</f>
        <v/>
      </c>
      <c r="X420">
        <f>HYPERLINK("https://klasma.github.io/Logging_0188/tillsyn/A 31194-2022 tillsynsbegäran.docx", "A 31194-2022")</f>
        <v/>
      </c>
      <c r="Y420">
        <f>HYPERLINK("https://klasma.github.io/Logging_0188/tillsynsmail/A 31194-2022 tillsynsbegäran mail.docx", "A 31194-2022")</f>
        <v/>
      </c>
    </row>
    <row r="421" ht="15" customHeight="1">
      <c r="A421" t="inlineStr">
        <is>
          <t>A 33477-2022</t>
        </is>
      </c>
      <c r="B421" s="1" t="n">
        <v>44788</v>
      </c>
      <c r="C421" s="1" t="n">
        <v>45672</v>
      </c>
      <c r="D421" t="inlineStr">
        <is>
          <t>STOCKHOLMS LÄN</t>
        </is>
      </c>
      <c r="E421" t="inlineStr">
        <is>
          <t>NORRTÄLJE</t>
        </is>
      </c>
      <c r="G421" t="n">
        <v>5.7</v>
      </c>
      <c r="H421" t="n">
        <v>1</v>
      </c>
      <c r="I421" t="n">
        <v>1</v>
      </c>
      <c r="J421" t="n">
        <v>0</v>
      </c>
      <c r="K421" t="n">
        <v>0</v>
      </c>
      <c r="L421" t="n">
        <v>0</v>
      </c>
      <c r="M421" t="n">
        <v>0</v>
      </c>
      <c r="N421" t="n">
        <v>0</v>
      </c>
      <c r="O421" t="n">
        <v>0</v>
      </c>
      <c r="P421" t="n">
        <v>0</v>
      </c>
      <c r="Q421" t="n">
        <v>1</v>
      </c>
      <c r="R421" s="2" t="inlineStr">
        <is>
          <t>Nästrot</t>
        </is>
      </c>
      <c r="S421">
        <f>HYPERLINK("https://klasma.github.io/Logging_0188/artfynd/A 33477-2022 artfynd.xlsx", "A 33477-2022")</f>
        <v/>
      </c>
      <c r="T421">
        <f>HYPERLINK("https://klasma.github.io/Logging_0188/kartor/A 33477-2022 karta.png", "A 33477-2022")</f>
        <v/>
      </c>
      <c r="V421">
        <f>HYPERLINK("https://klasma.github.io/Logging_0188/klagomål/A 33477-2022 FSC-klagomål.docx", "A 33477-2022")</f>
        <v/>
      </c>
      <c r="W421">
        <f>HYPERLINK("https://klasma.github.io/Logging_0188/klagomålsmail/A 33477-2022 FSC-klagomål mail.docx", "A 33477-2022")</f>
        <v/>
      </c>
      <c r="X421">
        <f>HYPERLINK("https://klasma.github.io/Logging_0188/tillsyn/A 33477-2022 tillsynsbegäran.docx", "A 33477-2022")</f>
        <v/>
      </c>
      <c r="Y421">
        <f>HYPERLINK("https://klasma.github.io/Logging_0188/tillsynsmail/A 33477-2022 tillsynsbegäran mail.docx", "A 33477-2022")</f>
        <v/>
      </c>
    </row>
    <row r="422" ht="15" customHeight="1">
      <c r="A422" t="inlineStr">
        <is>
          <t>A 34823-2022</t>
        </is>
      </c>
      <c r="B422" s="1" t="n">
        <v>44796</v>
      </c>
      <c r="C422" s="1" t="n">
        <v>45672</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37004-2022</t>
        </is>
      </c>
      <c r="B423" s="1" t="n">
        <v>44806</v>
      </c>
      <c r="C423" s="1" t="n">
        <v>45672</v>
      </c>
      <c r="D423" t="inlineStr">
        <is>
          <t>STOCKHOLMS LÄN</t>
        </is>
      </c>
      <c r="E423" t="inlineStr">
        <is>
          <t>HANINGE</t>
        </is>
      </c>
      <c r="F423" t="inlineStr">
        <is>
          <t>Övriga statliga verk och myndigheter</t>
        </is>
      </c>
      <c r="G423" t="n">
        <v>4.4</v>
      </c>
      <c r="H423" t="n">
        <v>1</v>
      </c>
      <c r="I423" t="n">
        <v>1</v>
      </c>
      <c r="J423" t="n">
        <v>0</v>
      </c>
      <c r="K423" t="n">
        <v>0</v>
      </c>
      <c r="L423" t="n">
        <v>0</v>
      </c>
      <c r="M423" t="n">
        <v>0</v>
      </c>
      <c r="N423" t="n">
        <v>0</v>
      </c>
      <c r="O423" t="n">
        <v>0</v>
      </c>
      <c r="P423" t="n">
        <v>0</v>
      </c>
      <c r="Q423" t="n">
        <v>1</v>
      </c>
      <c r="R423" s="2" t="inlineStr">
        <is>
          <t>Skogsknipprot</t>
        </is>
      </c>
      <c r="S423">
        <f>HYPERLINK("https://klasma.github.io/Logging_0136/artfynd/A 37004-2022 artfynd.xlsx", "A 37004-2022")</f>
        <v/>
      </c>
      <c r="T423">
        <f>HYPERLINK("https://klasma.github.io/Logging_0136/kartor/A 37004-2022 karta.png", "A 37004-2022")</f>
        <v/>
      </c>
      <c r="V423">
        <f>HYPERLINK("https://klasma.github.io/Logging_0136/klagomål/A 37004-2022 FSC-klagomål.docx", "A 37004-2022")</f>
        <v/>
      </c>
      <c r="W423">
        <f>HYPERLINK("https://klasma.github.io/Logging_0136/klagomålsmail/A 37004-2022 FSC-klagomål mail.docx", "A 37004-2022")</f>
        <v/>
      </c>
      <c r="X423">
        <f>HYPERLINK("https://klasma.github.io/Logging_0136/tillsyn/A 37004-2022 tillsynsbegäran.docx", "A 37004-2022")</f>
        <v/>
      </c>
      <c r="Y423">
        <f>HYPERLINK("https://klasma.github.io/Logging_0136/tillsynsmail/A 37004-2022 tillsynsbegäran mail.docx", "A 37004-2022")</f>
        <v/>
      </c>
    </row>
    <row r="424" ht="15" customHeight="1">
      <c r="A424" t="inlineStr">
        <is>
          <t>A 37522-2022</t>
        </is>
      </c>
      <c r="B424" s="1" t="n">
        <v>44809</v>
      </c>
      <c r="C424" s="1" t="n">
        <v>45672</v>
      </c>
      <c r="D424" t="inlineStr">
        <is>
          <t>STOCKHOLMS LÄN</t>
        </is>
      </c>
      <c r="E424" t="inlineStr">
        <is>
          <t>NORRTÄLJE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HYPERLINK("https://klasma.github.io/Logging_0188/artfynd/A 37522-2022 artfynd.xlsx", "A 37522-2022")</f>
        <v/>
      </c>
      <c r="T424">
        <f>HYPERLINK("https://klasma.github.io/Logging_0188/kartor/A 37522-2022 karta.png", "A 37522-2022")</f>
        <v/>
      </c>
      <c r="V424">
        <f>HYPERLINK("https://klasma.github.io/Logging_0188/klagomål/A 37522-2022 FSC-klagomål.docx", "A 37522-2022")</f>
        <v/>
      </c>
      <c r="W424">
        <f>HYPERLINK("https://klasma.github.io/Logging_0188/klagomålsmail/A 37522-2022 FSC-klagomål mail.docx", "A 37522-2022")</f>
        <v/>
      </c>
      <c r="X424">
        <f>HYPERLINK("https://klasma.github.io/Logging_0188/tillsyn/A 37522-2022 tillsynsbegäran.docx", "A 37522-2022")</f>
        <v/>
      </c>
      <c r="Y424">
        <f>HYPERLINK("https://klasma.github.io/Logging_0188/tillsynsmail/A 37522-2022 tillsynsbegäran mail.docx", "A 37522-2022")</f>
        <v/>
      </c>
    </row>
    <row r="425" ht="15" customHeight="1">
      <c r="A425" t="inlineStr">
        <is>
          <t>A 38452-2022</t>
        </is>
      </c>
      <c r="B425" s="1" t="n">
        <v>44813</v>
      </c>
      <c r="C425" s="1" t="n">
        <v>45672</v>
      </c>
      <c r="D425" t="inlineStr">
        <is>
          <t>STOCKHOLMS LÄN</t>
        </is>
      </c>
      <c r="E425" t="inlineStr">
        <is>
          <t>SÖDERTÄLJE</t>
        </is>
      </c>
      <c r="F425" t="inlineStr">
        <is>
          <t>Kommuner</t>
        </is>
      </c>
      <c r="G425" t="n">
        <v>25</v>
      </c>
      <c r="H425" t="n">
        <v>0</v>
      </c>
      <c r="I425" t="n">
        <v>1</v>
      </c>
      <c r="J425" t="n">
        <v>0</v>
      </c>
      <c r="K425" t="n">
        <v>0</v>
      </c>
      <c r="L425" t="n">
        <v>0</v>
      </c>
      <c r="M425" t="n">
        <v>0</v>
      </c>
      <c r="N425" t="n">
        <v>0</v>
      </c>
      <c r="O425" t="n">
        <v>0</v>
      </c>
      <c r="P425" t="n">
        <v>0</v>
      </c>
      <c r="Q425" t="n">
        <v>1</v>
      </c>
      <c r="R425" s="2" t="inlineStr">
        <is>
          <t>Rödgul trumpetsvamp</t>
        </is>
      </c>
      <c r="S425">
        <f>HYPERLINK("https://klasma.github.io/Logging_0181/artfynd/A 38452-2022 artfynd.xlsx", "A 38452-2022")</f>
        <v/>
      </c>
      <c r="T425">
        <f>HYPERLINK("https://klasma.github.io/Logging_0181/kartor/A 38452-2022 karta.png", "A 38452-2022")</f>
        <v/>
      </c>
      <c r="V425">
        <f>HYPERLINK("https://klasma.github.io/Logging_0181/klagomål/A 38452-2022 FSC-klagomål.docx", "A 38452-2022")</f>
        <v/>
      </c>
      <c r="W425">
        <f>HYPERLINK("https://klasma.github.io/Logging_0181/klagomålsmail/A 38452-2022 FSC-klagomål mail.docx", "A 38452-2022")</f>
        <v/>
      </c>
      <c r="X425">
        <f>HYPERLINK("https://klasma.github.io/Logging_0181/tillsyn/A 38452-2022 tillsynsbegäran.docx", "A 38452-2022")</f>
        <v/>
      </c>
      <c r="Y425">
        <f>HYPERLINK("https://klasma.github.io/Logging_0181/tillsynsmail/A 38452-2022 tillsynsbegäran mail.docx", "A 38452-2022")</f>
        <v/>
      </c>
    </row>
    <row r="426" ht="15" customHeight="1">
      <c r="A426" t="inlineStr">
        <is>
          <t>A 39318-2022</t>
        </is>
      </c>
      <c r="B426" s="1" t="n">
        <v>44817</v>
      </c>
      <c r="C426" s="1" t="n">
        <v>45672</v>
      </c>
      <c r="D426" t="inlineStr">
        <is>
          <t>STOCKHOLMS LÄN</t>
        </is>
      </c>
      <c r="E426" t="inlineStr">
        <is>
          <t>NORRTÄLJE</t>
        </is>
      </c>
      <c r="G426" t="n">
        <v>2.4</v>
      </c>
      <c r="H426" t="n">
        <v>1</v>
      </c>
      <c r="I426" t="n">
        <v>0</v>
      </c>
      <c r="J426" t="n">
        <v>0</v>
      </c>
      <c r="K426" t="n">
        <v>1</v>
      </c>
      <c r="L426" t="n">
        <v>0</v>
      </c>
      <c r="M426" t="n">
        <v>0</v>
      </c>
      <c r="N426" t="n">
        <v>0</v>
      </c>
      <c r="O426" t="n">
        <v>1</v>
      </c>
      <c r="P426" t="n">
        <v>1</v>
      </c>
      <c r="Q426" t="n">
        <v>1</v>
      </c>
      <c r="R426" s="2" t="inlineStr">
        <is>
          <t>Stare</t>
        </is>
      </c>
      <c r="S426">
        <f>HYPERLINK("https://klasma.github.io/Logging_0188/artfynd/A 39318-2022 artfynd.xlsx", "A 39318-2022")</f>
        <v/>
      </c>
      <c r="T426">
        <f>HYPERLINK("https://klasma.github.io/Logging_0188/kartor/A 39318-2022 karta.png", "A 39318-2022")</f>
        <v/>
      </c>
      <c r="V426">
        <f>HYPERLINK("https://klasma.github.io/Logging_0188/klagomål/A 39318-2022 FSC-klagomål.docx", "A 39318-2022")</f>
        <v/>
      </c>
      <c r="W426">
        <f>HYPERLINK("https://klasma.github.io/Logging_0188/klagomålsmail/A 39318-2022 FSC-klagomål mail.docx", "A 39318-2022")</f>
        <v/>
      </c>
      <c r="X426">
        <f>HYPERLINK("https://klasma.github.io/Logging_0188/tillsyn/A 39318-2022 tillsynsbegäran.docx", "A 39318-2022")</f>
        <v/>
      </c>
      <c r="Y426">
        <f>HYPERLINK("https://klasma.github.io/Logging_0188/tillsynsmail/A 39318-2022 tillsynsbegäran mail.docx", "A 39318-2022")</f>
        <v/>
      </c>
    </row>
    <row r="427" ht="15" customHeight="1">
      <c r="A427" t="inlineStr">
        <is>
          <t>A 39636-2022</t>
        </is>
      </c>
      <c r="B427" s="1" t="n">
        <v>44818</v>
      </c>
      <c r="C427" s="1" t="n">
        <v>45672</v>
      </c>
      <c r="D427" t="inlineStr">
        <is>
          <t>STOCKHOLMS LÄN</t>
        </is>
      </c>
      <c r="E427" t="inlineStr">
        <is>
          <t>HANINGE</t>
        </is>
      </c>
      <c r="G427" t="n">
        <v>2</v>
      </c>
      <c r="H427" t="n">
        <v>0</v>
      </c>
      <c r="I427" t="n">
        <v>0</v>
      </c>
      <c r="J427" t="n">
        <v>0</v>
      </c>
      <c r="K427" t="n">
        <v>1</v>
      </c>
      <c r="L427" t="n">
        <v>0</v>
      </c>
      <c r="M427" t="n">
        <v>0</v>
      </c>
      <c r="N427" t="n">
        <v>0</v>
      </c>
      <c r="O427" t="n">
        <v>1</v>
      </c>
      <c r="P427" t="n">
        <v>1</v>
      </c>
      <c r="Q427" t="n">
        <v>1</v>
      </c>
      <c r="R427" s="2" t="inlineStr">
        <is>
          <t>Koppartaggsvamp</t>
        </is>
      </c>
      <c r="S427">
        <f>HYPERLINK("https://klasma.github.io/Logging_0136/artfynd/A 39636-2022 artfynd.xlsx", "A 39636-2022")</f>
        <v/>
      </c>
      <c r="T427">
        <f>HYPERLINK("https://klasma.github.io/Logging_0136/kartor/A 39636-2022 karta.png", "A 39636-2022")</f>
        <v/>
      </c>
      <c r="V427">
        <f>HYPERLINK("https://klasma.github.io/Logging_0136/klagomål/A 39636-2022 FSC-klagomål.docx", "A 39636-2022")</f>
        <v/>
      </c>
      <c r="W427">
        <f>HYPERLINK("https://klasma.github.io/Logging_0136/klagomålsmail/A 39636-2022 FSC-klagomål mail.docx", "A 39636-2022")</f>
        <v/>
      </c>
      <c r="X427">
        <f>HYPERLINK("https://klasma.github.io/Logging_0136/tillsyn/A 39636-2022 tillsynsbegäran.docx", "A 39636-2022")</f>
        <v/>
      </c>
      <c r="Y427">
        <f>HYPERLINK("https://klasma.github.io/Logging_0136/tillsynsmail/A 39636-2022 tillsynsbegäran mail.docx", "A 39636-2022")</f>
        <v/>
      </c>
    </row>
    <row r="428" ht="15" customHeight="1">
      <c r="A428" t="inlineStr">
        <is>
          <t>A 40672-2022</t>
        </is>
      </c>
      <c r="B428" s="1" t="n">
        <v>44824</v>
      </c>
      <c r="C428" s="1" t="n">
        <v>45672</v>
      </c>
      <c r="D428" t="inlineStr">
        <is>
          <t>STOCKHOLMS LÄN</t>
        </is>
      </c>
      <c r="E428" t="inlineStr">
        <is>
          <t>NORRTÄLJE</t>
        </is>
      </c>
      <c r="F428" t="inlineStr">
        <is>
          <t>Övriga Aktiebolag</t>
        </is>
      </c>
      <c r="G428" t="n">
        <v>1.3</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40672-2022 artfynd.xlsx", "A 40672-2022")</f>
        <v/>
      </c>
      <c r="T428">
        <f>HYPERLINK("https://klasma.github.io/Logging_0188/kartor/A 40672-2022 karta.png", "A 40672-2022")</f>
        <v/>
      </c>
      <c r="V428">
        <f>HYPERLINK("https://klasma.github.io/Logging_0188/klagomål/A 40672-2022 FSC-klagomål.docx", "A 40672-2022")</f>
        <v/>
      </c>
      <c r="W428">
        <f>HYPERLINK("https://klasma.github.io/Logging_0188/klagomålsmail/A 40672-2022 FSC-klagomål mail.docx", "A 40672-2022")</f>
        <v/>
      </c>
      <c r="X428">
        <f>HYPERLINK("https://klasma.github.io/Logging_0188/tillsyn/A 40672-2022 tillsynsbegäran.docx", "A 40672-2022")</f>
        <v/>
      </c>
      <c r="Y428">
        <f>HYPERLINK("https://klasma.github.io/Logging_0188/tillsynsmail/A 40672-2022 tillsynsbegäran mail.docx", "A 40672-2022")</f>
        <v/>
      </c>
    </row>
    <row r="429" ht="15" customHeight="1">
      <c r="A429" t="inlineStr">
        <is>
          <t>A 44709-2022</t>
        </is>
      </c>
      <c r="B429" s="1" t="n">
        <v>44839</v>
      </c>
      <c r="C429" s="1" t="n">
        <v>45672</v>
      </c>
      <c r="D429" t="inlineStr">
        <is>
          <t>STOCKHOLMS LÄN</t>
        </is>
      </c>
      <c r="E429" t="inlineStr">
        <is>
          <t>NORRTÄLJE</t>
        </is>
      </c>
      <c r="G429" t="n">
        <v>16.3</v>
      </c>
      <c r="H429" t="n">
        <v>0</v>
      </c>
      <c r="I429" t="n">
        <v>0</v>
      </c>
      <c r="J429" t="n">
        <v>1</v>
      </c>
      <c r="K429" t="n">
        <v>0</v>
      </c>
      <c r="L429" t="n">
        <v>0</v>
      </c>
      <c r="M429" t="n">
        <v>0</v>
      </c>
      <c r="N429" t="n">
        <v>0</v>
      </c>
      <c r="O429" t="n">
        <v>1</v>
      </c>
      <c r="P429" t="n">
        <v>0</v>
      </c>
      <c r="Q429" t="n">
        <v>1</v>
      </c>
      <c r="R429" s="2" t="inlineStr">
        <is>
          <t>Asppraktbagge</t>
        </is>
      </c>
      <c r="S429">
        <f>HYPERLINK("https://klasma.github.io/Logging_0188/artfynd/A 44709-2022 artfynd.xlsx", "A 44709-2022")</f>
        <v/>
      </c>
      <c r="T429">
        <f>HYPERLINK("https://klasma.github.io/Logging_0188/kartor/A 44709-2022 karta.png", "A 44709-2022")</f>
        <v/>
      </c>
      <c r="V429">
        <f>HYPERLINK("https://klasma.github.io/Logging_0188/klagomål/A 44709-2022 FSC-klagomål.docx", "A 44709-2022")</f>
        <v/>
      </c>
      <c r="W429">
        <f>HYPERLINK("https://klasma.github.io/Logging_0188/klagomålsmail/A 44709-2022 FSC-klagomål mail.docx", "A 44709-2022")</f>
        <v/>
      </c>
      <c r="X429">
        <f>HYPERLINK("https://klasma.github.io/Logging_0188/tillsyn/A 44709-2022 tillsynsbegäran.docx", "A 44709-2022")</f>
        <v/>
      </c>
      <c r="Y429">
        <f>HYPERLINK("https://klasma.github.io/Logging_0188/tillsynsmail/A 44709-2022 tillsynsbegäran mail.docx", "A 44709-2022")</f>
        <v/>
      </c>
    </row>
    <row r="430" ht="15" customHeight="1">
      <c r="A430" t="inlineStr">
        <is>
          <t>A 44958-2022</t>
        </is>
      </c>
      <c r="B430" s="1" t="n">
        <v>44841</v>
      </c>
      <c r="C430" s="1" t="n">
        <v>45672</v>
      </c>
      <c r="D430" t="inlineStr">
        <is>
          <t>STOCKHOLMS LÄN</t>
        </is>
      </c>
      <c r="E430" t="inlineStr">
        <is>
          <t>SÖDERTÄLJE</t>
        </is>
      </c>
      <c r="F430" t="inlineStr">
        <is>
          <t>Sveaskog</t>
        </is>
      </c>
      <c r="G430" t="n">
        <v>0.5</v>
      </c>
      <c r="H430" t="n">
        <v>0</v>
      </c>
      <c r="I430" t="n">
        <v>0</v>
      </c>
      <c r="J430" t="n">
        <v>1</v>
      </c>
      <c r="K430" t="n">
        <v>0</v>
      </c>
      <c r="L430" t="n">
        <v>0</v>
      </c>
      <c r="M430" t="n">
        <v>0</v>
      </c>
      <c r="N430" t="n">
        <v>0</v>
      </c>
      <c r="O430" t="n">
        <v>1</v>
      </c>
      <c r="P430" t="n">
        <v>0</v>
      </c>
      <c r="Q430" t="n">
        <v>1</v>
      </c>
      <c r="R430" s="2" t="inlineStr">
        <is>
          <t>Slåtterfibbla</t>
        </is>
      </c>
      <c r="S430">
        <f>HYPERLINK("https://klasma.github.io/Logging_0181/artfynd/A 44958-2022 artfynd.xlsx", "A 44958-2022")</f>
        <v/>
      </c>
      <c r="T430">
        <f>HYPERLINK("https://klasma.github.io/Logging_0181/kartor/A 44958-2022 karta.png", "A 44958-2022")</f>
        <v/>
      </c>
      <c r="V430">
        <f>HYPERLINK("https://klasma.github.io/Logging_0181/klagomål/A 44958-2022 FSC-klagomål.docx", "A 44958-2022")</f>
        <v/>
      </c>
      <c r="W430">
        <f>HYPERLINK("https://klasma.github.io/Logging_0181/klagomålsmail/A 44958-2022 FSC-klagomål mail.docx", "A 44958-2022")</f>
        <v/>
      </c>
      <c r="X430">
        <f>HYPERLINK("https://klasma.github.io/Logging_0181/tillsyn/A 44958-2022 tillsynsbegäran.docx", "A 44958-2022")</f>
        <v/>
      </c>
      <c r="Y430">
        <f>HYPERLINK("https://klasma.github.io/Logging_0181/tillsynsmail/A 44958-2022 tillsynsbegäran mail.docx", "A 44958-2022")</f>
        <v/>
      </c>
    </row>
    <row r="431" ht="15" customHeight="1">
      <c r="A431" t="inlineStr">
        <is>
          <t>A 47898-2022</t>
        </is>
      </c>
      <c r="B431" s="1" t="n">
        <v>44855</v>
      </c>
      <c r="C431" s="1" t="n">
        <v>45672</v>
      </c>
      <c r="D431" t="inlineStr">
        <is>
          <t>STOCKHOLMS LÄN</t>
        </is>
      </c>
      <c r="E431" t="inlineStr">
        <is>
          <t>NORRTÄLJE</t>
        </is>
      </c>
      <c r="G431" t="n">
        <v>6.7</v>
      </c>
      <c r="H431" t="n">
        <v>1</v>
      </c>
      <c r="I431" t="n">
        <v>1</v>
      </c>
      <c r="J431" t="n">
        <v>0</v>
      </c>
      <c r="K431" t="n">
        <v>0</v>
      </c>
      <c r="L431" t="n">
        <v>0</v>
      </c>
      <c r="M431" t="n">
        <v>0</v>
      </c>
      <c r="N431" t="n">
        <v>0</v>
      </c>
      <c r="O431" t="n">
        <v>0</v>
      </c>
      <c r="P431" t="n">
        <v>0</v>
      </c>
      <c r="Q431" t="n">
        <v>1</v>
      </c>
      <c r="R431" s="2" t="inlineStr">
        <is>
          <t>Guckusko</t>
        </is>
      </c>
      <c r="S431">
        <f>HYPERLINK("https://klasma.github.io/Logging_0188/artfynd/A 47898-2022 artfynd.xlsx", "A 47898-2022")</f>
        <v/>
      </c>
      <c r="T431">
        <f>HYPERLINK("https://klasma.github.io/Logging_0188/kartor/A 47898-2022 karta.png", "A 47898-2022")</f>
        <v/>
      </c>
      <c r="V431">
        <f>HYPERLINK("https://klasma.github.io/Logging_0188/klagomål/A 47898-2022 FSC-klagomål.docx", "A 47898-2022")</f>
        <v/>
      </c>
      <c r="W431">
        <f>HYPERLINK("https://klasma.github.io/Logging_0188/klagomålsmail/A 47898-2022 FSC-klagomål mail.docx", "A 47898-2022")</f>
        <v/>
      </c>
      <c r="X431">
        <f>HYPERLINK("https://klasma.github.io/Logging_0188/tillsyn/A 47898-2022 tillsynsbegäran.docx", "A 47898-2022")</f>
        <v/>
      </c>
      <c r="Y431">
        <f>HYPERLINK("https://klasma.github.io/Logging_0188/tillsynsmail/A 47898-2022 tillsynsbegäran mail.docx", "A 47898-2022")</f>
        <v/>
      </c>
    </row>
    <row r="432" ht="15" customHeight="1">
      <c r="A432" t="inlineStr">
        <is>
          <t>A 48658-2022</t>
        </is>
      </c>
      <c r="B432" s="1" t="n">
        <v>44859</v>
      </c>
      <c r="C432" s="1" t="n">
        <v>45672</v>
      </c>
      <c r="D432" t="inlineStr">
        <is>
          <t>STOCKHOLMS LÄN</t>
        </is>
      </c>
      <c r="E432" t="inlineStr">
        <is>
          <t>VÄRMDÖ</t>
        </is>
      </c>
      <c r="G432" t="n">
        <v>4.2</v>
      </c>
      <c r="H432" t="n">
        <v>0</v>
      </c>
      <c r="I432" t="n">
        <v>0</v>
      </c>
      <c r="J432" t="n">
        <v>1</v>
      </c>
      <c r="K432" t="n">
        <v>0</v>
      </c>
      <c r="L432" t="n">
        <v>0</v>
      </c>
      <c r="M432" t="n">
        <v>0</v>
      </c>
      <c r="N432" t="n">
        <v>0</v>
      </c>
      <c r="O432" t="n">
        <v>1</v>
      </c>
      <c r="P432" t="n">
        <v>0</v>
      </c>
      <c r="Q432" t="n">
        <v>1</v>
      </c>
      <c r="R432" s="2" t="inlineStr">
        <is>
          <t>Tallticka</t>
        </is>
      </c>
      <c r="S432">
        <f>HYPERLINK("https://klasma.github.io/Logging_0120/artfynd/A 48658-2022 artfynd.xlsx", "A 48658-2022")</f>
        <v/>
      </c>
      <c r="T432">
        <f>HYPERLINK("https://klasma.github.io/Logging_0120/kartor/A 48658-2022 karta.png", "A 48658-2022")</f>
        <v/>
      </c>
      <c r="V432">
        <f>HYPERLINK("https://klasma.github.io/Logging_0120/klagomål/A 48658-2022 FSC-klagomål.docx", "A 48658-2022")</f>
        <v/>
      </c>
      <c r="W432">
        <f>HYPERLINK("https://klasma.github.io/Logging_0120/klagomålsmail/A 48658-2022 FSC-klagomål mail.docx", "A 48658-2022")</f>
        <v/>
      </c>
      <c r="X432">
        <f>HYPERLINK("https://klasma.github.io/Logging_0120/tillsyn/A 48658-2022 tillsynsbegäran.docx", "A 48658-2022")</f>
        <v/>
      </c>
      <c r="Y432">
        <f>HYPERLINK("https://klasma.github.io/Logging_0120/tillsynsmail/A 48658-2022 tillsynsbegäran mail.docx", "A 48658-2022")</f>
        <v/>
      </c>
    </row>
    <row r="433" ht="15" customHeight="1">
      <c r="A433" t="inlineStr">
        <is>
          <t>A 50854-2022</t>
        </is>
      </c>
      <c r="B433" s="1" t="n">
        <v>44863</v>
      </c>
      <c r="C433" s="1" t="n">
        <v>45672</v>
      </c>
      <c r="D433" t="inlineStr">
        <is>
          <t>STOCKHOLMS LÄN</t>
        </is>
      </c>
      <c r="E433" t="inlineStr">
        <is>
          <t>NORRTÄLJE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HYPERLINK("https://klasma.github.io/Logging_0188/artfynd/A 50854-2022 artfynd.xlsx", "A 50854-2022")</f>
        <v/>
      </c>
      <c r="T433">
        <f>HYPERLINK("https://klasma.github.io/Logging_0188/kartor/A 50854-2022 karta.png", "A 50854-2022")</f>
        <v/>
      </c>
      <c r="V433">
        <f>HYPERLINK("https://klasma.github.io/Logging_0188/klagomål/A 50854-2022 FSC-klagomål.docx", "A 50854-2022")</f>
        <v/>
      </c>
      <c r="W433">
        <f>HYPERLINK("https://klasma.github.io/Logging_0188/klagomålsmail/A 50854-2022 FSC-klagomål mail.docx", "A 50854-2022")</f>
        <v/>
      </c>
      <c r="X433">
        <f>HYPERLINK("https://klasma.github.io/Logging_0188/tillsyn/A 50854-2022 tillsynsbegäran.docx", "A 50854-2022")</f>
        <v/>
      </c>
      <c r="Y433">
        <f>HYPERLINK("https://klasma.github.io/Logging_0188/tillsynsmail/A 50854-2022 tillsynsbegäran mail.docx", "A 50854-2022")</f>
        <v/>
      </c>
    </row>
    <row r="434" ht="15" customHeight="1">
      <c r="A434" t="inlineStr">
        <is>
          <t>A 51189-2022</t>
        </is>
      </c>
      <c r="B434" s="1" t="n">
        <v>44865</v>
      </c>
      <c r="C434" s="1" t="n">
        <v>45672</v>
      </c>
      <c r="D434" t="inlineStr">
        <is>
          <t>STOCKHOLMS LÄN</t>
        </is>
      </c>
      <c r="E434" t="inlineStr">
        <is>
          <t>SIGTUNA</t>
        </is>
      </c>
      <c r="G434" t="n">
        <v>32.8</v>
      </c>
      <c r="H434" t="n">
        <v>0</v>
      </c>
      <c r="I434" t="n">
        <v>0</v>
      </c>
      <c r="J434" t="n">
        <v>1</v>
      </c>
      <c r="K434" t="n">
        <v>0</v>
      </c>
      <c r="L434" t="n">
        <v>0</v>
      </c>
      <c r="M434" t="n">
        <v>0</v>
      </c>
      <c r="N434" t="n">
        <v>0</v>
      </c>
      <c r="O434" t="n">
        <v>1</v>
      </c>
      <c r="P434" t="n">
        <v>0</v>
      </c>
      <c r="Q434" t="n">
        <v>1</v>
      </c>
      <c r="R434" s="2" t="inlineStr">
        <is>
          <t>Vedskivlav</t>
        </is>
      </c>
      <c r="S434">
        <f>HYPERLINK("https://klasma.github.io/Logging_0191/artfynd/A 51189-2022 artfynd.xlsx", "A 51189-2022")</f>
        <v/>
      </c>
      <c r="T434">
        <f>HYPERLINK("https://klasma.github.io/Logging_0191/kartor/A 51189-2022 karta.png", "A 51189-2022")</f>
        <v/>
      </c>
      <c r="V434">
        <f>HYPERLINK("https://klasma.github.io/Logging_0191/klagomål/A 51189-2022 FSC-klagomål.docx", "A 51189-2022")</f>
        <v/>
      </c>
      <c r="W434">
        <f>HYPERLINK("https://klasma.github.io/Logging_0191/klagomålsmail/A 51189-2022 FSC-klagomål mail.docx", "A 51189-2022")</f>
        <v/>
      </c>
      <c r="X434">
        <f>HYPERLINK("https://klasma.github.io/Logging_0191/tillsyn/A 51189-2022 tillsynsbegäran.docx", "A 51189-2022")</f>
        <v/>
      </c>
      <c r="Y434">
        <f>HYPERLINK("https://klasma.github.io/Logging_0191/tillsynsmail/A 51189-2022 tillsynsbegäran mail.docx", "A 51189-2022")</f>
        <v/>
      </c>
    </row>
    <row r="435" ht="15" customHeight="1">
      <c r="A435" t="inlineStr">
        <is>
          <t>A 52130-2022</t>
        </is>
      </c>
      <c r="B435" s="1" t="n">
        <v>44868</v>
      </c>
      <c r="C435" s="1" t="n">
        <v>45672</v>
      </c>
      <c r="D435" t="inlineStr">
        <is>
          <t>STOCKHOLMS LÄN</t>
        </is>
      </c>
      <c r="E435" t="inlineStr">
        <is>
          <t>NORRTÄLJE</t>
        </is>
      </c>
      <c r="G435" t="n">
        <v>3.7</v>
      </c>
      <c r="H435" t="n">
        <v>0</v>
      </c>
      <c r="I435" t="n">
        <v>0</v>
      </c>
      <c r="J435" t="n">
        <v>1</v>
      </c>
      <c r="K435" t="n">
        <v>0</v>
      </c>
      <c r="L435" t="n">
        <v>0</v>
      </c>
      <c r="M435" t="n">
        <v>0</v>
      </c>
      <c r="N435" t="n">
        <v>0</v>
      </c>
      <c r="O435" t="n">
        <v>1</v>
      </c>
      <c r="P435" t="n">
        <v>0</v>
      </c>
      <c r="Q435" t="n">
        <v>1</v>
      </c>
      <c r="R435" s="2" t="inlineStr">
        <is>
          <t>Flattoppad klubbsvamp</t>
        </is>
      </c>
      <c r="S435">
        <f>HYPERLINK("https://klasma.github.io/Logging_0188/artfynd/A 52130-2022 artfynd.xlsx", "A 52130-2022")</f>
        <v/>
      </c>
      <c r="T435">
        <f>HYPERLINK("https://klasma.github.io/Logging_0188/kartor/A 52130-2022 karta.png", "A 52130-2022")</f>
        <v/>
      </c>
      <c r="V435">
        <f>HYPERLINK("https://klasma.github.io/Logging_0188/klagomål/A 52130-2022 FSC-klagomål.docx", "A 52130-2022")</f>
        <v/>
      </c>
      <c r="W435">
        <f>HYPERLINK("https://klasma.github.io/Logging_0188/klagomålsmail/A 52130-2022 FSC-klagomål mail.docx", "A 52130-2022")</f>
        <v/>
      </c>
      <c r="X435">
        <f>HYPERLINK("https://klasma.github.io/Logging_0188/tillsyn/A 52130-2022 tillsynsbegäran.docx", "A 52130-2022")</f>
        <v/>
      </c>
      <c r="Y435">
        <f>HYPERLINK("https://klasma.github.io/Logging_0188/tillsynsmail/A 52130-2022 tillsynsbegäran mail.docx", "A 52130-2022")</f>
        <v/>
      </c>
    </row>
    <row r="436" ht="15" customHeight="1">
      <c r="A436" t="inlineStr">
        <is>
          <t>A 61011-2022</t>
        </is>
      </c>
      <c r="B436" s="1" t="n">
        <v>44914</v>
      </c>
      <c r="C436" s="1" t="n">
        <v>45672</v>
      </c>
      <c r="D436" t="inlineStr">
        <is>
          <t>STOCKHOLMS LÄN</t>
        </is>
      </c>
      <c r="E436" t="inlineStr">
        <is>
          <t>NORRTÄLJE</t>
        </is>
      </c>
      <c r="G436" t="n">
        <v>2.2</v>
      </c>
      <c r="H436" t="n">
        <v>0</v>
      </c>
      <c r="I436" t="n">
        <v>0</v>
      </c>
      <c r="J436" t="n">
        <v>1</v>
      </c>
      <c r="K436" t="n">
        <v>0</v>
      </c>
      <c r="L436" t="n">
        <v>0</v>
      </c>
      <c r="M436" t="n">
        <v>0</v>
      </c>
      <c r="N436" t="n">
        <v>0</v>
      </c>
      <c r="O436" t="n">
        <v>1</v>
      </c>
      <c r="P436" t="n">
        <v>0</v>
      </c>
      <c r="Q436" t="n">
        <v>1</v>
      </c>
      <c r="R436" s="2" t="inlineStr">
        <is>
          <t>Orange taggsvamp</t>
        </is>
      </c>
      <c r="S436">
        <f>HYPERLINK("https://klasma.github.io/Logging_0188/artfynd/A 61011-2022 artfynd.xlsx", "A 61011-2022")</f>
        <v/>
      </c>
      <c r="T436">
        <f>HYPERLINK("https://klasma.github.io/Logging_0188/kartor/A 61011-2022 karta.png", "A 61011-2022")</f>
        <v/>
      </c>
      <c r="V436">
        <f>HYPERLINK("https://klasma.github.io/Logging_0188/klagomål/A 61011-2022 FSC-klagomål.docx", "A 61011-2022")</f>
        <v/>
      </c>
      <c r="W436">
        <f>HYPERLINK("https://klasma.github.io/Logging_0188/klagomålsmail/A 61011-2022 FSC-klagomål mail.docx", "A 61011-2022")</f>
        <v/>
      </c>
      <c r="X436">
        <f>HYPERLINK("https://klasma.github.io/Logging_0188/tillsyn/A 61011-2022 tillsynsbegäran.docx", "A 61011-2022")</f>
        <v/>
      </c>
      <c r="Y436">
        <f>HYPERLINK("https://klasma.github.io/Logging_0188/tillsynsmail/A 61011-2022 tillsynsbegäran mail.docx", "A 61011-2022")</f>
        <v/>
      </c>
    </row>
    <row r="437" ht="15" customHeight="1">
      <c r="A437" t="inlineStr">
        <is>
          <t>A 61372-2022</t>
        </is>
      </c>
      <c r="B437" s="1" t="n">
        <v>44915</v>
      </c>
      <c r="C437" s="1" t="n">
        <v>45672</v>
      </c>
      <c r="D437" t="inlineStr">
        <is>
          <t>STOCKHOLMS LÄN</t>
        </is>
      </c>
      <c r="E437" t="inlineStr">
        <is>
          <t>ÖSTERÅKER</t>
        </is>
      </c>
      <c r="G437" t="n">
        <v>4.3</v>
      </c>
      <c r="H437" t="n">
        <v>0</v>
      </c>
      <c r="I437" t="n">
        <v>1</v>
      </c>
      <c r="J437" t="n">
        <v>0</v>
      </c>
      <c r="K437" t="n">
        <v>0</v>
      </c>
      <c r="L437" t="n">
        <v>0</v>
      </c>
      <c r="M437" t="n">
        <v>0</v>
      </c>
      <c r="N437" t="n">
        <v>0</v>
      </c>
      <c r="O437" t="n">
        <v>0</v>
      </c>
      <c r="P437" t="n">
        <v>0</v>
      </c>
      <c r="Q437" t="n">
        <v>1</v>
      </c>
      <c r="R437" s="2" t="inlineStr">
        <is>
          <t>Mindre märgborre</t>
        </is>
      </c>
      <c r="S437">
        <f>HYPERLINK("https://klasma.github.io/Logging_0117/artfynd/A 61372-2022 artfynd.xlsx", "A 61372-2022")</f>
        <v/>
      </c>
      <c r="T437">
        <f>HYPERLINK("https://klasma.github.io/Logging_0117/kartor/A 61372-2022 karta.png", "A 61372-2022")</f>
        <v/>
      </c>
      <c r="V437">
        <f>HYPERLINK("https://klasma.github.io/Logging_0117/klagomål/A 61372-2022 FSC-klagomål.docx", "A 61372-2022")</f>
        <v/>
      </c>
      <c r="W437">
        <f>HYPERLINK("https://klasma.github.io/Logging_0117/klagomålsmail/A 61372-2022 FSC-klagomål mail.docx", "A 61372-2022")</f>
        <v/>
      </c>
      <c r="X437">
        <f>HYPERLINK("https://klasma.github.io/Logging_0117/tillsyn/A 61372-2022 tillsynsbegäran.docx", "A 61372-2022")</f>
        <v/>
      </c>
      <c r="Y437">
        <f>HYPERLINK("https://klasma.github.io/Logging_0117/tillsynsmail/A 61372-2022 tillsynsbegäran mail.docx", "A 61372-2022")</f>
        <v/>
      </c>
    </row>
    <row r="438" ht="15" customHeight="1">
      <c r="A438" t="inlineStr">
        <is>
          <t>A 61732-2022</t>
        </is>
      </c>
      <c r="B438" s="1" t="n">
        <v>44917</v>
      </c>
      <c r="C438" s="1" t="n">
        <v>45672</v>
      </c>
      <c r="D438" t="inlineStr">
        <is>
          <t>STOCKHOLMS LÄN</t>
        </is>
      </c>
      <c r="E438" t="inlineStr">
        <is>
          <t>ÖSTERÅKER</t>
        </is>
      </c>
      <c r="G438" t="n">
        <v>2.2</v>
      </c>
      <c r="H438" t="n">
        <v>0</v>
      </c>
      <c r="I438" t="n">
        <v>0</v>
      </c>
      <c r="J438" t="n">
        <v>1</v>
      </c>
      <c r="K438" t="n">
        <v>0</v>
      </c>
      <c r="L438" t="n">
        <v>0</v>
      </c>
      <c r="M438" t="n">
        <v>0</v>
      </c>
      <c r="N438" t="n">
        <v>0</v>
      </c>
      <c r="O438" t="n">
        <v>1</v>
      </c>
      <c r="P438" t="n">
        <v>0</v>
      </c>
      <c r="Q438" t="n">
        <v>1</v>
      </c>
      <c r="R438" s="2" t="inlineStr">
        <is>
          <t>Ullticka</t>
        </is>
      </c>
      <c r="S438">
        <f>HYPERLINK("https://klasma.github.io/Logging_0117/artfynd/A 61732-2022 artfynd.xlsx", "A 61732-2022")</f>
        <v/>
      </c>
      <c r="T438">
        <f>HYPERLINK("https://klasma.github.io/Logging_0117/kartor/A 61732-2022 karta.png", "A 61732-2022")</f>
        <v/>
      </c>
      <c r="V438">
        <f>HYPERLINK("https://klasma.github.io/Logging_0117/klagomål/A 61732-2022 FSC-klagomål.docx", "A 61732-2022")</f>
        <v/>
      </c>
      <c r="W438">
        <f>HYPERLINK("https://klasma.github.io/Logging_0117/klagomålsmail/A 61732-2022 FSC-klagomål mail.docx", "A 61732-2022")</f>
        <v/>
      </c>
      <c r="X438">
        <f>HYPERLINK("https://klasma.github.io/Logging_0117/tillsyn/A 61732-2022 tillsynsbegäran.docx", "A 61732-2022")</f>
        <v/>
      </c>
      <c r="Y438">
        <f>HYPERLINK("https://klasma.github.io/Logging_0117/tillsynsmail/A 61732-2022 tillsynsbegäran mail.docx", "A 61732-2022")</f>
        <v/>
      </c>
    </row>
    <row r="439" ht="15" customHeight="1">
      <c r="A439" t="inlineStr">
        <is>
          <t>A 847-2023</t>
        </is>
      </c>
      <c r="B439" s="1" t="n">
        <v>44931</v>
      </c>
      <c r="C439" s="1" t="n">
        <v>45672</v>
      </c>
      <c r="D439" t="inlineStr">
        <is>
          <t>STOCKHOLMS LÄN</t>
        </is>
      </c>
      <c r="E439" t="inlineStr">
        <is>
          <t>ÖSTERÅKER</t>
        </is>
      </c>
      <c r="G439" t="n">
        <v>3</v>
      </c>
      <c r="H439" t="n">
        <v>1</v>
      </c>
      <c r="I439" t="n">
        <v>0</v>
      </c>
      <c r="J439" t="n">
        <v>1</v>
      </c>
      <c r="K439" t="n">
        <v>0</v>
      </c>
      <c r="L439" t="n">
        <v>0</v>
      </c>
      <c r="M439" t="n">
        <v>0</v>
      </c>
      <c r="N439" t="n">
        <v>0</v>
      </c>
      <c r="O439" t="n">
        <v>1</v>
      </c>
      <c r="P439" t="n">
        <v>0</v>
      </c>
      <c r="Q439" t="n">
        <v>1</v>
      </c>
      <c r="R439" s="2" t="inlineStr">
        <is>
          <t>Talltita</t>
        </is>
      </c>
      <c r="S439">
        <f>HYPERLINK("https://klasma.github.io/Logging_0117/artfynd/A 847-2023 artfynd.xlsx", "A 847-2023")</f>
        <v/>
      </c>
      <c r="T439">
        <f>HYPERLINK("https://klasma.github.io/Logging_0117/kartor/A 847-2023 karta.png", "A 847-2023")</f>
        <v/>
      </c>
      <c r="V439">
        <f>HYPERLINK("https://klasma.github.io/Logging_0117/klagomål/A 847-2023 FSC-klagomål.docx", "A 847-2023")</f>
        <v/>
      </c>
      <c r="W439">
        <f>HYPERLINK("https://klasma.github.io/Logging_0117/klagomålsmail/A 847-2023 FSC-klagomål mail.docx", "A 847-2023")</f>
        <v/>
      </c>
      <c r="X439">
        <f>HYPERLINK("https://klasma.github.io/Logging_0117/tillsyn/A 847-2023 tillsynsbegäran.docx", "A 847-2023")</f>
        <v/>
      </c>
      <c r="Y439">
        <f>HYPERLINK("https://klasma.github.io/Logging_0117/tillsynsmail/A 847-2023 tillsynsbegäran mail.docx", "A 847-2023")</f>
        <v/>
      </c>
      <c r="Z439">
        <f>HYPERLINK("https://klasma.github.io/Logging_0117/fåglar/A 847-2023 prioriterade fågelarter.docx", "A 847-2023")</f>
        <v/>
      </c>
    </row>
    <row r="440" ht="15" customHeight="1">
      <c r="A440" t="inlineStr">
        <is>
          <t>A 1691-2023</t>
        </is>
      </c>
      <c r="B440" s="1" t="n">
        <v>44938</v>
      </c>
      <c r="C440" s="1" t="n">
        <v>45672</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1691-2023 artfynd.xlsx", "A 1691-2023")</f>
        <v/>
      </c>
      <c r="T440">
        <f>HYPERLINK("https://klasma.github.io/Logging_0127/kartor/A 1691-2023 karta.png", "A 1691-2023")</f>
        <v/>
      </c>
      <c r="V440">
        <f>HYPERLINK("https://klasma.github.io/Logging_0127/klagomål/A 1691-2023 FSC-klagomål.docx", "A 1691-2023")</f>
        <v/>
      </c>
      <c r="W440">
        <f>HYPERLINK("https://klasma.github.io/Logging_0127/klagomålsmail/A 1691-2023 FSC-klagomål mail.docx", "A 1691-2023")</f>
        <v/>
      </c>
      <c r="X440">
        <f>HYPERLINK("https://klasma.github.io/Logging_0127/tillsyn/A 1691-2023 tillsynsbegäran.docx", "A 1691-2023")</f>
        <v/>
      </c>
      <c r="Y440">
        <f>HYPERLINK("https://klasma.github.io/Logging_0127/tillsynsmail/A 1691-2023 tillsynsbegäran mail.docx", "A 1691-2023")</f>
        <v/>
      </c>
    </row>
    <row r="441" ht="15" customHeight="1">
      <c r="A441" t="inlineStr">
        <is>
          <t>A 2987-2023</t>
        </is>
      </c>
      <c r="B441" s="1" t="n">
        <v>44945</v>
      </c>
      <c r="C441" s="1" t="n">
        <v>45672</v>
      </c>
      <c r="D441" t="inlineStr">
        <is>
          <t>STOCKHOLMS LÄN</t>
        </is>
      </c>
      <c r="E441" t="inlineStr">
        <is>
          <t>SALEM</t>
        </is>
      </c>
      <c r="F441" t="inlineStr">
        <is>
          <t>Kommuner</t>
        </is>
      </c>
      <c r="G441" t="n">
        <v>6.2</v>
      </c>
      <c r="H441" t="n">
        <v>0</v>
      </c>
      <c r="I441" t="n">
        <v>0</v>
      </c>
      <c r="J441" t="n">
        <v>1</v>
      </c>
      <c r="K441" t="n">
        <v>0</v>
      </c>
      <c r="L441" t="n">
        <v>0</v>
      </c>
      <c r="M441" t="n">
        <v>0</v>
      </c>
      <c r="N441" t="n">
        <v>0</v>
      </c>
      <c r="O441" t="n">
        <v>1</v>
      </c>
      <c r="P441" t="n">
        <v>0</v>
      </c>
      <c r="Q441" t="n">
        <v>1</v>
      </c>
      <c r="R441" s="2" t="inlineStr">
        <is>
          <t>Tallticka</t>
        </is>
      </c>
      <c r="S441">
        <f>HYPERLINK("https://klasma.github.io/Logging_0128/artfynd/A 2987-2023 artfynd.xlsx", "A 2987-2023")</f>
        <v/>
      </c>
      <c r="T441">
        <f>HYPERLINK("https://klasma.github.io/Logging_0128/kartor/A 2987-2023 karta.png", "A 2987-2023")</f>
        <v/>
      </c>
      <c r="V441">
        <f>HYPERLINK("https://klasma.github.io/Logging_0128/klagomål/A 2987-2023 FSC-klagomål.docx", "A 2987-2023")</f>
        <v/>
      </c>
      <c r="W441">
        <f>HYPERLINK("https://klasma.github.io/Logging_0128/klagomålsmail/A 2987-2023 FSC-klagomål mail.docx", "A 2987-2023")</f>
        <v/>
      </c>
      <c r="X441">
        <f>HYPERLINK("https://klasma.github.io/Logging_0128/tillsyn/A 2987-2023 tillsynsbegäran.docx", "A 2987-2023")</f>
        <v/>
      </c>
      <c r="Y441">
        <f>HYPERLINK("https://klasma.github.io/Logging_0128/tillsynsmail/A 2987-2023 tillsynsbegäran mail.docx", "A 2987-2023")</f>
        <v/>
      </c>
    </row>
    <row r="442" ht="15" customHeight="1">
      <c r="A442" t="inlineStr">
        <is>
          <t>A 3919-2023</t>
        </is>
      </c>
      <c r="B442" s="1" t="n">
        <v>44952</v>
      </c>
      <c r="C442" s="1" t="n">
        <v>45672</v>
      </c>
      <c r="D442" t="inlineStr">
        <is>
          <t>STOCKHOLMS LÄN</t>
        </is>
      </c>
      <c r="E442" t="inlineStr">
        <is>
          <t>ÖSTERÅKER</t>
        </is>
      </c>
      <c r="F442" t="inlineStr">
        <is>
          <t>Kommuner</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HYPERLINK("https://klasma.github.io/Logging_0117/artfynd/A 3919-2023 artfynd.xlsx", "A 3919-2023")</f>
        <v/>
      </c>
      <c r="T442">
        <f>HYPERLINK("https://klasma.github.io/Logging_0117/kartor/A 3919-2023 karta.png", "A 3919-2023")</f>
        <v/>
      </c>
      <c r="V442">
        <f>HYPERLINK("https://klasma.github.io/Logging_0117/klagomål/A 3919-2023 FSC-klagomål.docx", "A 3919-2023")</f>
        <v/>
      </c>
      <c r="W442">
        <f>HYPERLINK("https://klasma.github.io/Logging_0117/klagomålsmail/A 3919-2023 FSC-klagomål mail.docx", "A 3919-2023")</f>
        <v/>
      </c>
      <c r="X442">
        <f>HYPERLINK("https://klasma.github.io/Logging_0117/tillsyn/A 3919-2023 tillsynsbegäran.docx", "A 3919-2023")</f>
        <v/>
      </c>
      <c r="Y442">
        <f>HYPERLINK("https://klasma.github.io/Logging_0117/tillsynsmail/A 3919-2023 tillsynsbegäran mail.docx", "A 3919-2023")</f>
        <v/>
      </c>
    </row>
    <row r="443" ht="15" customHeight="1">
      <c r="A443" t="inlineStr">
        <is>
          <t>A 3914-2023</t>
        </is>
      </c>
      <c r="B443" s="1" t="n">
        <v>44952</v>
      </c>
      <c r="C443" s="1" t="n">
        <v>45672</v>
      </c>
      <c r="D443" t="inlineStr">
        <is>
          <t>STOCKHOLMS LÄN</t>
        </is>
      </c>
      <c r="E443" t="inlineStr">
        <is>
          <t>ÖSTERÅKER</t>
        </is>
      </c>
      <c r="F443" t="inlineStr">
        <is>
          <t>Kommuner</t>
        </is>
      </c>
      <c r="G443" t="n">
        <v>15.3</v>
      </c>
      <c r="H443" t="n">
        <v>1</v>
      </c>
      <c r="I443" t="n">
        <v>0</v>
      </c>
      <c r="J443" t="n">
        <v>0</v>
      </c>
      <c r="K443" t="n">
        <v>0</v>
      </c>
      <c r="L443" t="n">
        <v>0</v>
      </c>
      <c r="M443" t="n">
        <v>0</v>
      </c>
      <c r="N443" t="n">
        <v>0</v>
      </c>
      <c r="O443" t="n">
        <v>0</v>
      </c>
      <c r="P443" t="n">
        <v>0</v>
      </c>
      <c r="Q443" t="n">
        <v>1</v>
      </c>
      <c r="R443" s="2" t="inlineStr">
        <is>
          <t>Gråkråka</t>
        </is>
      </c>
      <c r="S443">
        <f>HYPERLINK("https://klasma.github.io/Logging_0117/artfynd/A 3914-2023 artfynd.xlsx", "A 3914-2023")</f>
        <v/>
      </c>
      <c r="T443">
        <f>HYPERLINK("https://klasma.github.io/Logging_0117/kartor/A 3914-2023 karta.png", "A 3914-2023")</f>
        <v/>
      </c>
      <c r="V443">
        <f>HYPERLINK("https://klasma.github.io/Logging_0117/klagomål/A 3914-2023 FSC-klagomål.docx", "A 3914-2023")</f>
        <v/>
      </c>
      <c r="W443">
        <f>HYPERLINK("https://klasma.github.io/Logging_0117/klagomålsmail/A 3914-2023 FSC-klagomål mail.docx", "A 3914-2023")</f>
        <v/>
      </c>
      <c r="X443">
        <f>HYPERLINK("https://klasma.github.io/Logging_0117/tillsyn/A 3914-2023 tillsynsbegäran.docx", "A 3914-2023")</f>
        <v/>
      </c>
      <c r="Y443">
        <f>HYPERLINK("https://klasma.github.io/Logging_0117/tillsynsmail/A 3914-2023 tillsynsbegäran mail.docx", "A 3914-2023")</f>
        <v/>
      </c>
    </row>
    <row r="444" ht="15" customHeight="1">
      <c r="A444" t="inlineStr">
        <is>
          <t>A 4385-2023</t>
        </is>
      </c>
      <c r="B444" s="1" t="n">
        <v>44955</v>
      </c>
      <c r="C444" s="1" t="n">
        <v>45672</v>
      </c>
      <c r="D444" t="inlineStr">
        <is>
          <t>STOCKHOLMS LÄN</t>
        </is>
      </c>
      <c r="E444" t="inlineStr">
        <is>
          <t>NORRTÄLJE</t>
        </is>
      </c>
      <c r="G444" t="n">
        <v>7.8</v>
      </c>
      <c r="H444" t="n">
        <v>1</v>
      </c>
      <c r="I444" t="n">
        <v>1</v>
      </c>
      <c r="J444" t="n">
        <v>0</v>
      </c>
      <c r="K444" t="n">
        <v>0</v>
      </c>
      <c r="L444" t="n">
        <v>0</v>
      </c>
      <c r="M444" t="n">
        <v>0</v>
      </c>
      <c r="N444" t="n">
        <v>0</v>
      </c>
      <c r="O444" t="n">
        <v>0</v>
      </c>
      <c r="P444" t="n">
        <v>0</v>
      </c>
      <c r="Q444" t="n">
        <v>1</v>
      </c>
      <c r="R444" s="2" t="inlineStr">
        <is>
          <t>Skogsknipprot</t>
        </is>
      </c>
      <c r="S444">
        <f>HYPERLINK("https://klasma.github.io/Logging_0188/artfynd/A 4385-2023 artfynd.xlsx", "A 4385-2023")</f>
        <v/>
      </c>
      <c r="T444">
        <f>HYPERLINK("https://klasma.github.io/Logging_0188/kartor/A 4385-2023 karta.png", "A 4385-2023")</f>
        <v/>
      </c>
      <c r="V444">
        <f>HYPERLINK("https://klasma.github.io/Logging_0188/klagomål/A 4385-2023 FSC-klagomål.docx", "A 4385-2023")</f>
        <v/>
      </c>
      <c r="W444">
        <f>HYPERLINK("https://klasma.github.io/Logging_0188/klagomålsmail/A 4385-2023 FSC-klagomål mail.docx", "A 4385-2023")</f>
        <v/>
      </c>
      <c r="X444">
        <f>HYPERLINK("https://klasma.github.io/Logging_0188/tillsyn/A 4385-2023 tillsynsbegäran.docx", "A 4385-2023")</f>
        <v/>
      </c>
      <c r="Y444">
        <f>HYPERLINK("https://klasma.github.io/Logging_0188/tillsynsmail/A 4385-2023 tillsynsbegäran mail.docx", "A 4385-2023")</f>
        <v/>
      </c>
    </row>
    <row r="445" ht="15" customHeight="1">
      <c r="A445" t="inlineStr">
        <is>
          <t>A 4595-2023</t>
        </is>
      </c>
      <c r="B445" s="1" t="n">
        <v>44956</v>
      </c>
      <c r="C445" s="1" t="n">
        <v>45672</v>
      </c>
      <c r="D445" t="inlineStr">
        <is>
          <t>STOCKHOLMS LÄN</t>
        </is>
      </c>
      <c r="E445" t="inlineStr">
        <is>
          <t>NORRTÄLJE</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HYPERLINK("https://klasma.github.io/Logging_0188/artfynd/A 4595-2023 artfynd.xlsx", "A 4595-2023")</f>
        <v/>
      </c>
      <c r="T445">
        <f>HYPERLINK("https://klasma.github.io/Logging_0188/kartor/A 4595-2023 karta.png", "A 4595-2023")</f>
        <v/>
      </c>
      <c r="V445">
        <f>HYPERLINK("https://klasma.github.io/Logging_0188/klagomål/A 4595-2023 FSC-klagomål.docx", "A 4595-2023")</f>
        <v/>
      </c>
      <c r="W445">
        <f>HYPERLINK("https://klasma.github.io/Logging_0188/klagomålsmail/A 4595-2023 FSC-klagomål mail.docx", "A 4595-2023")</f>
        <v/>
      </c>
      <c r="X445">
        <f>HYPERLINK("https://klasma.github.io/Logging_0188/tillsyn/A 4595-2023 tillsynsbegäran.docx", "A 4595-2023")</f>
        <v/>
      </c>
      <c r="Y445">
        <f>HYPERLINK("https://klasma.github.io/Logging_0188/tillsynsmail/A 4595-2023 tillsynsbegäran mail.docx", "A 4595-2023")</f>
        <v/>
      </c>
    </row>
    <row r="446" ht="15" customHeight="1">
      <c r="A446" t="inlineStr">
        <is>
          <t>A 4688-2023</t>
        </is>
      </c>
      <c r="B446" s="1" t="n">
        <v>44957</v>
      </c>
      <c r="C446" s="1" t="n">
        <v>45672</v>
      </c>
      <c r="D446" t="inlineStr">
        <is>
          <t>STOCKHOLMS LÄN</t>
        </is>
      </c>
      <c r="E446" t="inlineStr">
        <is>
          <t>NYNÄSHAMN</t>
        </is>
      </c>
      <c r="G446" t="n">
        <v>0.9</v>
      </c>
      <c r="H446" t="n">
        <v>1</v>
      </c>
      <c r="I446" t="n">
        <v>0</v>
      </c>
      <c r="J446" t="n">
        <v>1</v>
      </c>
      <c r="K446" t="n">
        <v>0</v>
      </c>
      <c r="L446" t="n">
        <v>0</v>
      </c>
      <c r="M446" t="n">
        <v>0</v>
      </c>
      <c r="N446" t="n">
        <v>0</v>
      </c>
      <c r="O446" t="n">
        <v>1</v>
      </c>
      <c r="P446" t="n">
        <v>0</v>
      </c>
      <c r="Q446" t="n">
        <v>1</v>
      </c>
      <c r="R446" s="2" t="inlineStr">
        <is>
          <t>Lundsångare</t>
        </is>
      </c>
      <c r="S446">
        <f>HYPERLINK("https://klasma.github.io/Logging_0192/artfynd/A 4688-2023 artfynd.xlsx", "A 4688-2023")</f>
        <v/>
      </c>
      <c r="T446">
        <f>HYPERLINK("https://klasma.github.io/Logging_0192/kartor/A 4688-2023 karta.png", "A 4688-2023")</f>
        <v/>
      </c>
      <c r="V446">
        <f>HYPERLINK("https://klasma.github.io/Logging_0192/klagomål/A 4688-2023 FSC-klagomål.docx", "A 4688-2023")</f>
        <v/>
      </c>
      <c r="W446">
        <f>HYPERLINK("https://klasma.github.io/Logging_0192/klagomålsmail/A 4688-2023 FSC-klagomål mail.docx", "A 4688-2023")</f>
        <v/>
      </c>
      <c r="X446">
        <f>HYPERLINK("https://klasma.github.io/Logging_0192/tillsyn/A 4688-2023 tillsynsbegäran.docx", "A 4688-2023")</f>
        <v/>
      </c>
      <c r="Y446">
        <f>HYPERLINK("https://klasma.github.io/Logging_0192/tillsynsmail/A 4688-2023 tillsynsbegäran mail.docx", "A 4688-2023")</f>
        <v/>
      </c>
      <c r="Z446">
        <f>HYPERLINK("https://klasma.github.io/Logging_0192/fåglar/A 4688-2023 prioriterade fågelarter.docx", "A 4688-2023")</f>
        <v/>
      </c>
    </row>
    <row r="447" ht="15" customHeight="1">
      <c r="A447" t="inlineStr">
        <is>
          <t>A 5574-2023</t>
        </is>
      </c>
      <c r="B447" s="1" t="n">
        <v>44960</v>
      </c>
      <c r="C447" s="1" t="n">
        <v>45672</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5574-2023 artfynd.xlsx", "A 5574-2023")</f>
        <v/>
      </c>
      <c r="T447">
        <f>HYPERLINK("https://klasma.github.io/Logging_0127/kartor/A 5574-2023 karta.png", "A 5574-2023")</f>
        <v/>
      </c>
      <c r="V447">
        <f>HYPERLINK("https://klasma.github.io/Logging_0127/klagomål/A 5574-2023 FSC-klagomål.docx", "A 5574-2023")</f>
        <v/>
      </c>
      <c r="W447">
        <f>HYPERLINK("https://klasma.github.io/Logging_0127/klagomålsmail/A 5574-2023 FSC-klagomål mail.docx", "A 5574-2023")</f>
        <v/>
      </c>
      <c r="X447">
        <f>HYPERLINK("https://klasma.github.io/Logging_0127/tillsyn/A 5574-2023 tillsynsbegäran.docx", "A 5574-2023")</f>
        <v/>
      </c>
      <c r="Y447">
        <f>HYPERLINK("https://klasma.github.io/Logging_0127/tillsynsmail/A 5574-2023 tillsynsbegäran mail.docx", "A 5574-2023")</f>
        <v/>
      </c>
    </row>
    <row r="448" ht="15" customHeight="1">
      <c r="A448" t="inlineStr">
        <is>
          <t>A 6381-2023</t>
        </is>
      </c>
      <c r="B448" s="1" t="n">
        <v>44965</v>
      </c>
      <c r="C448" s="1" t="n">
        <v>45672</v>
      </c>
      <c r="D448" t="inlineStr">
        <is>
          <t>STOCKHOLMS LÄN</t>
        </is>
      </c>
      <c r="E448" t="inlineStr">
        <is>
          <t>NORRTÄLJE</t>
        </is>
      </c>
      <c r="G448" t="n">
        <v>3.5</v>
      </c>
      <c r="H448" t="n">
        <v>1</v>
      </c>
      <c r="I448" t="n">
        <v>1</v>
      </c>
      <c r="J448" t="n">
        <v>0</v>
      </c>
      <c r="K448" t="n">
        <v>0</v>
      </c>
      <c r="L448" t="n">
        <v>0</v>
      </c>
      <c r="M448" t="n">
        <v>0</v>
      </c>
      <c r="N448" t="n">
        <v>0</v>
      </c>
      <c r="O448" t="n">
        <v>0</v>
      </c>
      <c r="P448" t="n">
        <v>0</v>
      </c>
      <c r="Q448" t="n">
        <v>1</v>
      </c>
      <c r="R448" s="2" t="inlineStr">
        <is>
          <t>Guckusko</t>
        </is>
      </c>
      <c r="S448">
        <f>HYPERLINK("https://klasma.github.io/Logging_0188/artfynd/A 6381-2023 artfynd.xlsx", "A 6381-2023")</f>
        <v/>
      </c>
      <c r="T448">
        <f>HYPERLINK("https://klasma.github.io/Logging_0188/kartor/A 6381-2023 karta.png", "A 6381-2023")</f>
        <v/>
      </c>
      <c r="V448">
        <f>HYPERLINK("https://klasma.github.io/Logging_0188/klagomål/A 6381-2023 FSC-klagomål.docx", "A 6381-2023")</f>
        <v/>
      </c>
      <c r="W448">
        <f>HYPERLINK("https://klasma.github.io/Logging_0188/klagomålsmail/A 6381-2023 FSC-klagomål mail.docx", "A 6381-2023")</f>
        <v/>
      </c>
      <c r="X448">
        <f>HYPERLINK("https://klasma.github.io/Logging_0188/tillsyn/A 6381-2023 tillsynsbegäran.docx", "A 6381-2023")</f>
        <v/>
      </c>
      <c r="Y448">
        <f>HYPERLINK("https://klasma.github.io/Logging_0188/tillsynsmail/A 6381-2023 tillsynsbegäran mail.docx", "A 6381-2023")</f>
        <v/>
      </c>
    </row>
    <row r="449" ht="15" customHeight="1">
      <c r="A449" t="inlineStr">
        <is>
          <t>A 6435-2023</t>
        </is>
      </c>
      <c r="B449" s="1" t="n">
        <v>44965</v>
      </c>
      <c r="C449" s="1" t="n">
        <v>45672</v>
      </c>
      <c r="D449" t="inlineStr">
        <is>
          <t>STOCKHOLMS LÄN</t>
        </is>
      </c>
      <c r="E449" t="inlineStr">
        <is>
          <t>NYNÄSHAMN</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HYPERLINK("https://klasma.github.io/Logging_0192/artfynd/A 6435-2023 artfynd.xlsx", "A 6435-2023")</f>
        <v/>
      </c>
      <c r="T449">
        <f>HYPERLINK("https://klasma.github.io/Logging_0192/kartor/A 6435-2023 karta.png", "A 6435-2023")</f>
        <v/>
      </c>
      <c r="V449">
        <f>HYPERLINK("https://klasma.github.io/Logging_0192/klagomål/A 6435-2023 FSC-klagomål.docx", "A 6435-2023")</f>
        <v/>
      </c>
      <c r="W449">
        <f>HYPERLINK("https://klasma.github.io/Logging_0192/klagomålsmail/A 6435-2023 FSC-klagomål mail.docx", "A 6435-2023")</f>
        <v/>
      </c>
      <c r="X449">
        <f>HYPERLINK("https://klasma.github.io/Logging_0192/tillsyn/A 6435-2023 tillsynsbegäran.docx", "A 6435-2023")</f>
        <v/>
      </c>
      <c r="Y449">
        <f>HYPERLINK("https://klasma.github.io/Logging_0192/tillsynsmail/A 6435-2023 tillsynsbegäran mail.docx", "A 6435-2023")</f>
        <v/>
      </c>
    </row>
    <row r="450" ht="15" customHeight="1">
      <c r="A450" t="inlineStr">
        <is>
          <t>A 7540-2023</t>
        </is>
      </c>
      <c r="B450" s="1" t="n">
        <v>44972</v>
      </c>
      <c r="C450" s="1" t="n">
        <v>45672</v>
      </c>
      <c r="D450" t="inlineStr">
        <is>
          <t>STOCKHOLMS LÄN</t>
        </is>
      </c>
      <c r="E450" t="inlineStr">
        <is>
          <t>NYNÄSHAMN</t>
        </is>
      </c>
      <c r="G450" t="n">
        <v>3.4</v>
      </c>
      <c r="H450" t="n">
        <v>1</v>
      </c>
      <c r="I450" t="n">
        <v>0</v>
      </c>
      <c r="J450" t="n">
        <v>1</v>
      </c>
      <c r="K450" t="n">
        <v>0</v>
      </c>
      <c r="L450" t="n">
        <v>0</v>
      </c>
      <c r="M450" t="n">
        <v>0</v>
      </c>
      <c r="N450" t="n">
        <v>0</v>
      </c>
      <c r="O450" t="n">
        <v>1</v>
      </c>
      <c r="P450" t="n">
        <v>0</v>
      </c>
      <c r="Q450" t="n">
        <v>1</v>
      </c>
      <c r="R450" s="2" t="inlineStr">
        <is>
          <t>Fjällvråk</t>
        </is>
      </c>
      <c r="S450">
        <f>HYPERLINK("https://klasma.github.io/Logging_0192/artfynd/A 7540-2023 artfynd.xlsx", "A 7540-2023")</f>
        <v/>
      </c>
      <c r="T450">
        <f>HYPERLINK("https://klasma.github.io/Logging_0192/kartor/A 7540-2023 karta.png", "A 7540-2023")</f>
        <v/>
      </c>
      <c r="V450">
        <f>HYPERLINK("https://klasma.github.io/Logging_0192/klagomål/A 7540-2023 FSC-klagomål.docx", "A 7540-2023")</f>
        <v/>
      </c>
      <c r="W450">
        <f>HYPERLINK("https://klasma.github.io/Logging_0192/klagomålsmail/A 7540-2023 FSC-klagomål mail.docx", "A 7540-2023")</f>
        <v/>
      </c>
      <c r="X450">
        <f>HYPERLINK("https://klasma.github.io/Logging_0192/tillsyn/A 7540-2023 tillsynsbegäran.docx", "A 7540-2023")</f>
        <v/>
      </c>
      <c r="Y450">
        <f>HYPERLINK("https://klasma.github.io/Logging_0192/tillsynsmail/A 7540-2023 tillsynsbegäran mail.docx", "A 7540-2023")</f>
        <v/>
      </c>
      <c r="Z450">
        <f>HYPERLINK("https://klasma.github.io/Logging_0192/fåglar/A 7540-2023 prioriterade fågelarter.docx", "A 7540-2023")</f>
        <v/>
      </c>
    </row>
    <row r="451" ht="15" customHeight="1">
      <c r="A451" t="inlineStr">
        <is>
          <t>A 7890-2023</t>
        </is>
      </c>
      <c r="B451" s="1" t="n">
        <v>44973</v>
      </c>
      <c r="C451" s="1" t="n">
        <v>45672</v>
      </c>
      <c r="D451" t="inlineStr">
        <is>
          <t>STOCKHOLMS LÄN</t>
        </is>
      </c>
      <c r="E451" t="inlineStr">
        <is>
          <t>VALLENTUNA</t>
        </is>
      </c>
      <c r="G451" t="n">
        <v>0.5</v>
      </c>
      <c r="H451" t="n">
        <v>0</v>
      </c>
      <c r="I451" t="n">
        <v>0</v>
      </c>
      <c r="J451" t="n">
        <v>1</v>
      </c>
      <c r="K451" t="n">
        <v>0</v>
      </c>
      <c r="L451" t="n">
        <v>0</v>
      </c>
      <c r="M451" t="n">
        <v>0</v>
      </c>
      <c r="N451" t="n">
        <v>0</v>
      </c>
      <c r="O451" t="n">
        <v>1</v>
      </c>
      <c r="P451" t="n">
        <v>0</v>
      </c>
      <c r="Q451" t="n">
        <v>1</v>
      </c>
      <c r="R451" s="2" t="inlineStr">
        <is>
          <t>Ullticka</t>
        </is>
      </c>
      <c r="S451">
        <f>HYPERLINK("https://klasma.github.io/Logging_0115/artfynd/A 7890-2023 artfynd.xlsx", "A 7890-2023")</f>
        <v/>
      </c>
      <c r="T451">
        <f>HYPERLINK("https://klasma.github.io/Logging_0115/kartor/A 7890-2023 karta.png", "A 7890-2023")</f>
        <v/>
      </c>
      <c r="V451">
        <f>HYPERLINK("https://klasma.github.io/Logging_0115/klagomål/A 7890-2023 FSC-klagomål.docx", "A 7890-2023")</f>
        <v/>
      </c>
      <c r="W451">
        <f>HYPERLINK("https://klasma.github.io/Logging_0115/klagomålsmail/A 7890-2023 FSC-klagomål mail.docx", "A 7890-2023")</f>
        <v/>
      </c>
      <c r="X451">
        <f>HYPERLINK("https://klasma.github.io/Logging_0115/tillsyn/A 7890-2023 tillsynsbegäran.docx", "A 7890-2023")</f>
        <v/>
      </c>
      <c r="Y451">
        <f>HYPERLINK("https://klasma.github.io/Logging_0115/tillsynsmail/A 7890-2023 tillsynsbegäran mail.docx", "A 7890-2023")</f>
        <v/>
      </c>
    </row>
    <row r="452" ht="15" customHeight="1">
      <c r="A452" t="inlineStr">
        <is>
          <t>A 7955-2023</t>
        </is>
      </c>
      <c r="B452" s="1" t="n">
        <v>44973</v>
      </c>
      <c r="C452" s="1" t="n">
        <v>45672</v>
      </c>
      <c r="D452" t="inlineStr">
        <is>
          <t>STOCKHOLMS LÄN</t>
        </is>
      </c>
      <c r="E452" t="inlineStr">
        <is>
          <t>UPPLANDS-BRO</t>
        </is>
      </c>
      <c r="G452" t="n">
        <v>2.9</v>
      </c>
      <c r="H452" t="n">
        <v>1</v>
      </c>
      <c r="I452" t="n">
        <v>0</v>
      </c>
      <c r="J452" t="n">
        <v>0</v>
      </c>
      <c r="K452" t="n">
        <v>1</v>
      </c>
      <c r="L452" t="n">
        <v>0</v>
      </c>
      <c r="M452" t="n">
        <v>0</v>
      </c>
      <c r="N452" t="n">
        <v>0</v>
      </c>
      <c r="O452" t="n">
        <v>1</v>
      </c>
      <c r="P452" t="n">
        <v>1</v>
      </c>
      <c r="Q452" t="n">
        <v>1</v>
      </c>
      <c r="R452" s="2" t="inlineStr">
        <is>
          <t>Bombmurkla</t>
        </is>
      </c>
      <c r="S452">
        <f>HYPERLINK("https://klasma.github.io/Logging_0139/artfynd/A 7955-2023 artfynd.xlsx", "A 7955-2023")</f>
        <v/>
      </c>
      <c r="T452">
        <f>HYPERLINK("https://klasma.github.io/Logging_0139/kartor/A 7955-2023 karta.png", "A 7955-2023")</f>
        <v/>
      </c>
      <c r="V452">
        <f>HYPERLINK("https://klasma.github.io/Logging_0139/klagomål/A 7955-2023 FSC-klagomål.docx", "A 7955-2023")</f>
        <v/>
      </c>
      <c r="W452">
        <f>HYPERLINK("https://klasma.github.io/Logging_0139/klagomålsmail/A 7955-2023 FSC-klagomål mail.docx", "A 7955-2023")</f>
        <v/>
      </c>
      <c r="X452">
        <f>HYPERLINK("https://klasma.github.io/Logging_0139/tillsyn/A 7955-2023 tillsynsbegäran.docx", "A 7955-2023")</f>
        <v/>
      </c>
      <c r="Y452">
        <f>HYPERLINK("https://klasma.github.io/Logging_0139/tillsynsmail/A 7955-2023 tillsynsbegäran mail.docx", "A 7955-2023")</f>
        <v/>
      </c>
    </row>
    <row r="453" ht="15" customHeight="1">
      <c r="A453" t="inlineStr">
        <is>
          <t>A 8149-2023</t>
        </is>
      </c>
      <c r="B453" s="1" t="n">
        <v>44974</v>
      </c>
      <c r="C453" s="1" t="n">
        <v>45672</v>
      </c>
      <c r="D453" t="inlineStr">
        <is>
          <t>STOCKHOLMS LÄN</t>
        </is>
      </c>
      <c r="E453" t="inlineStr">
        <is>
          <t>SIGTUNA</t>
        </is>
      </c>
      <c r="G453" t="n">
        <v>11.5</v>
      </c>
      <c r="H453" t="n">
        <v>0</v>
      </c>
      <c r="I453" t="n">
        <v>0</v>
      </c>
      <c r="J453" t="n">
        <v>0</v>
      </c>
      <c r="K453" t="n">
        <v>1</v>
      </c>
      <c r="L453" t="n">
        <v>0</v>
      </c>
      <c r="M453" t="n">
        <v>0</v>
      </c>
      <c r="N453" t="n">
        <v>0</v>
      </c>
      <c r="O453" t="n">
        <v>1</v>
      </c>
      <c r="P453" t="n">
        <v>1</v>
      </c>
      <c r="Q453" t="n">
        <v>1</v>
      </c>
      <c r="R453" s="2" t="inlineStr">
        <is>
          <t>Trubbdaggkåpa</t>
        </is>
      </c>
      <c r="S453">
        <f>HYPERLINK("https://klasma.github.io/Logging_0191/artfynd/A 8149-2023 artfynd.xlsx", "A 8149-2023")</f>
        <v/>
      </c>
      <c r="T453">
        <f>HYPERLINK("https://klasma.github.io/Logging_0191/kartor/A 8149-2023 karta.png", "A 8149-2023")</f>
        <v/>
      </c>
      <c r="V453">
        <f>HYPERLINK("https://klasma.github.io/Logging_0191/klagomål/A 8149-2023 FSC-klagomål.docx", "A 8149-2023")</f>
        <v/>
      </c>
      <c r="W453">
        <f>HYPERLINK("https://klasma.github.io/Logging_0191/klagomålsmail/A 8149-2023 FSC-klagomål mail.docx", "A 8149-2023")</f>
        <v/>
      </c>
      <c r="X453">
        <f>HYPERLINK("https://klasma.github.io/Logging_0191/tillsyn/A 8149-2023 tillsynsbegäran.docx", "A 8149-2023")</f>
        <v/>
      </c>
      <c r="Y453">
        <f>HYPERLINK("https://klasma.github.io/Logging_0191/tillsynsmail/A 8149-2023 tillsynsbegäran mail.docx", "A 8149-2023")</f>
        <v/>
      </c>
    </row>
    <row r="454" ht="15" customHeight="1">
      <c r="A454" t="inlineStr">
        <is>
          <t>A 9214-2023</t>
        </is>
      </c>
      <c r="B454" s="1" t="n">
        <v>44980</v>
      </c>
      <c r="C454" s="1" t="n">
        <v>45672</v>
      </c>
      <c r="D454" t="inlineStr">
        <is>
          <t>STOCKHOLMS LÄN</t>
        </is>
      </c>
      <c r="E454" t="inlineStr">
        <is>
          <t>NORRTÄLJE</t>
        </is>
      </c>
      <c r="G454" t="n">
        <v>10.6</v>
      </c>
      <c r="H454" t="n">
        <v>1</v>
      </c>
      <c r="I454" t="n">
        <v>1</v>
      </c>
      <c r="J454" t="n">
        <v>0</v>
      </c>
      <c r="K454" t="n">
        <v>0</v>
      </c>
      <c r="L454" t="n">
        <v>0</v>
      </c>
      <c r="M454" t="n">
        <v>0</v>
      </c>
      <c r="N454" t="n">
        <v>0</v>
      </c>
      <c r="O454" t="n">
        <v>0</v>
      </c>
      <c r="P454" t="n">
        <v>0</v>
      </c>
      <c r="Q454" t="n">
        <v>1</v>
      </c>
      <c r="R454" s="2" t="inlineStr">
        <is>
          <t>Guckusko</t>
        </is>
      </c>
      <c r="S454">
        <f>HYPERLINK("https://klasma.github.io/Logging_0188/artfynd/A 9214-2023 artfynd.xlsx", "A 9214-2023")</f>
        <v/>
      </c>
      <c r="T454">
        <f>HYPERLINK("https://klasma.github.io/Logging_0188/kartor/A 9214-2023 karta.png", "A 9214-2023")</f>
        <v/>
      </c>
      <c r="V454">
        <f>HYPERLINK("https://klasma.github.io/Logging_0188/klagomål/A 9214-2023 FSC-klagomål.docx", "A 9214-2023")</f>
        <v/>
      </c>
      <c r="W454">
        <f>HYPERLINK("https://klasma.github.io/Logging_0188/klagomålsmail/A 9214-2023 FSC-klagomål mail.docx", "A 9214-2023")</f>
        <v/>
      </c>
      <c r="X454">
        <f>HYPERLINK("https://klasma.github.io/Logging_0188/tillsyn/A 9214-2023 tillsynsbegäran.docx", "A 9214-2023")</f>
        <v/>
      </c>
      <c r="Y454">
        <f>HYPERLINK("https://klasma.github.io/Logging_0188/tillsynsmail/A 9214-2023 tillsynsbegäran mail.docx", "A 9214-2023")</f>
        <v/>
      </c>
    </row>
    <row r="455" ht="15" customHeight="1">
      <c r="A455" t="inlineStr">
        <is>
          <t>A 9271-2023</t>
        </is>
      </c>
      <c r="B455" s="1" t="n">
        <v>44980</v>
      </c>
      <c r="C455" s="1" t="n">
        <v>45672</v>
      </c>
      <c r="D455" t="inlineStr">
        <is>
          <t>STOCKHOLMS LÄN</t>
        </is>
      </c>
      <c r="E455" t="inlineStr">
        <is>
          <t>NORRTÄLJE</t>
        </is>
      </c>
      <c r="G455" t="n">
        <v>5.3</v>
      </c>
      <c r="H455" t="n">
        <v>1</v>
      </c>
      <c r="I455" t="n">
        <v>0</v>
      </c>
      <c r="J455" t="n">
        <v>0</v>
      </c>
      <c r="K455" t="n">
        <v>1</v>
      </c>
      <c r="L455" t="n">
        <v>0</v>
      </c>
      <c r="M455" t="n">
        <v>0</v>
      </c>
      <c r="N455" t="n">
        <v>0</v>
      </c>
      <c r="O455" t="n">
        <v>1</v>
      </c>
      <c r="P455" t="n">
        <v>1</v>
      </c>
      <c r="Q455" t="n">
        <v>1</v>
      </c>
      <c r="R455" s="2" t="inlineStr">
        <is>
          <t>Hällebräcka</t>
        </is>
      </c>
      <c r="S455">
        <f>HYPERLINK("https://klasma.github.io/Logging_0188/artfynd/A 9271-2023 artfynd.xlsx", "A 9271-2023")</f>
        <v/>
      </c>
      <c r="T455">
        <f>HYPERLINK("https://klasma.github.io/Logging_0188/kartor/A 9271-2023 karta.png", "A 9271-2023")</f>
        <v/>
      </c>
      <c r="V455">
        <f>HYPERLINK("https://klasma.github.io/Logging_0188/klagomål/A 9271-2023 FSC-klagomål.docx", "A 9271-2023")</f>
        <v/>
      </c>
      <c r="W455">
        <f>HYPERLINK("https://klasma.github.io/Logging_0188/klagomålsmail/A 9271-2023 FSC-klagomål mail.docx", "A 9271-2023")</f>
        <v/>
      </c>
      <c r="X455">
        <f>HYPERLINK("https://klasma.github.io/Logging_0188/tillsyn/A 9271-2023 tillsynsbegäran.docx", "A 9271-2023")</f>
        <v/>
      </c>
      <c r="Y455">
        <f>HYPERLINK("https://klasma.github.io/Logging_0188/tillsynsmail/A 9271-2023 tillsynsbegäran mail.docx", "A 9271-2023")</f>
        <v/>
      </c>
    </row>
    <row r="456" ht="15" customHeight="1">
      <c r="A456" t="inlineStr">
        <is>
          <t>A 9268-2023</t>
        </is>
      </c>
      <c r="B456" s="1" t="n">
        <v>44980</v>
      </c>
      <c r="C456" s="1" t="n">
        <v>45672</v>
      </c>
      <c r="D456" t="inlineStr">
        <is>
          <t>STOCKHOLMS LÄN</t>
        </is>
      </c>
      <c r="E456" t="inlineStr">
        <is>
          <t>NYNÄSHAMN</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HYPERLINK("https://klasma.github.io/Logging_0192/artfynd/A 9268-2023 artfynd.xlsx", "A 9268-2023")</f>
        <v/>
      </c>
      <c r="T456">
        <f>HYPERLINK("https://klasma.github.io/Logging_0192/kartor/A 9268-2023 karta.png", "A 9268-2023")</f>
        <v/>
      </c>
      <c r="V456">
        <f>HYPERLINK("https://klasma.github.io/Logging_0192/klagomål/A 9268-2023 FSC-klagomål.docx", "A 9268-2023")</f>
        <v/>
      </c>
      <c r="W456">
        <f>HYPERLINK("https://klasma.github.io/Logging_0192/klagomålsmail/A 9268-2023 FSC-klagomål mail.docx", "A 9268-2023")</f>
        <v/>
      </c>
      <c r="X456">
        <f>HYPERLINK("https://klasma.github.io/Logging_0192/tillsyn/A 9268-2023 tillsynsbegäran.docx", "A 9268-2023")</f>
        <v/>
      </c>
      <c r="Y456">
        <f>HYPERLINK("https://klasma.github.io/Logging_0192/tillsynsmail/A 9268-2023 tillsynsbegäran mail.docx", "A 9268-2023")</f>
        <v/>
      </c>
    </row>
    <row r="457" ht="15" customHeight="1">
      <c r="A457" t="inlineStr">
        <is>
          <t>A 9522-2023</t>
        </is>
      </c>
      <c r="B457" s="1" t="n">
        <v>44981</v>
      </c>
      <c r="C457" s="1" t="n">
        <v>45672</v>
      </c>
      <c r="D457" t="inlineStr">
        <is>
          <t>STOCKHOLMS LÄN</t>
        </is>
      </c>
      <c r="E457" t="inlineStr">
        <is>
          <t>NORRTÄLJE</t>
        </is>
      </c>
      <c r="F457" t="inlineStr">
        <is>
          <t>Holmen skog AB</t>
        </is>
      </c>
      <c r="G457" t="n">
        <v>7.5</v>
      </c>
      <c r="H457" t="n">
        <v>1</v>
      </c>
      <c r="I457" t="n">
        <v>0</v>
      </c>
      <c r="J457" t="n">
        <v>0</v>
      </c>
      <c r="K457" t="n">
        <v>0</v>
      </c>
      <c r="L457" t="n">
        <v>1</v>
      </c>
      <c r="M457" t="n">
        <v>0</v>
      </c>
      <c r="N457" t="n">
        <v>0</v>
      </c>
      <c r="O457" t="n">
        <v>1</v>
      </c>
      <c r="P457" t="n">
        <v>1</v>
      </c>
      <c r="Q457" t="n">
        <v>1</v>
      </c>
      <c r="R457" s="2" t="inlineStr">
        <is>
          <t>Asknätfjäril</t>
        </is>
      </c>
      <c r="S457">
        <f>HYPERLINK("https://klasma.github.io/Logging_0188/artfynd/A 9522-2023 artfynd.xlsx", "A 9522-2023")</f>
        <v/>
      </c>
      <c r="T457">
        <f>HYPERLINK("https://klasma.github.io/Logging_0188/kartor/A 9522-2023 karta.png", "A 9522-2023")</f>
        <v/>
      </c>
      <c r="V457">
        <f>HYPERLINK("https://klasma.github.io/Logging_0188/klagomål/A 9522-2023 FSC-klagomål.docx", "A 9522-2023")</f>
        <v/>
      </c>
      <c r="W457">
        <f>HYPERLINK("https://klasma.github.io/Logging_0188/klagomålsmail/A 9522-2023 FSC-klagomål mail.docx", "A 9522-2023")</f>
        <v/>
      </c>
      <c r="X457">
        <f>HYPERLINK("https://klasma.github.io/Logging_0188/tillsyn/A 9522-2023 tillsynsbegäran.docx", "A 9522-2023")</f>
        <v/>
      </c>
      <c r="Y457">
        <f>HYPERLINK("https://klasma.github.io/Logging_0188/tillsynsmail/A 9522-2023 tillsynsbegäran mail.docx", "A 9522-2023")</f>
        <v/>
      </c>
    </row>
    <row r="458" ht="15" customHeight="1">
      <c r="A458" t="inlineStr">
        <is>
          <t>A 10019-2023</t>
        </is>
      </c>
      <c r="B458" s="1" t="n">
        <v>44985</v>
      </c>
      <c r="C458" s="1" t="n">
        <v>45672</v>
      </c>
      <c r="D458" t="inlineStr">
        <is>
          <t>STOCKHOLMS LÄN</t>
        </is>
      </c>
      <c r="E458" t="inlineStr">
        <is>
          <t>NORRTÄLJE</t>
        </is>
      </c>
      <c r="G458" t="n">
        <v>8.4</v>
      </c>
      <c r="H458" t="n">
        <v>0</v>
      </c>
      <c r="I458" t="n">
        <v>1</v>
      </c>
      <c r="J458" t="n">
        <v>0</v>
      </c>
      <c r="K458" t="n">
        <v>0</v>
      </c>
      <c r="L458" t="n">
        <v>0</v>
      </c>
      <c r="M458" t="n">
        <v>0</v>
      </c>
      <c r="N458" t="n">
        <v>0</v>
      </c>
      <c r="O458" t="n">
        <v>0</v>
      </c>
      <c r="P458" t="n">
        <v>0</v>
      </c>
      <c r="Q458" t="n">
        <v>1</v>
      </c>
      <c r="R458" s="2" t="inlineStr">
        <is>
          <t>Underviol</t>
        </is>
      </c>
      <c r="S458">
        <f>HYPERLINK("https://klasma.github.io/Logging_0188/artfynd/A 10019-2023 artfynd.xlsx", "A 10019-2023")</f>
        <v/>
      </c>
      <c r="T458">
        <f>HYPERLINK("https://klasma.github.io/Logging_0188/kartor/A 10019-2023 karta.png", "A 10019-2023")</f>
        <v/>
      </c>
      <c r="V458">
        <f>HYPERLINK("https://klasma.github.io/Logging_0188/klagomål/A 10019-2023 FSC-klagomål.docx", "A 10019-2023")</f>
        <v/>
      </c>
      <c r="W458">
        <f>HYPERLINK("https://klasma.github.io/Logging_0188/klagomålsmail/A 10019-2023 FSC-klagomål mail.docx", "A 10019-2023")</f>
        <v/>
      </c>
      <c r="X458">
        <f>HYPERLINK("https://klasma.github.io/Logging_0188/tillsyn/A 10019-2023 tillsynsbegäran.docx", "A 10019-2023")</f>
        <v/>
      </c>
      <c r="Y458">
        <f>HYPERLINK("https://klasma.github.io/Logging_0188/tillsynsmail/A 10019-2023 tillsynsbegäran mail.docx", "A 10019-2023")</f>
        <v/>
      </c>
    </row>
    <row r="459" ht="15" customHeight="1">
      <c r="A459" t="inlineStr">
        <is>
          <t>A 11244-2023</t>
        </is>
      </c>
      <c r="B459" s="1" t="n">
        <v>44992</v>
      </c>
      <c r="C459" s="1" t="n">
        <v>45672</v>
      </c>
      <c r="D459" t="inlineStr">
        <is>
          <t>STOCKHOLMS LÄN</t>
        </is>
      </c>
      <c r="E459" t="inlineStr">
        <is>
          <t>VALLENTUNA</t>
        </is>
      </c>
      <c r="G459" t="n">
        <v>4.3</v>
      </c>
      <c r="H459" t="n">
        <v>1</v>
      </c>
      <c r="I459" t="n">
        <v>0</v>
      </c>
      <c r="J459" t="n">
        <v>0</v>
      </c>
      <c r="K459" t="n">
        <v>0</v>
      </c>
      <c r="L459" t="n">
        <v>0</v>
      </c>
      <c r="M459" t="n">
        <v>0</v>
      </c>
      <c r="N459" t="n">
        <v>0</v>
      </c>
      <c r="O459" t="n">
        <v>0</v>
      </c>
      <c r="P459" t="n">
        <v>0</v>
      </c>
      <c r="Q459" t="n">
        <v>1</v>
      </c>
      <c r="R459" s="2" t="inlineStr">
        <is>
          <t>Revlummer</t>
        </is>
      </c>
      <c r="S459">
        <f>HYPERLINK("https://klasma.github.io/Logging_0115/artfynd/A 11244-2023 artfynd.xlsx", "A 11244-2023")</f>
        <v/>
      </c>
      <c r="T459">
        <f>HYPERLINK("https://klasma.github.io/Logging_0115/kartor/A 11244-2023 karta.png", "A 11244-2023")</f>
        <v/>
      </c>
      <c r="V459">
        <f>HYPERLINK("https://klasma.github.io/Logging_0115/klagomål/A 11244-2023 FSC-klagomål.docx", "A 11244-2023")</f>
        <v/>
      </c>
      <c r="W459">
        <f>HYPERLINK("https://klasma.github.io/Logging_0115/klagomålsmail/A 11244-2023 FSC-klagomål mail.docx", "A 11244-2023")</f>
        <v/>
      </c>
      <c r="X459">
        <f>HYPERLINK("https://klasma.github.io/Logging_0115/tillsyn/A 11244-2023 tillsynsbegäran.docx", "A 11244-2023")</f>
        <v/>
      </c>
      <c r="Y459">
        <f>HYPERLINK("https://klasma.github.io/Logging_0115/tillsynsmail/A 11244-2023 tillsynsbegäran mail.docx", "A 11244-2023")</f>
        <v/>
      </c>
    </row>
    <row r="460" ht="15" customHeight="1">
      <c r="A460" t="inlineStr">
        <is>
          <t>A 11429-2023</t>
        </is>
      </c>
      <c r="B460" s="1" t="n">
        <v>44993</v>
      </c>
      <c r="C460" s="1" t="n">
        <v>45672</v>
      </c>
      <c r="D460" t="inlineStr">
        <is>
          <t>STOCKHOLMS LÄN</t>
        </is>
      </c>
      <c r="E460" t="inlineStr">
        <is>
          <t>NORRTÄLJE</t>
        </is>
      </c>
      <c r="G460" t="n">
        <v>2</v>
      </c>
      <c r="H460" t="n">
        <v>0</v>
      </c>
      <c r="I460" t="n">
        <v>0</v>
      </c>
      <c r="J460" t="n">
        <v>1</v>
      </c>
      <c r="K460" t="n">
        <v>0</v>
      </c>
      <c r="L460" t="n">
        <v>0</v>
      </c>
      <c r="M460" t="n">
        <v>0</v>
      </c>
      <c r="N460" t="n">
        <v>0</v>
      </c>
      <c r="O460" t="n">
        <v>1</v>
      </c>
      <c r="P460" t="n">
        <v>0</v>
      </c>
      <c r="Q460" t="n">
        <v>1</v>
      </c>
      <c r="R460" s="2" t="inlineStr">
        <is>
          <t>Skogsklocka</t>
        </is>
      </c>
      <c r="S460">
        <f>HYPERLINK("https://klasma.github.io/Logging_0188/artfynd/A 11429-2023 artfynd.xlsx", "A 11429-2023")</f>
        <v/>
      </c>
      <c r="T460">
        <f>HYPERLINK("https://klasma.github.io/Logging_0188/kartor/A 11429-2023 karta.png", "A 11429-2023")</f>
        <v/>
      </c>
      <c r="V460">
        <f>HYPERLINK("https://klasma.github.io/Logging_0188/klagomål/A 11429-2023 FSC-klagomål.docx", "A 11429-2023")</f>
        <v/>
      </c>
      <c r="W460">
        <f>HYPERLINK("https://klasma.github.io/Logging_0188/klagomålsmail/A 11429-2023 FSC-klagomål mail.docx", "A 11429-2023")</f>
        <v/>
      </c>
      <c r="X460">
        <f>HYPERLINK("https://klasma.github.io/Logging_0188/tillsyn/A 11429-2023 tillsynsbegäran.docx", "A 11429-2023")</f>
        <v/>
      </c>
      <c r="Y460">
        <f>HYPERLINK("https://klasma.github.io/Logging_0188/tillsynsmail/A 11429-2023 tillsynsbegäran mail.docx", "A 11429-2023")</f>
        <v/>
      </c>
    </row>
    <row r="461" ht="15" customHeight="1">
      <c r="A461" t="inlineStr">
        <is>
          <t>A 12442-2023</t>
        </is>
      </c>
      <c r="B461" s="1" t="n">
        <v>44999</v>
      </c>
      <c r="C461" s="1" t="n">
        <v>45672</v>
      </c>
      <c r="D461" t="inlineStr">
        <is>
          <t>STOCKHOLMS LÄN</t>
        </is>
      </c>
      <c r="E461" t="inlineStr">
        <is>
          <t>NORRTÄLJE</t>
        </is>
      </c>
      <c r="G461" t="n">
        <v>1.9</v>
      </c>
      <c r="H461" t="n">
        <v>1</v>
      </c>
      <c r="I461" t="n">
        <v>0</v>
      </c>
      <c r="J461" t="n">
        <v>0</v>
      </c>
      <c r="K461" t="n">
        <v>0</v>
      </c>
      <c r="L461" t="n">
        <v>0</v>
      </c>
      <c r="M461" t="n">
        <v>0</v>
      </c>
      <c r="N461" t="n">
        <v>0</v>
      </c>
      <c r="O461" t="n">
        <v>0</v>
      </c>
      <c r="P461" t="n">
        <v>0</v>
      </c>
      <c r="Q461" t="n">
        <v>1</v>
      </c>
      <c r="R461" s="2" t="inlineStr">
        <is>
          <t>Gullviva</t>
        </is>
      </c>
      <c r="S461">
        <f>HYPERLINK("https://klasma.github.io/Logging_0188/artfynd/A 12442-2023 artfynd.xlsx", "A 12442-2023")</f>
        <v/>
      </c>
      <c r="T461">
        <f>HYPERLINK("https://klasma.github.io/Logging_0188/kartor/A 12442-2023 karta.png", "A 12442-2023")</f>
        <v/>
      </c>
      <c r="V461">
        <f>HYPERLINK("https://klasma.github.io/Logging_0188/klagomål/A 12442-2023 FSC-klagomål.docx", "A 12442-2023")</f>
        <v/>
      </c>
      <c r="W461">
        <f>HYPERLINK("https://klasma.github.io/Logging_0188/klagomålsmail/A 12442-2023 FSC-klagomål mail.docx", "A 12442-2023")</f>
        <v/>
      </c>
      <c r="X461">
        <f>HYPERLINK("https://klasma.github.io/Logging_0188/tillsyn/A 12442-2023 tillsynsbegäran.docx", "A 12442-2023")</f>
        <v/>
      </c>
      <c r="Y461">
        <f>HYPERLINK("https://klasma.github.io/Logging_0188/tillsynsmail/A 12442-2023 tillsynsbegäran mail.docx", "A 12442-2023")</f>
        <v/>
      </c>
    </row>
    <row r="462" ht="15" customHeight="1">
      <c r="A462" t="inlineStr">
        <is>
          <t>A 12575-2023</t>
        </is>
      </c>
      <c r="B462" s="1" t="n">
        <v>45000</v>
      </c>
      <c r="C462" s="1" t="n">
        <v>45672</v>
      </c>
      <c r="D462" t="inlineStr">
        <is>
          <t>STOCKHOLMS LÄN</t>
        </is>
      </c>
      <c r="E462" t="inlineStr">
        <is>
          <t>VALLENTUNA</t>
        </is>
      </c>
      <c r="G462" t="n">
        <v>5.1</v>
      </c>
      <c r="H462" t="n">
        <v>1</v>
      </c>
      <c r="I462" t="n">
        <v>0</v>
      </c>
      <c r="J462" t="n">
        <v>0</v>
      </c>
      <c r="K462" t="n">
        <v>0</v>
      </c>
      <c r="L462" t="n">
        <v>0</v>
      </c>
      <c r="M462" t="n">
        <v>0</v>
      </c>
      <c r="N462" t="n">
        <v>0</v>
      </c>
      <c r="O462" t="n">
        <v>0</v>
      </c>
      <c r="P462" t="n">
        <v>0</v>
      </c>
      <c r="Q462" t="n">
        <v>1</v>
      </c>
      <c r="R462" s="2" t="inlineStr">
        <is>
          <t>Blåsippa</t>
        </is>
      </c>
      <c r="S462">
        <f>HYPERLINK("https://klasma.github.io/Logging_0115/artfynd/A 12575-2023 artfynd.xlsx", "A 12575-2023")</f>
        <v/>
      </c>
      <c r="T462">
        <f>HYPERLINK("https://klasma.github.io/Logging_0115/kartor/A 12575-2023 karta.png", "A 12575-2023")</f>
        <v/>
      </c>
      <c r="V462">
        <f>HYPERLINK("https://klasma.github.io/Logging_0115/klagomål/A 12575-2023 FSC-klagomål.docx", "A 12575-2023")</f>
        <v/>
      </c>
      <c r="W462">
        <f>HYPERLINK("https://klasma.github.io/Logging_0115/klagomålsmail/A 12575-2023 FSC-klagomål mail.docx", "A 12575-2023")</f>
        <v/>
      </c>
      <c r="X462">
        <f>HYPERLINK("https://klasma.github.io/Logging_0115/tillsyn/A 12575-2023 tillsynsbegäran.docx", "A 12575-2023")</f>
        <v/>
      </c>
      <c r="Y462">
        <f>HYPERLINK("https://klasma.github.io/Logging_0115/tillsynsmail/A 12575-2023 tillsynsbegäran mail.docx", "A 12575-2023")</f>
        <v/>
      </c>
    </row>
    <row r="463" ht="15" customHeight="1">
      <c r="A463" t="inlineStr">
        <is>
          <t>A 13199-2023</t>
        </is>
      </c>
      <c r="B463" s="1" t="n">
        <v>45002</v>
      </c>
      <c r="C463" s="1" t="n">
        <v>45672</v>
      </c>
      <c r="D463" t="inlineStr">
        <is>
          <t>STOCKHOLMS LÄN</t>
        </is>
      </c>
      <c r="E463" t="inlineStr">
        <is>
          <t>SÖDERTÄLJE</t>
        </is>
      </c>
      <c r="G463" t="n">
        <v>7.2</v>
      </c>
      <c r="H463" t="n">
        <v>1</v>
      </c>
      <c r="I463" t="n">
        <v>0</v>
      </c>
      <c r="J463" t="n">
        <v>0</v>
      </c>
      <c r="K463" t="n">
        <v>0</v>
      </c>
      <c r="L463" t="n">
        <v>0</v>
      </c>
      <c r="M463" t="n">
        <v>0</v>
      </c>
      <c r="N463" t="n">
        <v>0</v>
      </c>
      <c r="O463" t="n">
        <v>0</v>
      </c>
      <c r="P463" t="n">
        <v>0</v>
      </c>
      <c r="Q463" t="n">
        <v>1</v>
      </c>
      <c r="R463" s="2" t="inlineStr">
        <is>
          <t>Gröngöling</t>
        </is>
      </c>
      <c r="S463">
        <f>HYPERLINK("https://klasma.github.io/Logging_0181/artfynd/A 13199-2023 artfynd.xlsx", "A 13199-2023")</f>
        <v/>
      </c>
      <c r="T463">
        <f>HYPERLINK("https://klasma.github.io/Logging_0181/kartor/A 13199-2023 karta.png", "A 13199-2023")</f>
        <v/>
      </c>
      <c r="V463">
        <f>HYPERLINK("https://klasma.github.io/Logging_0181/klagomål/A 13199-2023 FSC-klagomål.docx", "A 13199-2023")</f>
        <v/>
      </c>
      <c r="W463">
        <f>HYPERLINK("https://klasma.github.io/Logging_0181/klagomålsmail/A 13199-2023 FSC-klagomål mail.docx", "A 13199-2023")</f>
        <v/>
      </c>
      <c r="X463">
        <f>HYPERLINK("https://klasma.github.io/Logging_0181/tillsyn/A 13199-2023 tillsynsbegäran.docx", "A 13199-2023")</f>
        <v/>
      </c>
      <c r="Y463">
        <f>HYPERLINK("https://klasma.github.io/Logging_0181/tillsynsmail/A 13199-2023 tillsynsbegäran mail.docx", "A 13199-2023")</f>
        <v/>
      </c>
      <c r="Z463">
        <f>HYPERLINK("https://klasma.github.io/Logging_0181/fåglar/A 13199-2023 prioriterade fågelarter.docx", "A 13199-2023")</f>
        <v/>
      </c>
    </row>
    <row r="464" ht="15" customHeight="1">
      <c r="A464" t="inlineStr">
        <is>
          <t>A 13794-2023</t>
        </is>
      </c>
      <c r="B464" s="1" t="n">
        <v>45007</v>
      </c>
      <c r="C464" s="1" t="n">
        <v>45672</v>
      </c>
      <c r="D464" t="inlineStr">
        <is>
          <t>STOCKHOLMS LÄN</t>
        </is>
      </c>
      <c r="E464" t="inlineStr">
        <is>
          <t>EKERÖ</t>
        </is>
      </c>
      <c r="G464" t="n">
        <v>4.8</v>
      </c>
      <c r="H464" t="n">
        <v>0</v>
      </c>
      <c r="I464" t="n">
        <v>0</v>
      </c>
      <c r="J464" t="n">
        <v>1</v>
      </c>
      <c r="K464" t="n">
        <v>0</v>
      </c>
      <c r="L464" t="n">
        <v>0</v>
      </c>
      <c r="M464" t="n">
        <v>0</v>
      </c>
      <c r="N464" t="n">
        <v>0</v>
      </c>
      <c r="O464" t="n">
        <v>1</v>
      </c>
      <c r="P464" t="n">
        <v>0</v>
      </c>
      <c r="Q464" t="n">
        <v>1</v>
      </c>
      <c r="R464" s="2" t="inlineStr">
        <is>
          <t>Tallticka</t>
        </is>
      </c>
      <c r="S464">
        <f>HYPERLINK("https://klasma.github.io/Logging_0125/artfynd/A 13794-2023 artfynd.xlsx", "A 13794-2023")</f>
        <v/>
      </c>
      <c r="T464">
        <f>HYPERLINK("https://klasma.github.io/Logging_0125/kartor/A 13794-2023 karta.png", "A 13794-2023")</f>
        <v/>
      </c>
      <c r="V464">
        <f>HYPERLINK("https://klasma.github.io/Logging_0125/klagomål/A 13794-2023 FSC-klagomål.docx", "A 13794-2023")</f>
        <v/>
      </c>
      <c r="W464">
        <f>HYPERLINK("https://klasma.github.io/Logging_0125/klagomålsmail/A 13794-2023 FSC-klagomål mail.docx", "A 13794-2023")</f>
        <v/>
      </c>
      <c r="X464">
        <f>HYPERLINK("https://klasma.github.io/Logging_0125/tillsyn/A 13794-2023 tillsynsbegäran.docx", "A 13794-2023")</f>
        <v/>
      </c>
      <c r="Y464">
        <f>HYPERLINK("https://klasma.github.io/Logging_0125/tillsynsmail/A 13794-2023 tillsynsbegäran mail.docx", "A 13794-2023")</f>
        <v/>
      </c>
    </row>
    <row r="465" ht="15" customHeight="1">
      <c r="A465" t="inlineStr">
        <is>
          <t>A 14014-2023</t>
        </is>
      </c>
      <c r="B465" s="1" t="n">
        <v>45008</v>
      </c>
      <c r="C465" s="1" t="n">
        <v>45672</v>
      </c>
      <c r="D465" t="inlineStr">
        <is>
          <t>STOCKHOLMS LÄN</t>
        </is>
      </c>
      <c r="E465" t="inlineStr">
        <is>
          <t>EKERÖ</t>
        </is>
      </c>
      <c r="G465" t="n">
        <v>4.7</v>
      </c>
      <c r="H465" t="n">
        <v>1</v>
      </c>
      <c r="I465" t="n">
        <v>0</v>
      </c>
      <c r="J465" t="n">
        <v>0</v>
      </c>
      <c r="K465" t="n">
        <v>0</v>
      </c>
      <c r="L465" t="n">
        <v>0</v>
      </c>
      <c r="M465" t="n">
        <v>0</v>
      </c>
      <c r="N465" t="n">
        <v>0</v>
      </c>
      <c r="O465" t="n">
        <v>0</v>
      </c>
      <c r="P465" t="n">
        <v>0</v>
      </c>
      <c r="Q465" t="n">
        <v>1</v>
      </c>
      <c r="R465" s="2" t="inlineStr">
        <is>
          <t>Gröngöling</t>
        </is>
      </c>
      <c r="S465">
        <f>HYPERLINK("https://klasma.github.io/Logging_0125/artfynd/A 14014-2023 artfynd.xlsx", "A 14014-2023")</f>
        <v/>
      </c>
      <c r="T465">
        <f>HYPERLINK("https://klasma.github.io/Logging_0125/kartor/A 14014-2023 karta.png", "A 14014-2023")</f>
        <v/>
      </c>
      <c r="V465">
        <f>HYPERLINK("https://klasma.github.io/Logging_0125/klagomål/A 14014-2023 FSC-klagomål.docx", "A 14014-2023")</f>
        <v/>
      </c>
      <c r="W465">
        <f>HYPERLINK("https://klasma.github.io/Logging_0125/klagomålsmail/A 14014-2023 FSC-klagomål mail.docx", "A 14014-2023")</f>
        <v/>
      </c>
      <c r="X465">
        <f>HYPERLINK("https://klasma.github.io/Logging_0125/tillsyn/A 14014-2023 tillsynsbegäran.docx", "A 14014-2023")</f>
        <v/>
      </c>
      <c r="Y465">
        <f>HYPERLINK("https://klasma.github.io/Logging_0125/tillsynsmail/A 14014-2023 tillsynsbegäran mail.docx", "A 14014-2023")</f>
        <v/>
      </c>
      <c r="Z465">
        <f>HYPERLINK("https://klasma.github.io/Logging_0125/fåglar/A 14014-2023 prioriterade fågelarter.docx", "A 14014-2023")</f>
        <v/>
      </c>
    </row>
    <row r="466" ht="15" customHeight="1">
      <c r="A466" t="inlineStr">
        <is>
          <t>A 14092-2023</t>
        </is>
      </c>
      <c r="B466" s="1" t="n">
        <v>45009</v>
      </c>
      <c r="C466" s="1" t="n">
        <v>45672</v>
      </c>
      <c r="D466" t="inlineStr">
        <is>
          <t>STOCKHOLMS LÄN</t>
        </is>
      </c>
      <c r="E466" t="inlineStr">
        <is>
          <t>SÖDERTÄLJE</t>
        </is>
      </c>
      <c r="F466" t="inlineStr">
        <is>
          <t>Kyrkan</t>
        </is>
      </c>
      <c r="G466" t="n">
        <v>4.1</v>
      </c>
      <c r="H466" t="n">
        <v>1</v>
      </c>
      <c r="I466" t="n">
        <v>0</v>
      </c>
      <c r="J466" t="n">
        <v>0</v>
      </c>
      <c r="K466" t="n">
        <v>0</v>
      </c>
      <c r="L466" t="n">
        <v>0</v>
      </c>
      <c r="M466" t="n">
        <v>0</v>
      </c>
      <c r="N466" t="n">
        <v>0</v>
      </c>
      <c r="O466" t="n">
        <v>0</v>
      </c>
      <c r="P466" t="n">
        <v>0</v>
      </c>
      <c r="Q466" t="n">
        <v>1</v>
      </c>
      <c r="R466" s="2" t="inlineStr">
        <is>
          <t>Kungsfågel</t>
        </is>
      </c>
      <c r="S466">
        <f>HYPERLINK("https://klasma.github.io/Logging_0181/artfynd/A 14092-2023 artfynd.xlsx", "A 14092-2023")</f>
        <v/>
      </c>
      <c r="T466">
        <f>HYPERLINK("https://klasma.github.io/Logging_0181/kartor/A 14092-2023 karta.png", "A 14092-2023")</f>
        <v/>
      </c>
      <c r="V466">
        <f>HYPERLINK("https://klasma.github.io/Logging_0181/klagomål/A 14092-2023 FSC-klagomål.docx", "A 14092-2023")</f>
        <v/>
      </c>
      <c r="W466">
        <f>HYPERLINK("https://klasma.github.io/Logging_0181/klagomålsmail/A 14092-2023 FSC-klagomål mail.docx", "A 14092-2023")</f>
        <v/>
      </c>
      <c r="X466">
        <f>HYPERLINK("https://klasma.github.io/Logging_0181/tillsyn/A 14092-2023 tillsynsbegäran.docx", "A 14092-2023")</f>
        <v/>
      </c>
      <c r="Y466">
        <f>HYPERLINK("https://klasma.github.io/Logging_0181/tillsynsmail/A 14092-2023 tillsynsbegäran mail.docx", "A 14092-2023")</f>
        <v/>
      </c>
      <c r="Z466">
        <f>HYPERLINK("https://klasma.github.io/Logging_0181/fåglar/A 14092-2023 prioriterade fågelarter.docx", "A 14092-2023")</f>
        <v/>
      </c>
    </row>
    <row r="467" ht="15" customHeight="1">
      <c r="A467" t="inlineStr">
        <is>
          <t>A 15452-2023</t>
        </is>
      </c>
      <c r="B467" s="1" t="n">
        <v>45020</v>
      </c>
      <c r="C467" s="1" t="n">
        <v>45672</v>
      </c>
      <c r="D467" t="inlineStr">
        <is>
          <t>STOCKHOLMS LÄN</t>
        </is>
      </c>
      <c r="E467" t="inlineStr">
        <is>
          <t>SIGTUNA</t>
        </is>
      </c>
      <c r="F467" t="inlineStr">
        <is>
          <t>Allmännings- och besparingsskogar</t>
        </is>
      </c>
      <c r="G467" t="n">
        <v>4.5</v>
      </c>
      <c r="H467" t="n">
        <v>1</v>
      </c>
      <c r="I467" t="n">
        <v>0</v>
      </c>
      <c r="J467" t="n">
        <v>0</v>
      </c>
      <c r="K467" t="n">
        <v>0</v>
      </c>
      <c r="L467" t="n">
        <v>0</v>
      </c>
      <c r="M467" t="n">
        <v>0</v>
      </c>
      <c r="N467" t="n">
        <v>0</v>
      </c>
      <c r="O467" t="n">
        <v>0</v>
      </c>
      <c r="P467" t="n">
        <v>0</v>
      </c>
      <c r="Q467" t="n">
        <v>1</v>
      </c>
      <c r="R467" s="2" t="inlineStr">
        <is>
          <t>Trana</t>
        </is>
      </c>
      <c r="S467">
        <f>HYPERLINK("https://klasma.github.io/Logging_0191/artfynd/A 15452-2023 artfynd.xlsx", "A 15452-2023")</f>
        <v/>
      </c>
      <c r="T467">
        <f>HYPERLINK("https://klasma.github.io/Logging_0191/kartor/A 15452-2023 karta.png", "A 15452-2023")</f>
        <v/>
      </c>
      <c r="V467">
        <f>HYPERLINK("https://klasma.github.io/Logging_0191/klagomål/A 15452-2023 FSC-klagomål.docx", "A 15452-2023")</f>
        <v/>
      </c>
      <c r="W467">
        <f>HYPERLINK("https://klasma.github.io/Logging_0191/klagomålsmail/A 15452-2023 FSC-klagomål mail.docx", "A 15452-2023")</f>
        <v/>
      </c>
      <c r="X467">
        <f>HYPERLINK("https://klasma.github.io/Logging_0191/tillsyn/A 15452-2023 tillsynsbegäran.docx", "A 15452-2023")</f>
        <v/>
      </c>
      <c r="Y467">
        <f>HYPERLINK("https://klasma.github.io/Logging_0191/tillsynsmail/A 15452-2023 tillsynsbegäran mail.docx", "A 15452-2023")</f>
        <v/>
      </c>
      <c r="Z467">
        <f>HYPERLINK("https://klasma.github.io/Logging_0191/fåglar/A 15452-2023 prioriterade fågelarter.docx", "A 15452-2023")</f>
        <v/>
      </c>
    </row>
    <row r="468" ht="15" customHeight="1">
      <c r="A468" t="inlineStr">
        <is>
          <t>A 15644-2023</t>
        </is>
      </c>
      <c r="B468" s="1" t="n">
        <v>45021</v>
      </c>
      <c r="C468" s="1" t="n">
        <v>45672</v>
      </c>
      <c r="D468" t="inlineStr">
        <is>
          <t>STOCKHOLMS LÄN</t>
        </is>
      </c>
      <c r="E468" t="inlineStr">
        <is>
          <t>NORRTÄLJE</t>
        </is>
      </c>
      <c r="F468" t="inlineStr">
        <is>
          <t>Holmen skog AB</t>
        </is>
      </c>
      <c r="G468" t="n">
        <v>13</v>
      </c>
      <c r="H468" t="n">
        <v>1</v>
      </c>
      <c r="I468" t="n">
        <v>0</v>
      </c>
      <c r="J468" t="n">
        <v>0</v>
      </c>
      <c r="K468" t="n">
        <v>0</v>
      </c>
      <c r="L468" t="n">
        <v>1</v>
      </c>
      <c r="M468" t="n">
        <v>0</v>
      </c>
      <c r="N468" t="n">
        <v>0</v>
      </c>
      <c r="O468" t="n">
        <v>1</v>
      </c>
      <c r="P468" t="n">
        <v>1</v>
      </c>
      <c r="Q468" t="n">
        <v>1</v>
      </c>
      <c r="R468" s="2" t="inlineStr">
        <is>
          <t>Asknätfjäril</t>
        </is>
      </c>
      <c r="S468">
        <f>HYPERLINK("https://klasma.github.io/Logging_0188/artfynd/A 15644-2023 artfynd.xlsx", "A 15644-2023")</f>
        <v/>
      </c>
      <c r="T468">
        <f>HYPERLINK("https://klasma.github.io/Logging_0188/kartor/A 15644-2023 karta.png", "A 15644-2023")</f>
        <v/>
      </c>
      <c r="V468">
        <f>HYPERLINK("https://klasma.github.io/Logging_0188/klagomål/A 15644-2023 FSC-klagomål.docx", "A 15644-2023")</f>
        <v/>
      </c>
      <c r="W468">
        <f>HYPERLINK("https://klasma.github.io/Logging_0188/klagomålsmail/A 15644-2023 FSC-klagomål mail.docx", "A 15644-2023")</f>
        <v/>
      </c>
      <c r="X468">
        <f>HYPERLINK("https://klasma.github.io/Logging_0188/tillsyn/A 15644-2023 tillsynsbegäran.docx", "A 15644-2023")</f>
        <v/>
      </c>
      <c r="Y468">
        <f>HYPERLINK("https://klasma.github.io/Logging_0188/tillsynsmail/A 15644-2023 tillsynsbegäran mail.docx", "A 15644-2023")</f>
        <v/>
      </c>
    </row>
    <row r="469" ht="15" customHeight="1">
      <c r="A469" t="inlineStr">
        <is>
          <t>A 18216-2023</t>
        </is>
      </c>
      <c r="B469" s="1" t="n">
        <v>45041</v>
      </c>
      <c r="C469" s="1" t="n">
        <v>45672</v>
      </c>
      <c r="D469" t="inlineStr">
        <is>
          <t>STOCKHOLMS LÄN</t>
        </is>
      </c>
      <c r="E469" t="inlineStr">
        <is>
          <t>NORRTÄLJE</t>
        </is>
      </c>
      <c r="F469" t="inlineStr">
        <is>
          <t>Holmen skog AB</t>
        </is>
      </c>
      <c r="G469" t="n">
        <v>1.9</v>
      </c>
      <c r="H469" t="n">
        <v>0</v>
      </c>
      <c r="I469" t="n">
        <v>1</v>
      </c>
      <c r="J469" t="n">
        <v>0</v>
      </c>
      <c r="K469" t="n">
        <v>0</v>
      </c>
      <c r="L469" t="n">
        <v>0</v>
      </c>
      <c r="M469" t="n">
        <v>0</v>
      </c>
      <c r="N469" t="n">
        <v>0</v>
      </c>
      <c r="O469" t="n">
        <v>0</v>
      </c>
      <c r="P469" t="n">
        <v>0</v>
      </c>
      <c r="Q469" t="n">
        <v>1</v>
      </c>
      <c r="R469" s="2" t="inlineStr">
        <is>
          <t>Vårärt</t>
        </is>
      </c>
      <c r="S469">
        <f>HYPERLINK("https://klasma.github.io/Logging_0188/artfynd/A 18216-2023 artfynd.xlsx", "A 18216-2023")</f>
        <v/>
      </c>
      <c r="T469">
        <f>HYPERLINK("https://klasma.github.io/Logging_0188/kartor/A 18216-2023 karta.png", "A 18216-2023")</f>
        <v/>
      </c>
      <c r="V469">
        <f>HYPERLINK("https://klasma.github.io/Logging_0188/klagomål/A 18216-2023 FSC-klagomål.docx", "A 18216-2023")</f>
        <v/>
      </c>
      <c r="W469">
        <f>HYPERLINK("https://klasma.github.io/Logging_0188/klagomålsmail/A 18216-2023 FSC-klagomål mail.docx", "A 18216-2023")</f>
        <v/>
      </c>
      <c r="X469">
        <f>HYPERLINK("https://klasma.github.io/Logging_0188/tillsyn/A 18216-2023 tillsynsbegäran.docx", "A 18216-2023")</f>
        <v/>
      </c>
      <c r="Y469">
        <f>HYPERLINK("https://klasma.github.io/Logging_0188/tillsynsmail/A 18216-2023 tillsynsbegäran mail.docx", "A 18216-2023")</f>
        <v/>
      </c>
    </row>
    <row r="470" ht="15" customHeight="1">
      <c r="A470" t="inlineStr">
        <is>
          <t>A 19489-2023</t>
        </is>
      </c>
      <c r="B470" s="1" t="n">
        <v>45050</v>
      </c>
      <c r="C470" s="1" t="n">
        <v>45672</v>
      </c>
      <c r="D470" t="inlineStr">
        <is>
          <t>STOCKHOLMS LÄN</t>
        </is>
      </c>
      <c r="E470" t="inlineStr">
        <is>
          <t>NYKVARN</t>
        </is>
      </c>
      <c r="F470" t="inlineStr">
        <is>
          <t>Sveaskog</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HYPERLINK("https://klasma.github.io/Logging_0140/artfynd/A 19489-2023 artfynd.xlsx", "A 19489-2023")</f>
        <v/>
      </c>
      <c r="T470">
        <f>HYPERLINK("https://klasma.github.io/Logging_0140/kartor/A 19489-2023 karta.png", "A 19489-2023")</f>
        <v/>
      </c>
      <c r="V470">
        <f>HYPERLINK("https://klasma.github.io/Logging_0140/klagomål/A 19489-2023 FSC-klagomål.docx", "A 19489-2023")</f>
        <v/>
      </c>
      <c r="W470">
        <f>HYPERLINK("https://klasma.github.io/Logging_0140/klagomålsmail/A 19489-2023 FSC-klagomål mail.docx", "A 19489-2023")</f>
        <v/>
      </c>
      <c r="X470">
        <f>HYPERLINK("https://klasma.github.io/Logging_0140/tillsyn/A 19489-2023 tillsynsbegäran.docx", "A 19489-2023")</f>
        <v/>
      </c>
      <c r="Y470">
        <f>HYPERLINK("https://klasma.github.io/Logging_0140/tillsynsmail/A 19489-2023 tillsynsbegäran mail.docx", "A 19489-2023")</f>
        <v/>
      </c>
    </row>
    <row r="471" ht="15" customHeight="1">
      <c r="A471" t="inlineStr">
        <is>
          <t>A 21431-2023</t>
        </is>
      </c>
      <c r="B471" s="1" t="n">
        <v>45063</v>
      </c>
      <c r="C471" s="1" t="n">
        <v>45672</v>
      </c>
      <c r="D471" t="inlineStr">
        <is>
          <t>STOCKHOLMS LÄN</t>
        </is>
      </c>
      <c r="E471" t="inlineStr">
        <is>
          <t>NORRTÄLJE</t>
        </is>
      </c>
      <c r="F471" t="inlineStr">
        <is>
          <t>Holmen skog AB</t>
        </is>
      </c>
      <c r="G471" t="n">
        <v>4</v>
      </c>
      <c r="H471" t="n">
        <v>1</v>
      </c>
      <c r="I471" t="n">
        <v>1</v>
      </c>
      <c r="J471" t="n">
        <v>0</v>
      </c>
      <c r="K471" t="n">
        <v>0</v>
      </c>
      <c r="L471" t="n">
        <v>0</v>
      </c>
      <c r="M471" t="n">
        <v>0</v>
      </c>
      <c r="N471" t="n">
        <v>0</v>
      </c>
      <c r="O471" t="n">
        <v>0</v>
      </c>
      <c r="P471" t="n">
        <v>0</v>
      </c>
      <c r="Q471" t="n">
        <v>1</v>
      </c>
      <c r="R471" s="2" t="inlineStr">
        <is>
          <t>Nästrot</t>
        </is>
      </c>
      <c r="S471">
        <f>HYPERLINK("https://klasma.github.io/Logging_0188/artfynd/A 21431-2023 artfynd.xlsx", "A 21431-2023")</f>
        <v/>
      </c>
      <c r="T471">
        <f>HYPERLINK("https://klasma.github.io/Logging_0188/kartor/A 21431-2023 karta.png", "A 21431-2023")</f>
        <v/>
      </c>
      <c r="V471">
        <f>HYPERLINK("https://klasma.github.io/Logging_0188/klagomål/A 21431-2023 FSC-klagomål.docx", "A 21431-2023")</f>
        <v/>
      </c>
      <c r="W471">
        <f>HYPERLINK("https://klasma.github.io/Logging_0188/klagomålsmail/A 21431-2023 FSC-klagomål mail.docx", "A 21431-2023")</f>
        <v/>
      </c>
      <c r="X471">
        <f>HYPERLINK("https://klasma.github.io/Logging_0188/tillsyn/A 21431-2023 tillsynsbegäran.docx", "A 21431-2023")</f>
        <v/>
      </c>
      <c r="Y471">
        <f>HYPERLINK("https://klasma.github.io/Logging_0188/tillsynsmail/A 21431-2023 tillsynsbegäran mail.docx", "A 21431-2023")</f>
        <v/>
      </c>
    </row>
    <row r="472" ht="15" customHeight="1">
      <c r="A472" t="inlineStr">
        <is>
          <t>A 21744-2023</t>
        </is>
      </c>
      <c r="B472" s="1" t="n">
        <v>45065</v>
      </c>
      <c r="C472" s="1" t="n">
        <v>45672</v>
      </c>
      <c r="D472" t="inlineStr">
        <is>
          <t>STOCKHOLMS LÄN</t>
        </is>
      </c>
      <c r="E472" t="inlineStr">
        <is>
          <t>NORRTÄLJE</t>
        </is>
      </c>
      <c r="F472" t="inlineStr">
        <is>
          <t>Holmen skog AB</t>
        </is>
      </c>
      <c r="G472" t="n">
        <v>4.2</v>
      </c>
      <c r="H472" t="n">
        <v>0</v>
      </c>
      <c r="I472" t="n">
        <v>1</v>
      </c>
      <c r="J472" t="n">
        <v>0</v>
      </c>
      <c r="K472" t="n">
        <v>0</v>
      </c>
      <c r="L472" t="n">
        <v>0</v>
      </c>
      <c r="M472" t="n">
        <v>0</v>
      </c>
      <c r="N472" t="n">
        <v>0</v>
      </c>
      <c r="O472" t="n">
        <v>0</v>
      </c>
      <c r="P472" t="n">
        <v>0</v>
      </c>
      <c r="Q472" t="n">
        <v>1</v>
      </c>
      <c r="R472" s="2" t="inlineStr">
        <is>
          <t>Korallblylav</t>
        </is>
      </c>
      <c r="S472">
        <f>HYPERLINK("https://klasma.github.io/Logging_0188/artfynd/A 21744-2023 artfynd.xlsx", "A 21744-2023")</f>
        <v/>
      </c>
      <c r="T472">
        <f>HYPERLINK("https://klasma.github.io/Logging_0188/kartor/A 21744-2023 karta.png", "A 21744-2023")</f>
        <v/>
      </c>
      <c r="V472">
        <f>HYPERLINK("https://klasma.github.io/Logging_0188/klagomål/A 21744-2023 FSC-klagomål.docx", "A 21744-2023")</f>
        <v/>
      </c>
      <c r="W472">
        <f>HYPERLINK("https://klasma.github.io/Logging_0188/klagomålsmail/A 21744-2023 FSC-klagomål mail.docx", "A 21744-2023")</f>
        <v/>
      </c>
      <c r="X472">
        <f>HYPERLINK("https://klasma.github.io/Logging_0188/tillsyn/A 21744-2023 tillsynsbegäran.docx", "A 21744-2023")</f>
        <v/>
      </c>
      <c r="Y472">
        <f>HYPERLINK("https://klasma.github.io/Logging_0188/tillsynsmail/A 21744-2023 tillsynsbegäran mail.docx", "A 21744-2023")</f>
        <v/>
      </c>
    </row>
    <row r="473" ht="15" customHeight="1">
      <c r="A473" t="inlineStr">
        <is>
          <t>A 24233-2023</t>
        </is>
      </c>
      <c r="B473" s="1" t="n">
        <v>45076</v>
      </c>
      <c r="C473" s="1" t="n">
        <v>45672</v>
      </c>
      <c r="D473" t="inlineStr">
        <is>
          <t>STOCKHOLMS LÄN</t>
        </is>
      </c>
      <c r="E473" t="inlineStr">
        <is>
          <t>HUDDINGE</t>
        </is>
      </c>
      <c r="G473" t="n">
        <v>3.7</v>
      </c>
      <c r="H473" t="n">
        <v>0</v>
      </c>
      <c r="I473" t="n">
        <v>0</v>
      </c>
      <c r="J473" t="n">
        <v>1</v>
      </c>
      <c r="K473" t="n">
        <v>0</v>
      </c>
      <c r="L473" t="n">
        <v>0</v>
      </c>
      <c r="M473" t="n">
        <v>0</v>
      </c>
      <c r="N473" t="n">
        <v>0</v>
      </c>
      <c r="O473" t="n">
        <v>1</v>
      </c>
      <c r="P473" t="n">
        <v>0</v>
      </c>
      <c r="Q473" t="n">
        <v>1</v>
      </c>
      <c r="R473" s="2" t="inlineStr">
        <is>
          <t>Svartvit taggsvamp</t>
        </is>
      </c>
      <c r="S473">
        <f>HYPERLINK("https://klasma.github.io/Logging_0126/artfynd/A 24233-2023 artfynd.xlsx", "A 24233-2023")</f>
        <v/>
      </c>
      <c r="T473">
        <f>HYPERLINK("https://klasma.github.io/Logging_0126/kartor/A 24233-2023 karta.png", "A 24233-2023")</f>
        <v/>
      </c>
      <c r="V473">
        <f>HYPERLINK("https://klasma.github.io/Logging_0126/klagomål/A 24233-2023 FSC-klagomål.docx", "A 24233-2023")</f>
        <v/>
      </c>
      <c r="W473">
        <f>HYPERLINK("https://klasma.github.io/Logging_0126/klagomålsmail/A 24233-2023 FSC-klagomål mail.docx", "A 24233-2023")</f>
        <v/>
      </c>
      <c r="X473">
        <f>HYPERLINK("https://klasma.github.io/Logging_0126/tillsyn/A 24233-2023 tillsynsbegäran.docx", "A 24233-2023")</f>
        <v/>
      </c>
      <c r="Y473">
        <f>HYPERLINK("https://klasma.github.io/Logging_0126/tillsynsmail/A 24233-2023 tillsynsbegäran mail.docx", "A 24233-2023")</f>
        <v/>
      </c>
    </row>
    <row r="474" ht="15" customHeight="1">
      <c r="A474" t="inlineStr">
        <is>
          <t>A 24368-2023</t>
        </is>
      </c>
      <c r="B474" s="1" t="n">
        <v>45076</v>
      </c>
      <c r="C474" s="1" t="n">
        <v>45672</v>
      </c>
      <c r="D474" t="inlineStr">
        <is>
          <t>STOCKHOLMS LÄN</t>
        </is>
      </c>
      <c r="E474" t="inlineStr">
        <is>
          <t>HUDDINGE</t>
        </is>
      </c>
      <c r="G474" t="n">
        <v>3</v>
      </c>
      <c r="H474" t="n">
        <v>1</v>
      </c>
      <c r="I474" t="n">
        <v>1</v>
      </c>
      <c r="J474" t="n">
        <v>0</v>
      </c>
      <c r="K474" t="n">
        <v>0</v>
      </c>
      <c r="L474" t="n">
        <v>0</v>
      </c>
      <c r="M474" t="n">
        <v>0</v>
      </c>
      <c r="N474" t="n">
        <v>0</v>
      </c>
      <c r="O474" t="n">
        <v>0</v>
      </c>
      <c r="P474" t="n">
        <v>0</v>
      </c>
      <c r="Q474" t="n">
        <v>1</v>
      </c>
      <c r="R474" s="2" t="inlineStr">
        <is>
          <t>Plattlummer</t>
        </is>
      </c>
      <c r="S474">
        <f>HYPERLINK("https://klasma.github.io/Logging_0126/artfynd/A 24368-2023 artfynd.xlsx", "A 24368-2023")</f>
        <v/>
      </c>
      <c r="T474">
        <f>HYPERLINK("https://klasma.github.io/Logging_0126/kartor/A 24368-2023 karta.png", "A 24368-2023")</f>
        <v/>
      </c>
      <c r="V474">
        <f>HYPERLINK("https://klasma.github.io/Logging_0126/klagomål/A 24368-2023 FSC-klagomål.docx", "A 24368-2023")</f>
        <v/>
      </c>
      <c r="W474">
        <f>HYPERLINK("https://klasma.github.io/Logging_0126/klagomålsmail/A 24368-2023 FSC-klagomål mail.docx", "A 24368-2023")</f>
        <v/>
      </c>
      <c r="X474">
        <f>HYPERLINK("https://klasma.github.io/Logging_0126/tillsyn/A 24368-2023 tillsynsbegäran.docx", "A 24368-2023")</f>
        <v/>
      </c>
      <c r="Y474">
        <f>HYPERLINK("https://klasma.github.io/Logging_0126/tillsynsmail/A 24368-2023 tillsynsbegäran mail.docx", "A 24368-2023")</f>
        <v/>
      </c>
    </row>
    <row r="475" ht="15" customHeight="1">
      <c r="A475" t="inlineStr">
        <is>
          <t>A 24384-2023</t>
        </is>
      </c>
      <c r="B475" s="1" t="n">
        <v>45076</v>
      </c>
      <c r="C475" s="1" t="n">
        <v>45672</v>
      </c>
      <c r="D475" t="inlineStr">
        <is>
          <t>STOCKHOLMS LÄN</t>
        </is>
      </c>
      <c r="E475" t="inlineStr">
        <is>
          <t>HUDDINGE</t>
        </is>
      </c>
      <c r="G475" t="n">
        <v>1</v>
      </c>
      <c r="H475" t="n">
        <v>0</v>
      </c>
      <c r="I475" t="n">
        <v>0</v>
      </c>
      <c r="J475" t="n">
        <v>1</v>
      </c>
      <c r="K475" t="n">
        <v>0</v>
      </c>
      <c r="L475" t="n">
        <v>0</v>
      </c>
      <c r="M475" t="n">
        <v>0</v>
      </c>
      <c r="N475" t="n">
        <v>0</v>
      </c>
      <c r="O475" t="n">
        <v>1</v>
      </c>
      <c r="P475" t="n">
        <v>0</v>
      </c>
      <c r="Q475" t="n">
        <v>1</v>
      </c>
      <c r="R475" s="2" t="inlineStr">
        <is>
          <t>Kolflarnlav</t>
        </is>
      </c>
      <c r="S475">
        <f>HYPERLINK("https://klasma.github.io/Logging_0126/artfynd/A 24384-2023 artfynd.xlsx", "A 24384-2023")</f>
        <v/>
      </c>
      <c r="T475">
        <f>HYPERLINK("https://klasma.github.io/Logging_0126/kartor/A 24384-2023 karta.png", "A 24384-2023")</f>
        <v/>
      </c>
      <c r="V475">
        <f>HYPERLINK("https://klasma.github.io/Logging_0126/klagomål/A 24384-2023 FSC-klagomål.docx", "A 24384-2023")</f>
        <v/>
      </c>
      <c r="W475">
        <f>HYPERLINK("https://klasma.github.io/Logging_0126/klagomålsmail/A 24384-2023 FSC-klagomål mail.docx", "A 24384-2023")</f>
        <v/>
      </c>
      <c r="X475">
        <f>HYPERLINK("https://klasma.github.io/Logging_0126/tillsyn/A 24384-2023 tillsynsbegäran.docx", "A 24384-2023")</f>
        <v/>
      </c>
      <c r="Y475">
        <f>HYPERLINK("https://klasma.github.io/Logging_0126/tillsynsmail/A 24384-2023 tillsynsbegäran mail.docx", "A 24384-2023")</f>
        <v/>
      </c>
    </row>
    <row r="476" ht="15" customHeight="1">
      <c r="A476" t="inlineStr">
        <is>
          <t>A 23829-2023</t>
        </is>
      </c>
      <c r="B476" s="1" t="n">
        <v>45078</v>
      </c>
      <c r="C476" s="1" t="n">
        <v>45672</v>
      </c>
      <c r="D476" t="inlineStr">
        <is>
          <t>STOCKHOLMS LÄN</t>
        </is>
      </c>
      <c r="E476" t="inlineStr">
        <is>
          <t>BOTKYRKA</t>
        </is>
      </c>
      <c r="F476" t="inlineStr">
        <is>
          <t>Kommuner</t>
        </is>
      </c>
      <c r="G476" t="n">
        <v>3.7</v>
      </c>
      <c r="H476" t="n">
        <v>0</v>
      </c>
      <c r="I476" t="n">
        <v>1</v>
      </c>
      <c r="J476" t="n">
        <v>0</v>
      </c>
      <c r="K476" t="n">
        <v>0</v>
      </c>
      <c r="L476" t="n">
        <v>0</v>
      </c>
      <c r="M476" t="n">
        <v>0</v>
      </c>
      <c r="N476" t="n">
        <v>0</v>
      </c>
      <c r="O476" t="n">
        <v>0</v>
      </c>
      <c r="P476" t="n">
        <v>0</v>
      </c>
      <c r="Q476" t="n">
        <v>1</v>
      </c>
      <c r="R476" s="2" t="inlineStr">
        <is>
          <t>Fjällig taggsvamp s.str.</t>
        </is>
      </c>
      <c r="S476">
        <f>HYPERLINK("https://klasma.github.io/Logging_0127/artfynd/A 23829-2023 artfynd.xlsx", "A 23829-2023")</f>
        <v/>
      </c>
      <c r="T476">
        <f>HYPERLINK("https://klasma.github.io/Logging_0127/kartor/A 23829-2023 karta.png", "A 23829-2023")</f>
        <v/>
      </c>
      <c r="V476">
        <f>HYPERLINK("https://klasma.github.io/Logging_0127/klagomål/A 23829-2023 FSC-klagomål.docx", "A 23829-2023")</f>
        <v/>
      </c>
      <c r="W476">
        <f>HYPERLINK("https://klasma.github.io/Logging_0127/klagomålsmail/A 23829-2023 FSC-klagomål mail.docx", "A 23829-2023")</f>
        <v/>
      </c>
      <c r="X476">
        <f>HYPERLINK("https://klasma.github.io/Logging_0127/tillsyn/A 23829-2023 tillsynsbegäran.docx", "A 23829-2023")</f>
        <v/>
      </c>
      <c r="Y476">
        <f>HYPERLINK("https://klasma.github.io/Logging_0127/tillsynsmail/A 23829-2023 tillsynsbegäran mail.docx", "A 23829-2023")</f>
        <v/>
      </c>
    </row>
    <row r="477" ht="15" customHeight="1">
      <c r="A477" t="inlineStr">
        <is>
          <t>A 23823-2023</t>
        </is>
      </c>
      <c r="B477" s="1" t="n">
        <v>45078</v>
      </c>
      <c r="C477" s="1" t="n">
        <v>45672</v>
      </c>
      <c r="D477" t="inlineStr">
        <is>
          <t>STOCKHOLMS LÄN</t>
        </is>
      </c>
      <c r="E477" t="inlineStr">
        <is>
          <t>SALEM</t>
        </is>
      </c>
      <c r="F477" t="inlineStr">
        <is>
          <t>Kommuner</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HYPERLINK("https://klasma.github.io/Logging_0128/artfynd/A 23823-2023 artfynd.xlsx", "A 23823-2023")</f>
        <v/>
      </c>
      <c r="T477">
        <f>HYPERLINK("https://klasma.github.io/Logging_0128/kartor/A 23823-2023 karta.png", "A 23823-2023")</f>
        <v/>
      </c>
      <c r="V477">
        <f>HYPERLINK("https://klasma.github.io/Logging_0128/klagomål/A 23823-2023 FSC-klagomål.docx", "A 23823-2023")</f>
        <v/>
      </c>
      <c r="W477">
        <f>HYPERLINK("https://klasma.github.io/Logging_0128/klagomålsmail/A 23823-2023 FSC-klagomål mail.docx", "A 23823-2023")</f>
        <v/>
      </c>
      <c r="X477">
        <f>HYPERLINK("https://klasma.github.io/Logging_0128/tillsyn/A 23823-2023 tillsynsbegäran.docx", "A 23823-2023")</f>
        <v/>
      </c>
      <c r="Y477">
        <f>HYPERLINK("https://klasma.github.io/Logging_0128/tillsynsmail/A 23823-2023 tillsynsbegäran mail.docx", "A 23823-2023")</f>
        <v/>
      </c>
    </row>
    <row r="478" ht="15" customHeight="1">
      <c r="A478" t="inlineStr">
        <is>
          <t>A 24535-2023</t>
        </is>
      </c>
      <c r="B478" s="1" t="n">
        <v>45082</v>
      </c>
      <c r="C478" s="1" t="n">
        <v>45672</v>
      </c>
      <c r="D478" t="inlineStr">
        <is>
          <t>STOCKHOLMS LÄN</t>
        </is>
      </c>
      <c r="E478" t="inlineStr">
        <is>
          <t>NORRTÄLJE</t>
        </is>
      </c>
      <c r="F478" t="inlineStr">
        <is>
          <t>Kommuner</t>
        </is>
      </c>
      <c r="G478" t="n">
        <v>2</v>
      </c>
      <c r="H478" t="n">
        <v>1</v>
      </c>
      <c r="I478" t="n">
        <v>0</v>
      </c>
      <c r="J478" t="n">
        <v>0</v>
      </c>
      <c r="K478" t="n">
        <v>0</v>
      </c>
      <c r="L478" t="n">
        <v>0</v>
      </c>
      <c r="M478" t="n">
        <v>0</v>
      </c>
      <c r="N478" t="n">
        <v>0</v>
      </c>
      <c r="O478" t="n">
        <v>0</v>
      </c>
      <c r="P478" t="n">
        <v>0</v>
      </c>
      <c r="Q478" t="n">
        <v>1</v>
      </c>
      <c r="R478" s="2" t="inlineStr">
        <is>
          <t>Blåsippa</t>
        </is>
      </c>
      <c r="S478">
        <f>HYPERLINK("https://klasma.github.io/Logging_0188/artfynd/A 24535-2023 artfynd.xlsx", "A 24535-2023")</f>
        <v/>
      </c>
      <c r="T478">
        <f>HYPERLINK("https://klasma.github.io/Logging_0188/kartor/A 24535-2023 karta.png", "A 24535-2023")</f>
        <v/>
      </c>
      <c r="V478">
        <f>HYPERLINK("https://klasma.github.io/Logging_0188/klagomål/A 24535-2023 FSC-klagomål.docx", "A 24535-2023")</f>
        <v/>
      </c>
      <c r="W478">
        <f>HYPERLINK("https://klasma.github.io/Logging_0188/klagomålsmail/A 24535-2023 FSC-klagomål mail.docx", "A 24535-2023")</f>
        <v/>
      </c>
      <c r="X478">
        <f>HYPERLINK("https://klasma.github.io/Logging_0188/tillsyn/A 24535-2023 tillsynsbegäran.docx", "A 24535-2023")</f>
        <v/>
      </c>
      <c r="Y478">
        <f>HYPERLINK("https://klasma.github.io/Logging_0188/tillsynsmail/A 24535-2023 tillsynsbegäran mail.docx", "A 24535-2023")</f>
        <v/>
      </c>
    </row>
    <row r="479" ht="15" customHeight="1">
      <c r="A479" t="inlineStr">
        <is>
          <t>A 26635-2023</t>
        </is>
      </c>
      <c r="B479" s="1" t="n">
        <v>45092</v>
      </c>
      <c r="C479" s="1" t="n">
        <v>45672</v>
      </c>
      <c r="D479" t="inlineStr">
        <is>
          <t>STOCKHOLMS LÄN</t>
        </is>
      </c>
      <c r="E479" t="inlineStr">
        <is>
          <t>NORRTÄLJE</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HYPERLINK("https://klasma.github.io/Logging_0188/artfynd/A 26635-2023 artfynd.xlsx", "A 26635-2023")</f>
        <v/>
      </c>
      <c r="T479">
        <f>HYPERLINK("https://klasma.github.io/Logging_0188/kartor/A 26635-2023 karta.png", "A 26635-2023")</f>
        <v/>
      </c>
      <c r="V479">
        <f>HYPERLINK("https://klasma.github.io/Logging_0188/klagomål/A 26635-2023 FSC-klagomål.docx", "A 26635-2023")</f>
        <v/>
      </c>
      <c r="W479">
        <f>HYPERLINK("https://klasma.github.io/Logging_0188/klagomålsmail/A 26635-2023 FSC-klagomål mail.docx", "A 26635-2023")</f>
        <v/>
      </c>
      <c r="X479">
        <f>HYPERLINK("https://klasma.github.io/Logging_0188/tillsyn/A 26635-2023 tillsynsbegäran.docx", "A 26635-2023")</f>
        <v/>
      </c>
      <c r="Y479">
        <f>HYPERLINK("https://klasma.github.io/Logging_0188/tillsynsmail/A 26635-2023 tillsynsbegäran mail.docx", "A 26635-2023")</f>
        <v/>
      </c>
    </row>
    <row r="480" ht="15" customHeight="1">
      <c r="A480" t="inlineStr">
        <is>
          <t>A 31142-2023</t>
        </is>
      </c>
      <c r="B480" s="1" t="n">
        <v>45113</v>
      </c>
      <c r="C480" s="1" t="n">
        <v>45672</v>
      </c>
      <c r="D480" t="inlineStr">
        <is>
          <t>STOCKHOLMS LÄN</t>
        </is>
      </c>
      <c r="E480" t="inlineStr">
        <is>
          <t>NYNÄSHAMN</t>
        </is>
      </c>
      <c r="G480" t="n">
        <v>5.7</v>
      </c>
      <c r="H480" t="n">
        <v>0</v>
      </c>
      <c r="I480" t="n">
        <v>0</v>
      </c>
      <c r="J480" t="n">
        <v>0</v>
      </c>
      <c r="K480" t="n">
        <v>0</v>
      </c>
      <c r="L480" t="n">
        <v>1</v>
      </c>
      <c r="M480" t="n">
        <v>0</v>
      </c>
      <c r="N480" t="n">
        <v>0</v>
      </c>
      <c r="O480" t="n">
        <v>1</v>
      </c>
      <c r="P480" t="n">
        <v>1</v>
      </c>
      <c r="Q480" t="n">
        <v>1</v>
      </c>
      <c r="R480" s="2" t="inlineStr">
        <is>
          <t>Ask</t>
        </is>
      </c>
      <c r="S480">
        <f>HYPERLINK("https://klasma.github.io/Logging_0192/artfynd/A 31142-2023 artfynd.xlsx", "A 31142-2023")</f>
        <v/>
      </c>
      <c r="T480">
        <f>HYPERLINK("https://klasma.github.io/Logging_0192/kartor/A 31142-2023 karta.png", "A 31142-2023")</f>
        <v/>
      </c>
      <c r="V480">
        <f>HYPERLINK("https://klasma.github.io/Logging_0192/klagomål/A 31142-2023 FSC-klagomål.docx", "A 31142-2023")</f>
        <v/>
      </c>
      <c r="W480">
        <f>HYPERLINK("https://klasma.github.io/Logging_0192/klagomålsmail/A 31142-2023 FSC-klagomål mail.docx", "A 31142-2023")</f>
        <v/>
      </c>
      <c r="X480">
        <f>HYPERLINK("https://klasma.github.io/Logging_0192/tillsyn/A 31142-2023 tillsynsbegäran.docx", "A 31142-2023")</f>
        <v/>
      </c>
      <c r="Y480">
        <f>HYPERLINK("https://klasma.github.io/Logging_0192/tillsynsmail/A 31142-2023 tillsynsbegäran mail.docx", "A 31142-2023")</f>
        <v/>
      </c>
    </row>
    <row r="481" ht="15" customHeight="1">
      <c r="A481" t="inlineStr">
        <is>
          <t>A 31828-2023</t>
        </is>
      </c>
      <c r="B481" s="1" t="n">
        <v>45118</v>
      </c>
      <c r="C481" s="1" t="n">
        <v>45672</v>
      </c>
      <c r="D481" t="inlineStr">
        <is>
          <t>STOCKHOLMS LÄN</t>
        </is>
      </c>
      <c r="E481" t="inlineStr">
        <is>
          <t>NYNÄSHAMN</t>
        </is>
      </c>
      <c r="F481" t="inlineStr">
        <is>
          <t>Kommuner</t>
        </is>
      </c>
      <c r="G481" t="n">
        <v>2.7</v>
      </c>
      <c r="H481" t="n">
        <v>0</v>
      </c>
      <c r="I481" t="n">
        <v>1</v>
      </c>
      <c r="J481" t="n">
        <v>0</v>
      </c>
      <c r="K481" t="n">
        <v>0</v>
      </c>
      <c r="L481" t="n">
        <v>0</v>
      </c>
      <c r="M481" t="n">
        <v>0</v>
      </c>
      <c r="N481" t="n">
        <v>0</v>
      </c>
      <c r="O481" t="n">
        <v>0</v>
      </c>
      <c r="P481" t="n">
        <v>0</v>
      </c>
      <c r="Q481" t="n">
        <v>1</v>
      </c>
      <c r="R481" s="2" t="inlineStr">
        <is>
          <t>Björksplintborre</t>
        </is>
      </c>
      <c r="S481">
        <f>HYPERLINK("https://klasma.github.io/Logging_0192/artfynd/A 31828-2023 artfynd.xlsx", "A 31828-2023")</f>
        <v/>
      </c>
      <c r="T481">
        <f>HYPERLINK("https://klasma.github.io/Logging_0192/kartor/A 31828-2023 karta.png", "A 31828-2023")</f>
        <v/>
      </c>
      <c r="V481">
        <f>HYPERLINK("https://klasma.github.io/Logging_0192/klagomål/A 31828-2023 FSC-klagomål.docx", "A 31828-2023")</f>
        <v/>
      </c>
      <c r="W481">
        <f>HYPERLINK("https://klasma.github.io/Logging_0192/klagomålsmail/A 31828-2023 FSC-klagomål mail.docx", "A 31828-2023")</f>
        <v/>
      </c>
      <c r="X481">
        <f>HYPERLINK("https://klasma.github.io/Logging_0192/tillsyn/A 31828-2023 tillsynsbegäran.docx", "A 31828-2023")</f>
        <v/>
      </c>
      <c r="Y481">
        <f>HYPERLINK("https://klasma.github.io/Logging_0192/tillsynsmail/A 31828-2023 tillsynsbegäran mail.docx", "A 31828-2023")</f>
        <v/>
      </c>
    </row>
    <row r="482" ht="15" customHeight="1">
      <c r="A482" t="inlineStr">
        <is>
          <t>A 31842-2023</t>
        </is>
      </c>
      <c r="B482" s="1" t="n">
        <v>45118</v>
      </c>
      <c r="C482" s="1" t="n">
        <v>45672</v>
      </c>
      <c r="D482" t="inlineStr">
        <is>
          <t>STOCKHOLMS LÄN</t>
        </is>
      </c>
      <c r="E482" t="inlineStr">
        <is>
          <t>NYNÄSHAMN</t>
        </is>
      </c>
      <c r="F482" t="inlineStr">
        <is>
          <t>Kommuner</t>
        </is>
      </c>
      <c r="G482" t="n">
        <v>3.8</v>
      </c>
      <c r="H482" t="n">
        <v>1</v>
      </c>
      <c r="I482" t="n">
        <v>1</v>
      </c>
      <c r="J482" t="n">
        <v>0</v>
      </c>
      <c r="K482" t="n">
        <v>0</v>
      </c>
      <c r="L482" t="n">
        <v>0</v>
      </c>
      <c r="M482" t="n">
        <v>0</v>
      </c>
      <c r="N482" t="n">
        <v>0</v>
      </c>
      <c r="O482" t="n">
        <v>0</v>
      </c>
      <c r="P482" t="n">
        <v>0</v>
      </c>
      <c r="Q482" t="n">
        <v>1</v>
      </c>
      <c r="R482" s="2" t="inlineStr">
        <is>
          <t>Grön sköldmossa</t>
        </is>
      </c>
      <c r="S482">
        <f>HYPERLINK("https://klasma.github.io/Logging_0192/artfynd/A 31842-2023 artfynd.xlsx", "A 31842-2023")</f>
        <v/>
      </c>
      <c r="T482">
        <f>HYPERLINK("https://klasma.github.io/Logging_0192/kartor/A 31842-2023 karta.png", "A 31842-2023")</f>
        <v/>
      </c>
      <c r="V482">
        <f>HYPERLINK("https://klasma.github.io/Logging_0192/klagomål/A 31842-2023 FSC-klagomål.docx", "A 31842-2023")</f>
        <v/>
      </c>
      <c r="W482">
        <f>HYPERLINK("https://klasma.github.io/Logging_0192/klagomålsmail/A 31842-2023 FSC-klagomål mail.docx", "A 31842-2023")</f>
        <v/>
      </c>
      <c r="X482">
        <f>HYPERLINK("https://klasma.github.io/Logging_0192/tillsyn/A 31842-2023 tillsynsbegäran.docx", "A 31842-2023")</f>
        <v/>
      </c>
      <c r="Y482">
        <f>HYPERLINK("https://klasma.github.io/Logging_0192/tillsynsmail/A 31842-2023 tillsynsbegäran mail.docx", "A 31842-2023")</f>
        <v/>
      </c>
    </row>
    <row r="483" ht="15" customHeight="1">
      <c r="A483" t="inlineStr">
        <is>
          <t>A 32338-2023</t>
        </is>
      </c>
      <c r="B483" s="1" t="n">
        <v>45120</v>
      </c>
      <c r="C483" s="1" t="n">
        <v>45672</v>
      </c>
      <c r="D483" t="inlineStr">
        <is>
          <t>STOCKHOLMS LÄN</t>
        </is>
      </c>
      <c r="E483" t="inlineStr">
        <is>
          <t>VÄRMDÖ</t>
        </is>
      </c>
      <c r="G483" t="n">
        <v>11.3</v>
      </c>
      <c r="H483" t="n">
        <v>0</v>
      </c>
      <c r="I483" t="n">
        <v>1</v>
      </c>
      <c r="J483" t="n">
        <v>0</v>
      </c>
      <c r="K483" t="n">
        <v>0</v>
      </c>
      <c r="L483" t="n">
        <v>0</v>
      </c>
      <c r="M483" t="n">
        <v>0</v>
      </c>
      <c r="N483" t="n">
        <v>0</v>
      </c>
      <c r="O483" t="n">
        <v>0</v>
      </c>
      <c r="P483" t="n">
        <v>0</v>
      </c>
      <c r="Q483" t="n">
        <v>1</v>
      </c>
      <c r="R483" s="2" t="inlineStr">
        <is>
          <t>Strävlosta</t>
        </is>
      </c>
      <c r="S483">
        <f>HYPERLINK("https://klasma.github.io/Logging_0120/artfynd/A 32338-2023 artfynd.xlsx", "A 32338-2023")</f>
        <v/>
      </c>
      <c r="T483">
        <f>HYPERLINK("https://klasma.github.io/Logging_0120/kartor/A 32338-2023 karta.png", "A 32338-2023")</f>
        <v/>
      </c>
      <c r="V483">
        <f>HYPERLINK("https://klasma.github.io/Logging_0120/klagomål/A 32338-2023 FSC-klagomål.docx", "A 32338-2023")</f>
        <v/>
      </c>
      <c r="W483">
        <f>HYPERLINK("https://klasma.github.io/Logging_0120/klagomålsmail/A 32338-2023 FSC-klagomål mail.docx", "A 32338-2023")</f>
        <v/>
      </c>
      <c r="X483">
        <f>HYPERLINK("https://klasma.github.io/Logging_0120/tillsyn/A 32338-2023 tillsynsbegäran.docx", "A 32338-2023")</f>
        <v/>
      </c>
      <c r="Y483">
        <f>HYPERLINK("https://klasma.github.io/Logging_0120/tillsynsmail/A 32338-2023 tillsynsbegäran mail.docx", "A 32338-2023")</f>
        <v/>
      </c>
    </row>
    <row r="484" ht="15" customHeight="1">
      <c r="A484" t="inlineStr">
        <is>
          <t>A 32455-2023</t>
        </is>
      </c>
      <c r="B484" s="1" t="n">
        <v>45120</v>
      </c>
      <c r="C484" s="1" t="n">
        <v>45672</v>
      </c>
      <c r="D484" t="inlineStr">
        <is>
          <t>STOCKHOLMS LÄN</t>
        </is>
      </c>
      <c r="E484" t="inlineStr">
        <is>
          <t>VÄRMDÖ</t>
        </is>
      </c>
      <c r="G484" t="n">
        <v>4.1</v>
      </c>
      <c r="H484" t="n">
        <v>1</v>
      </c>
      <c r="I484" t="n">
        <v>0</v>
      </c>
      <c r="J484" t="n">
        <v>0</v>
      </c>
      <c r="K484" t="n">
        <v>0</v>
      </c>
      <c r="L484" t="n">
        <v>0</v>
      </c>
      <c r="M484" t="n">
        <v>0</v>
      </c>
      <c r="N484" t="n">
        <v>0</v>
      </c>
      <c r="O484" t="n">
        <v>0</v>
      </c>
      <c r="P484" t="n">
        <v>0</v>
      </c>
      <c r="Q484" t="n">
        <v>1</v>
      </c>
      <c r="R484" s="2" t="inlineStr">
        <is>
          <t>Blåsippa</t>
        </is>
      </c>
      <c r="S484">
        <f>HYPERLINK("https://klasma.github.io/Logging_0120/artfynd/A 32455-2023 artfynd.xlsx", "A 32455-2023")</f>
        <v/>
      </c>
      <c r="T484">
        <f>HYPERLINK("https://klasma.github.io/Logging_0120/kartor/A 32455-2023 karta.png", "A 32455-2023")</f>
        <v/>
      </c>
      <c r="V484">
        <f>HYPERLINK("https://klasma.github.io/Logging_0120/klagomål/A 32455-2023 FSC-klagomål.docx", "A 32455-2023")</f>
        <v/>
      </c>
      <c r="W484">
        <f>HYPERLINK("https://klasma.github.io/Logging_0120/klagomålsmail/A 32455-2023 FSC-klagomål mail.docx", "A 32455-2023")</f>
        <v/>
      </c>
      <c r="X484">
        <f>HYPERLINK("https://klasma.github.io/Logging_0120/tillsyn/A 32455-2023 tillsynsbegäran.docx", "A 32455-2023")</f>
        <v/>
      </c>
      <c r="Y484">
        <f>HYPERLINK("https://klasma.github.io/Logging_0120/tillsynsmail/A 32455-2023 tillsynsbegäran mail.docx", "A 32455-2023")</f>
        <v/>
      </c>
    </row>
    <row r="485" ht="15" customHeight="1">
      <c r="A485" t="inlineStr">
        <is>
          <t>A 33528-2023</t>
        </is>
      </c>
      <c r="B485" s="1" t="n">
        <v>45131</v>
      </c>
      <c r="C485" s="1" t="n">
        <v>45672</v>
      </c>
      <c r="D485" t="inlineStr">
        <is>
          <t>STOCKHOLMS LÄN</t>
        </is>
      </c>
      <c r="E485" t="inlineStr">
        <is>
          <t>NYNÄSHAMN</t>
        </is>
      </c>
      <c r="G485" t="n">
        <v>4</v>
      </c>
      <c r="H485" t="n">
        <v>0</v>
      </c>
      <c r="I485" t="n">
        <v>1</v>
      </c>
      <c r="J485" t="n">
        <v>0</v>
      </c>
      <c r="K485" t="n">
        <v>0</v>
      </c>
      <c r="L485" t="n">
        <v>0</v>
      </c>
      <c r="M485" t="n">
        <v>0</v>
      </c>
      <c r="N485" t="n">
        <v>0</v>
      </c>
      <c r="O485" t="n">
        <v>0</v>
      </c>
      <c r="P485" t="n">
        <v>0</v>
      </c>
      <c r="Q485" t="n">
        <v>1</v>
      </c>
      <c r="R485" s="2" t="inlineStr">
        <is>
          <t>Strutbräken</t>
        </is>
      </c>
      <c r="S485">
        <f>HYPERLINK("https://klasma.github.io/Logging_0192/artfynd/A 33528-2023 artfynd.xlsx", "A 33528-2023")</f>
        <v/>
      </c>
      <c r="T485">
        <f>HYPERLINK("https://klasma.github.io/Logging_0192/kartor/A 33528-2023 karta.png", "A 33528-2023")</f>
        <v/>
      </c>
      <c r="V485">
        <f>HYPERLINK("https://klasma.github.io/Logging_0192/klagomål/A 33528-2023 FSC-klagomål.docx", "A 33528-2023")</f>
        <v/>
      </c>
      <c r="W485">
        <f>HYPERLINK("https://klasma.github.io/Logging_0192/klagomålsmail/A 33528-2023 FSC-klagomål mail.docx", "A 33528-2023")</f>
        <v/>
      </c>
      <c r="X485">
        <f>HYPERLINK("https://klasma.github.io/Logging_0192/tillsyn/A 33528-2023 tillsynsbegäran.docx", "A 33528-2023")</f>
        <v/>
      </c>
      <c r="Y485">
        <f>HYPERLINK("https://klasma.github.io/Logging_0192/tillsynsmail/A 33528-2023 tillsynsbegäran mail.docx", "A 33528-2023")</f>
        <v/>
      </c>
    </row>
    <row r="486" ht="15" customHeight="1">
      <c r="A486" t="inlineStr">
        <is>
          <t>A 35155-2023</t>
        </is>
      </c>
      <c r="B486" s="1" t="n">
        <v>45145</v>
      </c>
      <c r="C486" s="1" t="n">
        <v>45672</v>
      </c>
      <c r="D486" t="inlineStr">
        <is>
          <t>STOCKHOLMS LÄN</t>
        </is>
      </c>
      <c r="E486" t="inlineStr">
        <is>
          <t>SÖDERTÄLJE</t>
        </is>
      </c>
      <c r="G486" t="n">
        <v>4.1</v>
      </c>
      <c r="H486" t="n">
        <v>1</v>
      </c>
      <c r="I486" t="n">
        <v>0</v>
      </c>
      <c r="J486" t="n">
        <v>0</v>
      </c>
      <c r="K486" t="n">
        <v>0</v>
      </c>
      <c r="L486" t="n">
        <v>0</v>
      </c>
      <c r="M486" t="n">
        <v>0</v>
      </c>
      <c r="N486" t="n">
        <v>0</v>
      </c>
      <c r="O486" t="n">
        <v>0</v>
      </c>
      <c r="P486" t="n">
        <v>0</v>
      </c>
      <c r="Q486" t="n">
        <v>1</v>
      </c>
      <c r="R486" s="2" t="inlineStr">
        <is>
          <t>Mattlummer</t>
        </is>
      </c>
      <c r="S486">
        <f>HYPERLINK("https://klasma.github.io/Logging_0181/artfynd/A 35155-2023 artfynd.xlsx", "A 35155-2023")</f>
        <v/>
      </c>
      <c r="T486">
        <f>HYPERLINK("https://klasma.github.io/Logging_0181/kartor/A 35155-2023 karta.png", "A 35155-2023")</f>
        <v/>
      </c>
      <c r="V486">
        <f>HYPERLINK("https://klasma.github.io/Logging_0181/klagomål/A 35155-2023 FSC-klagomål.docx", "A 35155-2023")</f>
        <v/>
      </c>
      <c r="W486">
        <f>HYPERLINK("https://klasma.github.io/Logging_0181/klagomålsmail/A 35155-2023 FSC-klagomål mail.docx", "A 35155-2023")</f>
        <v/>
      </c>
      <c r="X486">
        <f>HYPERLINK("https://klasma.github.io/Logging_0181/tillsyn/A 35155-2023 tillsynsbegäran.docx", "A 35155-2023")</f>
        <v/>
      </c>
      <c r="Y486">
        <f>HYPERLINK("https://klasma.github.io/Logging_0181/tillsynsmail/A 35155-2023 tillsynsbegäran mail.docx", "A 35155-2023")</f>
        <v/>
      </c>
    </row>
    <row r="487" ht="15" customHeight="1">
      <c r="A487" t="inlineStr">
        <is>
          <t>A 35649-2023</t>
        </is>
      </c>
      <c r="B487" s="1" t="n">
        <v>45146</v>
      </c>
      <c r="C487" s="1" t="n">
        <v>45672</v>
      </c>
      <c r="D487" t="inlineStr">
        <is>
          <t>STOCKHOLMS LÄN</t>
        </is>
      </c>
      <c r="E487" t="inlineStr">
        <is>
          <t>NORRTÄLJE</t>
        </is>
      </c>
      <c r="G487" t="n">
        <v>25.1</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35649-2023 artfynd.xlsx", "A 35649-2023")</f>
        <v/>
      </c>
      <c r="T487">
        <f>HYPERLINK("https://klasma.github.io/Logging_0188/kartor/A 35649-2023 karta.png", "A 35649-2023")</f>
        <v/>
      </c>
      <c r="V487">
        <f>HYPERLINK("https://klasma.github.io/Logging_0188/klagomål/A 35649-2023 FSC-klagomål.docx", "A 35649-2023")</f>
        <v/>
      </c>
      <c r="W487">
        <f>HYPERLINK("https://klasma.github.io/Logging_0188/klagomålsmail/A 35649-2023 FSC-klagomål mail.docx", "A 35649-2023")</f>
        <v/>
      </c>
      <c r="X487">
        <f>HYPERLINK("https://klasma.github.io/Logging_0188/tillsyn/A 35649-2023 tillsynsbegäran.docx", "A 35649-2023")</f>
        <v/>
      </c>
      <c r="Y487">
        <f>HYPERLINK("https://klasma.github.io/Logging_0188/tillsynsmail/A 35649-2023 tillsynsbegäran mail.docx", "A 35649-2023")</f>
        <v/>
      </c>
    </row>
    <row r="488" ht="15" customHeight="1">
      <c r="A488" t="inlineStr">
        <is>
          <t>A 35953-2023</t>
        </is>
      </c>
      <c r="B488" s="1" t="n">
        <v>45148</v>
      </c>
      <c r="C488" s="1" t="n">
        <v>45672</v>
      </c>
      <c r="D488" t="inlineStr">
        <is>
          <t>STOCKHOLMS LÄN</t>
        </is>
      </c>
      <c r="E488" t="inlineStr">
        <is>
          <t>EKERÖ</t>
        </is>
      </c>
      <c r="G488" t="n">
        <v>2.1</v>
      </c>
      <c r="H488" t="n">
        <v>1</v>
      </c>
      <c r="I488" t="n">
        <v>0</v>
      </c>
      <c r="J488" t="n">
        <v>0</v>
      </c>
      <c r="K488" t="n">
        <v>0</v>
      </c>
      <c r="L488" t="n">
        <v>0</v>
      </c>
      <c r="M488" t="n">
        <v>0</v>
      </c>
      <c r="N488" t="n">
        <v>0</v>
      </c>
      <c r="O488" t="n">
        <v>0</v>
      </c>
      <c r="P488" t="n">
        <v>0</v>
      </c>
      <c r="Q488" t="n">
        <v>1</v>
      </c>
      <c r="R488" s="2" t="inlineStr">
        <is>
          <t>Vanlig groda</t>
        </is>
      </c>
      <c r="S488">
        <f>HYPERLINK("https://klasma.github.io/Logging_0125/artfynd/A 35953-2023 artfynd.xlsx", "A 35953-2023")</f>
        <v/>
      </c>
      <c r="T488">
        <f>HYPERLINK("https://klasma.github.io/Logging_0125/kartor/A 35953-2023 karta.png", "A 35953-2023")</f>
        <v/>
      </c>
      <c r="V488">
        <f>HYPERLINK("https://klasma.github.io/Logging_0125/klagomål/A 35953-2023 FSC-klagomål.docx", "A 35953-2023")</f>
        <v/>
      </c>
      <c r="W488">
        <f>HYPERLINK("https://klasma.github.io/Logging_0125/klagomålsmail/A 35953-2023 FSC-klagomål mail.docx", "A 35953-2023")</f>
        <v/>
      </c>
      <c r="X488">
        <f>HYPERLINK("https://klasma.github.io/Logging_0125/tillsyn/A 35953-2023 tillsynsbegäran.docx", "A 35953-2023")</f>
        <v/>
      </c>
      <c r="Y488">
        <f>HYPERLINK("https://klasma.github.io/Logging_0125/tillsynsmail/A 35953-2023 tillsynsbegäran mail.docx", "A 35953-2023")</f>
        <v/>
      </c>
    </row>
    <row r="489" ht="15" customHeight="1">
      <c r="A489" t="inlineStr">
        <is>
          <t>A 38553-2023</t>
        </is>
      </c>
      <c r="B489" s="1" t="n">
        <v>45162</v>
      </c>
      <c r="C489" s="1" t="n">
        <v>45672</v>
      </c>
      <c r="D489" t="inlineStr">
        <is>
          <t>STOCKHOLMS LÄN</t>
        </is>
      </c>
      <c r="E489" t="inlineStr">
        <is>
          <t>VALLENTUNA</t>
        </is>
      </c>
      <c r="G489" t="n">
        <v>4.7</v>
      </c>
      <c r="H489" t="n">
        <v>0</v>
      </c>
      <c r="I489" t="n">
        <v>1</v>
      </c>
      <c r="J489" t="n">
        <v>0</v>
      </c>
      <c r="K489" t="n">
        <v>0</v>
      </c>
      <c r="L489" t="n">
        <v>0</v>
      </c>
      <c r="M489" t="n">
        <v>0</v>
      </c>
      <c r="N489" t="n">
        <v>0</v>
      </c>
      <c r="O489" t="n">
        <v>0</v>
      </c>
      <c r="P489" t="n">
        <v>0</v>
      </c>
      <c r="Q489" t="n">
        <v>1</v>
      </c>
      <c r="R489" s="2" t="inlineStr">
        <is>
          <t>Kamjordstjärna</t>
        </is>
      </c>
      <c r="S489">
        <f>HYPERLINK("https://klasma.github.io/Logging_0115/artfynd/A 38553-2023 artfynd.xlsx", "A 38553-2023")</f>
        <v/>
      </c>
      <c r="T489">
        <f>HYPERLINK("https://klasma.github.io/Logging_0115/kartor/A 38553-2023 karta.png", "A 38553-2023")</f>
        <v/>
      </c>
      <c r="V489">
        <f>HYPERLINK("https://klasma.github.io/Logging_0115/klagomål/A 38553-2023 FSC-klagomål.docx", "A 38553-2023")</f>
        <v/>
      </c>
      <c r="W489">
        <f>HYPERLINK("https://klasma.github.io/Logging_0115/klagomålsmail/A 38553-2023 FSC-klagomål mail.docx", "A 38553-2023")</f>
        <v/>
      </c>
      <c r="X489">
        <f>HYPERLINK("https://klasma.github.io/Logging_0115/tillsyn/A 38553-2023 tillsynsbegäran.docx", "A 38553-2023")</f>
        <v/>
      </c>
      <c r="Y489">
        <f>HYPERLINK("https://klasma.github.io/Logging_0115/tillsynsmail/A 38553-2023 tillsynsbegäran mail.docx", "A 38553-2023")</f>
        <v/>
      </c>
    </row>
    <row r="490" ht="15" customHeight="1">
      <c r="A490" t="inlineStr">
        <is>
          <t>A 39716-2023</t>
        </is>
      </c>
      <c r="B490" s="1" t="n">
        <v>45166</v>
      </c>
      <c r="C490" s="1" t="n">
        <v>45672</v>
      </c>
      <c r="D490" t="inlineStr">
        <is>
          <t>STOCKHOLMS LÄN</t>
        </is>
      </c>
      <c r="E490" t="inlineStr">
        <is>
          <t>SIGTUNA</t>
        </is>
      </c>
      <c r="G490" t="n">
        <v>3.5</v>
      </c>
      <c r="H490" t="n">
        <v>1</v>
      </c>
      <c r="I490" t="n">
        <v>0</v>
      </c>
      <c r="J490" t="n">
        <v>1</v>
      </c>
      <c r="K490" t="n">
        <v>0</v>
      </c>
      <c r="L490" t="n">
        <v>0</v>
      </c>
      <c r="M490" t="n">
        <v>0</v>
      </c>
      <c r="N490" t="n">
        <v>0</v>
      </c>
      <c r="O490" t="n">
        <v>1</v>
      </c>
      <c r="P490" t="n">
        <v>0</v>
      </c>
      <c r="Q490" t="n">
        <v>1</v>
      </c>
      <c r="R490" s="2" t="inlineStr">
        <is>
          <t>Hornuggla</t>
        </is>
      </c>
      <c r="S490">
        <f>HYPERLINK("https://klasma.github.io/Logging_0191/artfynd/A 39716-2023 artfynd.xlsx", "A 39716-2023")</f>
        <v/>
      </c>
      <c r="T490">
        <f>HYPERLINK("https://klasma.github.io/Logging_0191/kartor/A 39716-2023 karta.png", "A 39716-2023")</f>
        <v/>
      </c>
      <c r="V490">
        <f>HYPERLINK("https://klasma.github.io/Logging_0191/klagomål/A 39716-2023 FSC-klagomål.docx", "A 39716-2023")</f>
        <v/>
      </c>
      <c r="W490">
        <f>HYPERLINK("https://klasma.github.io/Logging_0191/klagomålsmail/A 39716-2023 FSC-klagomål mail.docx", "A 39716-2023")</f>
        <v/>
      </c>
      <c r="X490">
        <f>HYPERLINK("https://klasma.github.io/Logging_0191/tillsyn/A 39716-2023 tillsynsbegäran.docx", "A 39716-2023")</f>
        <v/>
      </c>
      <c r="Y490">
        <f>HYPERLINK("https://klasma.github.io/Logging_0191/tillsynsmail/A 39716-2023 tillsynsbegäran mail.docx", "A 39716-2023")</f>
        <v/>
      </c>
      <c r="Z490">
        <f>HYPERLINK("https://klasma.github.io/Logging_0191/fåglar/A 39716-2023 prioriterade fågelarter.docx", "A 39716-2023")</f>
        <v/>
      </c>
    </row>
    <row r="491" ht="15" customHeight="1">
      <c r="A491" t="inlineStr">
        <is>
          <t>A 43178-2023</t>
        </is>
      </c>
      <c r="B491" s="1" t="n">
        <v>45183</v>
      </c>
      <c r="C491" s="1" t="n">
        <v>45672</v>
      </c>
      <c r="D491" t="inlineStr">
        <is>
          <t>STOCKHOLMS LÄN</t>
        </is>
      </c>
      <c r="E491" t="inlineStr">
        <is>
          <t>NORRTÄLJE</t>
        </is>
      </c>
      <c r="F491" t="inlineStr">
        <is>
          <t>Kyrkan</t>
        </is>
      </c>
      <c r="G491" t="n">
        <v>1.5</v>
      </c>
      <c r="H491" t="n">
        <v>0</v>
      </c>
      <c r="I491" t="n">
        <v>0</v>
      </c>
      <c r="J491" t="n">
        <v>1</v>
      </c>
      <c r="K491" t="n">
        <v>0</v>
      </c>
      <c r="L491" t="n">
        <v>0</v>
      </c>
      <c r="M491" t="n">
        <v>0</v>
      </c>
      <c r="N491" t="n">
        <v>0</v>
      </c>
      <c r="O491" t="n">
        <v>1</v>
      </c>
      <c r="P491" t="n">
        <v>0</v>
      </c>
      <c r="Q491" t="n">
        <v>1</v>
      </c>
      <c r="R491" s="2" t="inlineStr">
        <is>
          <t>Mindre bastardsvärmare</t>
        </is>
      </c>
      <c r="S491">
        <f>HYPERLINK("https://klasma.github.io/Logging_0188/artfynd/A 43178-2023 artfynd.xlsx", "A 43178-2023")</f>
        <v/>
      </c>
      <c r="T491">
        <f>HYPERLINK("https://klasma.github.io/Logging_0188/kartor/A 43178-2023 karta.png", "A 43178-2023")</f>
        <v/>
      </c>
      <c r="V491">
        <f>HYPERLINK("https://klasma.github.io/Logging_0188/klagomål/A 43178-2023 FSC-klagomål.docx", "A 43178-2023")</f>
        <v/>
      </c>
      <c r="W491">
        <f>HYPERLINK("https://klasma.github.io/Logging_0188/klagomålsmail/A 43178-2023 FSC-klagomål mail.docx", "A 43178-2023")</f>
        <v/>
      </c>
      <c r="X491">
        <f>HYPERLINK("https://klasma.github.io/Logging_0188/tillsyn/A 43178-2023 tillsynsbegäran.docx", "A 43178-2023")</f>
        <v/>
      </c>
      <c r="Y491">
        <f>HYPERLINK("https://klasma.github.io/Logging_0188/tillsynsmail/A 43178-2023 tillsynsbegäran mail.docx", "A 43178-2023")</f>
        <v/>
      </c>
    </row>
    <row r="492" ht="15" customHeight="1">
      <c r="A492" t="inlineStr">
        <is>
          <t>A 43171-2023</t>
        </is>
      </c>
      <c r="B492" s="1" t="n">
        <v>45183</v>
      </c>
      <c r="C492" s="1" t="n">
        <v>45672</v>
      </c>
      <c r="D492" t="inlineStr">
        <is>
          <t>STOCKHOLMS LÄN</t>
        </is>
      </c>
      <c r="E492" t="inlineStr">
        <is>
          <t>NORRTÄLJE</t>
        </is>
      </c>
      <c r="F492" t="inlineStr">
        <is>
          <t>Kyrkan</t>
        </is>
      </c>
      <c r="G492" t="n">
        <v>1.3</v>
      </c>
      <c r="H492" t="n">
        <v>0</v>
      </c>
      <c r="I492" t="n">
        <v>0</v>
      </c>
      <c r="J492" t="n">
        <v>0</v>
      </c>
      <c r="K492" t="n">
        <v>0</v>
      </c>
      <c r="L492" t="n">
        <v>1</v>
      </c>
      <c r="M492" t="n">
        <v>0</v>
      </c>
      <c r="N492" t="n">
        <v>0</v>
      </c>
      <c r="O492" t="n">
        <v>1</v>
      </c>
      <c r="P492" t="n">
        <v>1</v>
      </c>
      <c r="Q492" t="n">
        <v>1</v>
      </c>
      <c r="R492" s="2" t="inlineStr">
        <is>
          <t>Ryl</t>
        </is>
      </c>
      <c r="S492">
        <f>HYPERLINK("https://klasma.github.io/Logging_0188/artfynd/A 43171-2023 artfynd.xlsx", "A 43171-2023")</f>
        <v/>
      </c>
      <c r="T492">
        <f>HYPERLINK("https://klasma.github.io/Logging_0188/kartor/A 43171-2023 karta.png", "A 43171-2023")</f>
        <v/>
      </c>
      <c r="U492">
        <f>HYPERLINK("https://klasma.github.io/Logging_0188/knärot/A 43171-2023 karta knärot.png", "A 43171-2023")</f>
        <v/>
      </c>
      <c r="V492">
        <f>HYPERLINK("https://klasma.github.io/Logging_0188/klagomål/A 43171-2023 FSC-klagomål.docx", "A 43171-2023")</f>
        <v/>
      </c>
      <c r="W492">
        <f>HYPERLINK("https://klasma.github.io/Logging_0188/klagomålsmail/A 43171-2023 FSC-klagomål mail.docx", "A 43171-2023")</f>
        <v/>
      </c>
      <c r="X492">
        <f>HYPERLINK("https://klasma.github.io/Logging_0188/tillsyn/A 43171-2023 tillsynsbegäran.docx", "A 43171-2023")</f>
        <v/>
      </c>
      <c r="Y492">
        <f>HYPERLINK("https://klasma.github.io/Logging_0188/tillsynsmail/A 43171-2023 tillsynsbegäran mail.docx", "A 43171-2023")</f>
        <v/>
      </c>
    </row>
    <row r="493" ht="15" customHeight="1">
      <c r="A493" t="inlineStr">
        <is>
          <t>A 43350-2023</t>
        </is>
      </c>
      <c r="B493" s="1" t="n">
        <v>45183</v>
      </c>
      <c r="C493" s="1" t="n">
        <v>45672</v>
      </c>
      <c r="D493" t="inlineStr">
        <is>
          <t>STOCKHOLMS LÄN</t>
        </is>
      </c>
      <c r="E493" t="inlineStr">
        <is>
          <t>NORRTÄLJE</t>
        </is>
      </c>
      <c r="F493" t="inlineStr">
        <is>
          <t>Holmen skog AB</t>
        </is>
      </c>
      <c r="G493" t="n">
        <v>4.2</v>
      </c>
      <c r="H493" t="n">
        <v>1</v>
      </c>
      <c r="I493" t="n">
        <v>0</v>
      </c>
      <c r="J493" t="n">
        <v>0</v>
      </c>
      <c r="K493" t="n">
        <v>0</v>
      </c>
      <c r="L493" t="n">
        <v>0</v>
      </c>
      <c r="M493" t="n">
        <v>0</v>
      </c>
      <c r="N493" t="n">
        <v>0</v>
      </c>
      <c r="O493" t="n">
        <v>0</v>
      </c>
      <c r="P493" t="n">
        <v>0</v>
      </c>
      <c r="Q493" t="n">
        <v>1</v>
      </c>
      <c r="R493" s="2" t="inlineStr">
        <is>
          <t>Revlummer</t>
        </is>
      </c>
      <c r="S493">
        <f>HYPERLINK("https://klasma.github.io/Logging_0188/artfynd/A 43350-2023 artfynd.xlsx", "A 43350-2023")</f>
        <v/>
      </c>
      <c r="T493">
        <f>HYPERLINK("https://klasma.github.io/Logging_0188/kartor/A 43350-2023 karta.png", "A 43350-2023")</f>
        <v/>
      </c>
      <c r="V493">
        <f>HYPERLINK("https://klasma.github.io/Logging_0188/klagomål/A 43350-2023 FSC-klagomål.docx", "A 43350-2023")</f>
        <v/>
      </c>
      <c r="W493">
        <f>HYPERLINK("https://klasma.github.io/Logging_0188/klagomålsmail/A 43350-2023 FSC-klagomål mail.docx", "A 43350-2023")</f>
        <v/>
      </c>
      <c r="X493">
        <f>HYPERLINK("https://klasma.github.io/Logging_0188/tillsyn/A 43350-2023 tillsynsbegäran.docx", "A 43350-2023")</f>
        <v/>
      </c>
      <c r="Y493">
        <f>HYPERLINK("https://klasma.github.io/Logging_0188/tillsynsmail/A 43350-2023 tillsynsbegäran mail.docx", "A 43350-2023")</f>
        <v/>
      </c>
    </row>
    <row r="494" ht="15" customHeight="1">
      <c r="A494" t="inlineStr">
        <is>
          <t>A 43354-2023</t>
        </is>
      </c>
      <c r="B494" s="1" t="n">
        <v>45183</v>
      </c>
      <c r="C494" s="1" t="n">
        <v>45672</v>
      </c>
      <c r="D494" t="inlineStr">
        <is>
          <t>STOCKHOLMS LÄN</t>
        </is>
      </c>
      <c r="E494" t="inlineStr">
        <is>
          <t>NORRTÄLJE</t>
        </is>
      </c>
      <c r="F494" t="inlineStr">
        <is>
          <t>Holmen skog AB</t>
        </is>
      </c>
      <c r="G494" t="n">
        <v>9.9</v>
      </c>
      <c r="H494" t="n">
        <v>0</v>
      </c>
      <c r="I494" t="n">
        <v>1</v>
      </c>
      <c r="J494" t="n">
        <v>0</v>
      </c>
      <c r="K494" t="n">
        <v>0</v>
      </c>
      <c r="L494" t="n">
        <v>0</v>
      </c>
      <c r="M494" t="n">
        <v>0</v>
      </c>
      <c r="N494" t="n">
        <v>0</v>
      </c>
      <c r="O494" t="n">
        <v>0</v>
      </c>
      <c r="P494" t="n">
        <v>0</v>
      </c>
      <c r="Q494" t="n">
        <v>1</v>
      </c>
      <c r="R494" s="2" t="inlineStr">
        <is>
          <t>Tibast</t>
        </is>
      </c>
      <c r="S494">
        <f>HYPERLINK("https://klasma.github.io/Logging_0188/artfynd/A 43354-2023 artfynd.xlsx", "A 43354-2023")</f>
        <v/>
      </c>
      <c r="T494">
        <f>HYPERLINK("https://klasma.github.io/Logging_0188/kartor/A 43354-2023 karta.png", "A 43354-2023")</f>
        <v/>
      </c>
      <c r="V494">
        <f>HYPERLINK("https://klasma.github.io/Logging_0188/klagomål/A 43354-2023 FSC-klagomål.docx", "A 43354-2023")</f>
        <v/>
      </c>
      <c r="W494">
        <f>HYPERLINK("https://klasma.github.io/Logging_0188/klagomålsmail/A 43354-2023 FSC-klagomål mail.docx", "A 43354-2023")</f>
        <v/>
      </c>
      <c r="X494">
        <f>HYPERLINK("https://klasma.github.io/Logging_0188/tillsyn/A 43354-2023 tillsynsbegäran.docx", "A 43354-2023")</f>
        <v/>
      </c>
      <c r="Y494">
        <f>HYPERLINK("https://klasma.github.io/Logging_0188/tillsynsmail/A 43354-2023 tillsynsbegäran mail.docx", "A 43354-2023")</f>
        <v/>
      </c>
    </row>
    <row r="495" ht="15" customHeight="1">
      <c r="A495" t="inlineStr">
        <is>
          <t>A 45172-2023</t>
        </is>
      </c>
      <c r="B495" s="1" t="n">
        <v>45191</v>
      </c>
      <c r="C495" s="1" t="n">
        <v>45672</v>
      </c>
      <c r="D495" t="inlineStr">
        <is>
          <t>STOCKHOLMS LÄN</t>
        </is>
      </c>
      <c r="E495" t="inlineStr">
        <is>
          <t>NORRTÄLJE</t>
        </is>
      </c>
      <c r="F495" t="inlineStr">
        <is>
          <t>Sveaskog</t>
        </is>
      </c>
      <c r="G495" t="n">
        <v>3.8</v>
      </c>
      <c r="H495" t="n">
        <v>1</v>
      </c>
      <c r="I495" t="n">
        <v>0</v>
      </c>
      <c r="J495" t="n">
        <v>1</v>
      </c>
      <c r="K495" t="n">
        <v>0</v>
      </c>
      <c r="L495" t="n">
        <v>0</v>
      </c>
      <c r="M495" t="n">
        <v>0</v>
      </c>
      <c r="N495" t="n">
        <v>0</v>
      </c>
      <c r="O495" t="n">
        <v>1</v>
      </c>
      <c r="P495" t="n">
        <v>0</v>
      </c>
      <c r="Q495" t="n">
        <v>1</v>
      </c>
      <c r="R495" s="2" t="inlineStr">
        <is>
          <t>Slaguggla</t>
        </is>
      </c>
      <c r="S495">
        <f>HYPERLINK("https://klasma.github.io/Logging_0188/artfynd/A 45172-2023 artfynd.xlsx", "A 45172-2023")</f>
        <v/>
      </c>
      <c r="T495">
        <f>HYPERLINK("https://klasma.github.io/Logging_0188/kartor/A 45172-2023 karta.png", "A 45172-2023")</f>
        <v/>
      </c>
      <c r="V495">
        <f>HYPERLINK("https://klasma.github.io/Logging_0188/klagomål/A 45172-2023 FSC-klagomål.docx", "A 45172-2023")</f>
        <v/>
      </c>
      <c r="W495">
        <f>HYPERLINK("https://klasma.github.io/Logging_0188/klagomålsmail/A 45172-2023 FSC-klagomål mail.docx", "A 45172-2023")</f>
        <v/>
      </c>
      <c r="X495">
        <f>HYPERLINK("https://klasma.github.io/Logging_0188/tillsyn/A 45172-2023 tillsynsbegäran.docx", "A 45172-2023")</f>
        <v/>
      </c>
      <c r="Y495">
        <f>HYPERLINK("https://klasma.github.io/Logging_0188/tillsynsmail/A 45172-2023 tillsynsbegäran mail.docx", "A 45172-2023")</f>
        <v/>
      </c>
      <c r="Z495">
        <f>HYPERLINK("https://klasma.github.io/Logging_0188/fåglar/A 45172-2023 prioriterade fågelarter.docx", "A 45172-2023")</f>
        <v/>
      </c>
    </row>
    <row r="496" ht="15" customHeight="1">
      <c r="A496" t="inlineStr">
        <is>
          <t>A 47110-2023</t>
        </is>
      </c>
      <c r="B496" s="1" t="n">
        <v>45196</v>
      </c>
      <c r="C496" s="1" t="n">
        <v>45672</v>
      </c>
      <c r="D496" t="inlineStr">
        <is>
          <t>STOCKHOLMS LÄN</t>
        </is>
      </c>
      <c r="E496" t="inlineStr">
        <is>
          <t>NYNÄSHAMN</t>
        </is>
      </c>
      <c r="G496" t="n">
        <v>0.9</v>
      </c>
      <c r="H496" t="n">
        <v>0</v>
      </c>
      <c r="I496" t="n">
        <v>0</v>
      </c>
      <c r="J496" t="n">
        <v>1</v>
      </c>
      <c r="K496" t="n">
        <v>0</v>
      </c>
      <c r="L496" t="n">
        <v>0</v>
      </c>
      <c r="M496" t="n">
        <v>0</v>
      </c>
      <c r="N496" t="n">
        <v>0</v>
      </c>
      <c r="O496" t="n">
        <v>1</v>
      </c>
      <c r="P496" t="n">
        <v>0</v>
      </c>
      <c r="Q496" t="n">
        <v>1</v>
      </c>
      <c r="R496" s="2" t="inlineStr">
        <is>
          <t>Barrviolspindling</t>
        </is>
      </c>
      <c r="S496">
        <f>HYPERLINK("https://klasma.github.io/Logging_0192/artfynd/A 47110-2023 artfynd.xlsx", "A 47110-2023")</f>
        <v/>
      </c>
      <c r="T496">
        <f>HYPERLINK("https://klasma.github.io/Logging_0192/kartor/A 47110-2023 karta.png", "A 47110-2023")</f>
        <v/>
      </c>
      <c r="V496">
        <f>HYPERLINK("https://klasma.github.io/Logging_0192/klagomål/A 47110-2023 FSC-klagomål.docx", "A 47110-2023")</f>
        <v/>
      </c>
      <c r="W496">
        <f>HYPERLINK("https://klasma.github.io/Logging_0192/klagomålsmail/A 47110-2023 FSC-klagomål mail.docx", "A 47110-2023")</f>
        <v/>
      </c>
      <c r="X496">
        <f>HYPERLINK("https://klasma.github.io/Logging_0192/tillsyn/A 47110-2023 tillsynsbegäran.docx", "A 47110-2023")</f>
        <v/>
      </c>
      <c r="Y496">
        <f>HYPERLINK("https://klasma.github.io/Logging_0192/tillsynsmail/A 47110-2023 tillsynsbegäran mail.docx", "A 47110-2023")</f>
        <v/>
      </c>
    </row>
    <row r="497" ht="15" customHeight="1">
      <c r="A497" t="inlineStr">
        <is>
          <t>A 47711-2023</t>
        </is>
      </c>
      <c r="B497" s="1" t="n">
        <v>45198</v>
      </c>
      <c r="C497" s="1" t="n">
        <v>45672</v>
      </c>
      <c r="D497" t="inlineStr">
        <is>
          <t>STOCKHOLMS LÄN</t>
        </is>
      </c>
      <c r="E497" t="inlineStr">
        <is>
          <t>SÖDERTÄLJE</t>
        </is>
      </c>
      <c r="G497" t="n">
        <v>4.4</v>
      </c>
      <c r="H497" t="n">
        <v>1</v>
      </c>
      <c r="I497" t="n">
        <v>0</v>
      </c>
      <c r="J497" t="n">
        <v>0</v>
      </c>
      <c r="K497" t="n">
        <v>0</v>
      </c>
      <c r="L497" t="n">
        <v>0</v>
      </c>
      <c r="M497" t="n">
        <v>0</v>
      </c>
      <c r="N497" t="n">
        <v>0</v>
      </c>
      <c r="O497" t="n">
        <v>0</v>
      </c>
      <c r="P497" t="n">
        <v>0</v>
      </c>
      <c r="Q497" t="n">
        <v>1</v>
      </c>
      <c r="R497" s="2" t="inlineStr">
        <is>
          <t>Blåsippa</t>
        </is>
      </c>
      <c r="S497">
        <f>HYPERLINK("https://klasma.github.io/Logging_0181/artfynd/A 47711-2023 artfynd.xlsx", "A 47711-2023")</f>
        <v/>
      </c>
      <c r="T497">
        <f>HYPERLINK("https://klasma.github.io/Logging_0181/kartor/A 47711-2023 karta.png", "A 47711-2023")</f>
        <v/>
      </c>
      <c r="V497">
        <f>HYPERLINK("https://klasma.github.io/Logging_0181/klagomål/A 47711-2023 FSC-klagomål.docx", "A 47711-2023")</f>
        <v/>
      </c>
      <c r="W497">
        <f>HYPERLINK("https://klasma.github.io/Logging_0181/klagomålsmail/A 47711-2023 FSC-klagomål mail.docx", "A 47711-2023")</f>
        <v/>
      </c>
      <c r="X497">
        <f>HYPERLINK("https://klasma.github.io/Logging_0181/tillsyn/A 47711-2023 tillsynsbegäran.docx", "A 47711-2023")</f>
        <v/>
      </c>
      <c r="Y497">
        <f>HYPERLINK("https://klasma.github.io/Logging_0181/tillsynsmail/A 47711-2023 tillsynsbegäran mail.docx", "A 47711-2023")</f>
        <v/>
      </c>
    </row>
    <row r="498" ht="15" customHeight="1">
      <c r="A498" t="inlineStr">
        <is>
          <t>A 48131-2023</t>
        </is>
      </c>
      <c r="B498" s="1" t="n">
        <v>45205</v>
      </c>
      <c r="C498" s="1" t="n">
        <v>45672</v>
      </c>
      <c r="D498" t="inlineStr">
        <is>
          <t>STOCKHOLMS LÄN</t>
        </is>
      </c>
      <c r="E498" t="inlineStr">
        <is>
          <t>NORRTÄLJE</t>
        </is>
      </c>
      <c r="G498" t="n">
        <v>2.3</v>
      </c>
      <c r="H498" t="n">
        <v>0</v>
      </c>
      <c r="I498" t="n">
        <v>0</v>
      </c>
      <c r="J498" t="n">
        <v>1</v>
      </c>
      <c r="K498" t="n">
        <v>0</v>
      </c>
      <c r="L498" t="n">
        <v>0</v>
      </c>
      <c r="M498" t="n">
        <v>0</v>
      </c>
      <c r="N498" t="n">
        <v>0</v>
      </c>
      <c r="O498" t="n">
        <v>1</v>
      </c>
      <c r="P498" t="n">
        <v>0</v>
      </c>
      <c r="Q498" t="n">
        <v>1</v>
      </c>
      <c r="R498" s="2" t="inlineStr">
        <is>
          <t>Slåtterfibbla</t>
        </is>
      </c>
      <c r="S498">
        <f>HYPERLINK("https://klasma.github.io/Logging_0188/artfynd/A 48131-2023 artfynd.xlsx", "A 48131-2023")</f>
        <v/>
      </c>
      <c r="T498">
        <f>HYPERLINK("https://klasma.github.io/Logging_0188/kartor/A 48131-2023 karta.png", "A 48131-2023")</f>
        <v/>
      </c>
      <c r="V498">
        <f>HYPERLINK("https://klasma.github.io/Logging_0188/klagomål/A 48131-2023 FSC-klagomål.docx", "A 48131-2023")</f>
        <v/>
      </c>
      <c r="W498">
        <f>HYPERLINK("https://klasma.github.io/Logging_0188/klagomålsmail/A 48131-2023 FSC-klagomål mail.docx", "A 48131-2023")</f>
        <v/>
      </c>
      <c r="X498">
        <f>HYPERLINK("https://klasma.github.io/Logging_0188/tillsyn/A 48131-2023 tillsynsbegäran.docx", "A 48131-2023")</f>
        <v/>
      </c>
      <c r="Y498">
        <f>HYPERLINK("https://klasma.github.io/Logging_0188/tillsynsmail/A 48131-2023 tillsynsbegäran mail.docx", "A 48131-2023")</f>
        <v/>
      </c>
    </row>
    <row r="499" ht="15" customHeight="1">
      <c r="A499" t="inlineStr">
        <is>
          <t>A 49421-2023</t>
        </is>
      </c>
      <c r="B499" s="1" t="n">
        <v>45211</v>
      </c>
      <c r="C499" s="1" t="n">
        <v>45672</v>
      </c>
      <c r="D499" t="inlineStr">
        <is>
          <t>STOCKHOLMS LÄN</t>
        </is>
      </c>
      <c r="E499" t="inlineStr">
        <is>
          <t>HUDDINGE</t>
        </is>
      </c>
      <c r="F499" t="inlineStr">
        <is>
          <t>Kommuner</t>
        </is>
      </c>
      <c r="G499" t="n">
        <v>1.4</v>
      </c>
      <c r="H499" t="n">
        <v>1</v>
      </c>
      <c r="I499" t="n">
        <v>0</v>
      </c>
      <c r="J499" t="n">
        <v>0</v>
      </c>
      <c r="K499" t="n">
        <v>0</v>
      </c>
      <c r="L499" t="n">
        <v>1</v>
      </c>
      <c r="M499" t="n">
        <v>0</v>
      </c>
      <c r="N499" t="n">
        <v>0</v>
      </c>
      <c r="O499" t="n">
        <v>1</v>
      </c>
      <c r="P499" t="n">
        <v>1</v>
      </c>
      <c r="Q499" t="n">
        <v>1</v>
      </c>
      <c r="R499" s="2" t="inlineStr">
        <is>
          <t>Grönfink</t>
        </is>
      </c>
      <c r="S499">
        <f>HYPERLINK("https://klasma.github.io/Logging_0126/artfynd/A 49421-2023 artfynd.xlsx", "A 49421-2023")</f>
        <v/>
      </c>
      <c r="T499">
        <f>HYPERLINK("https://klasma.github.io/Logging_0126/kartor/A 49421-2023 karta.png", "A 49421-2023")</f>
        <v/>
      </c>
      <c r="V499">
        <f>HYPERLINK("https://klasma.github.io/Logging_0126/klagomål/A 49421-2023 FSC-klagomål.docx", "A 49421-2023")</f>
        <v/>
      </c>
      <c r="W499">
        <f>HYPERLINK("https://klasma.github.io/Logging_0126/klagomålsmail/A 49421-2023 FSC-klagomål mail.docx", "A 49421-2023")</f>
        <v/>
      </c>
      <c r="X499">
        <f>HYPERLINK("https://klasma.github.io/Logging_0126/tillsyn/A 49421-2023 tillsynsbegäran.docx", "A 49421-2023")</f>
        <v/>
      </c>
      <c r="Y499">
        <f>HYPERLINK("https://klasma.github.io/Logging_0126/tillsynsmail/A 49421-2023 tillsynsbegäran mail.docx", "A 49421-2023")</f>
        <v/>
      </c>
      <c r="Z499">
        <f>HYPERLINK("https://klasma.github.io/Logging_0126/fåglar/A 49421-2023 prioriterade fågelarter.docx", "A 49421-2023")</f>
        <v/>
      </c>
    </row>
    <row r="500" ht="15" customHeight="1">
      <c r="A500" t="inlineStr">
        <is>
          <t>A 51695-2023</t>
        </is>
      </c>
      <c r="B500" s="1" t="n">
        <v>45222</v>
      </c>
      <c r="C500" s="1" t="n">
        <v>45672</v>
      </c>
      <c r="D500" t="inlineStr">
        <is>
          <t>STOCKHOLMS LÄN</t>
        </is>
      </c>
      <c r="E500" t="inlineStr">
        <is>
          <t>NORRTÄLJE</t>
        </is>
      </c>
      <c r="G500" t="n">
        <v>4.9</v>
      </c>
      <c r="H500" t="n">
        <v>0</v>
      </c>
      <c r="I500" t="n">
        <v>1</v>
      </c>
      <c r="J500" t="n">
        <v>0</v>
      </c>
      <c r="K500" t="n">
        <v>0</v>
      </c>
      <c r="L500" t="n">
        <v>0</v>
      </c>
      <c r="M500" t="n">
        <v>0</v>
      </c>
      <c r="N500" t="n">
        <v>0</v>
      </c>
      <c r="O500" t="n">
        <v>0</v>
      </c>
      <c r="P500" t="n">
        <v>0</v>
      </c>
      <c r="Q500" t="n">
        <v>1</v>
      </c>
      <c r="R500" s="2" t="inlineStr">
        <is>
          <t>Fjällig taggsvamp s.str.</t>
        </is>
      </c>
      <c r="S500">
        <f>HYPERLINK("https://klasma.github.io/Logging_0188/artfynd/A 51695-2023 artfynd.xlsx", "A 51695-2023")</f>
        <v/>
      </c>
      <c r="T500">
        <f>HYPERLINK("https://klasma.github.io/Logging_0188/kartor/A 51695-2023 karta.png", "A 51695-2023")</f>
        <v/>
      </c>
      <c r="V500">
        <f>HYPERLINK("https://klasma.github.io/Logging_0188/klagomål/A 51695-2023 FSC-klagomål.docx", "A 51695-2023")</f>
        <v/>
      </c>
      <c r="W500">
        <f>HYPERLINK("https://klasma.github.io/Logging_0188/klagomålsmail/A 51695-2023 FSC-klagomål mail.docx", "A 51695-2023")</f>
        <v/>
      </c>
      <c r="X500">
        <f>HYPERLINK("https://klasma.github.io/Logging_0188/tillsyn/A 51695-2023 tillsynsbegäran.docx", "A 51695-2023")</f>
        <v/>
      </c>
      <c r="Y500">
        <f>HYPERLINK("https://klasma.github.io/Logging_0188/tillsynsmail/A 51695-2023 tillsynsbegäran mail.docx", "A 51695-2023")</f>
        <v/>
      </c>
    </row>
    <row r="501" ht="15" customHeight="1">
      <c r="A501" t="inlineStr">
        <is>
          <t>A 51909-2023</t>
        </is>
      </c>
      <c r="B501" s="1" t="n">
        <v>45223</v>
      </c>
      <c r="C501" s="1" t="n">
        <v>45672</v>
      </c>
      <c r="D501" t="inlineStr">
        <is>
          <t>STOCKHOLMS LÄN</t>
        </is>
      </c>
      <c r="E501" t="inlineStr">
        <is>
          <t>NORRTÄLJE</t>
        </is>
      </c>
      <c r="G501" t="n">
        <v>8.1</v>
      </c>
      <c r="H501" t="n">
        <v>1</v>
      </c>
      <c r="I501" t="n">
        <v>1</v>
      </c>
      <c r="J501" t="n">
        <v>0</v>
      </c>
      <c r="K501" t="n">
        <v>0</v>
      </c>
      <c r="L501" t="n">
        <v>0</v>
      </c>
      <c r="M501" t="n">
        <v>0</v>
      </c>
      <c r="N501" t="n">
        <v>0</v>
      </c>
      <c r="O501" t="n">
        <v>0</v>
      </c>
      <c r="P501" t="n">
        <v>0</v>
      </c>
      <c r="Q501" t="n">
        <v>1</v>
      </c>
      <c r="R501" s="2" t="inlineStr">
        <is>
          <t>Skogsknipprot</t>
        </is>
      </c>
      <c r="S501">
        <f>HYPERLINK("https://klasma.github.io/Logging_0188/artfynd/A 51909-2023 artfynd.xlsx", "A 51909-2023")</f>
        <v/>
      </c>
      <c r="T501">
        <f>HYPERLINK("https://klasma.github.io/Logging_0188/kartor/A 51909-2023 karta.png", "A 51909-2023")</f>
        <v/>
      </c>
      <c r="V501">
        <f>HYPERLINK("https://klasma.github.io/Logging_0188/klagomål/A 51909-2023 FSC-klagomål.docx", "A 51909-2023")</f>
        <v/>
      </c>
      <c r="W501">
        <f>HYPERLINK("https://klasma.github.io/Logging_0188/klagomålsmail/A 51909-2023 FSC-klagomål mail.docx", "A 51909-2023")</f>
        <v/>
      </c>
      <c r="X501">
        <f>HYPERLINK("https://klasma.github.io/Logging_0188/tillsyn/A 51909-2023 tillsynsbegäran.docx", "A 51909-2023")</f>
        <v/>
      </c>
      <c r="Y501">
        <f>HYPERLINK("https://klasma.github.io/Logging_0188/tillsynsmail/A 51909-2023 tillsynsbegäran mail.docx", "A 51909-2023")</f>
        <v/>
      </c>
    </row>
    <row r="502" ht="15" customHeight="1">
      <c r="A502" t="inlineStr">
        <is>
          <t>A 52508-2023</t>
        </is>
      </c>
      <c r="B502" s="1" t="n">
        <v>45225</v>
      </c>
      <c r="C502" s="1" t="n">
        <v>45672</v>
      </c>
      <c r="D502" t="inlineStr">
        <is>
          <t>STOCKHOLMS LÄN</t>
        </is>
      </c>
      <c r="E502" t="inlineStr">
        <is>
          <t>NORRTÄLJE</t>
        </is>
      </c>
      <c r="G502" t="n">
        <v>19.7</v>
      </c>
      <c r="H502" t="n">
        <v>1</v>
      </c>
      <c r="I502" t="n">
        <v>0</v>
      </c>
      <c r="J502" t="n">
        <v>0</v>
      </c>
      <c r="K502" t="n">
        <v>1</v>
      </c>
      <c r="L502" t="n">
        <v>0</v>
      </c>
      <c r="M502" t="n">
        <v>0</v>
      </c>
      <c r="N502" t="n">
        <v>0</v>
      </c>
      <c r="O502" t="n">
        <v>1</v>
      </c>
      <c r="P502" t="n">
        <v>1</v>
      </c>
      <c r="Q502" t="n">
        <v>1</v>
      </c>
      <c r="R502" s="2" t="inlineStr">
        <is>
          <t>Svärta</t>
        </is>
      </c>
      <c r="S502">
        <f>HYPERLINK("https://klasma.github.io/Logging_0188/artfynd/A 52508-2023 artfynd.xlsx", "A 52508-2023")</f>
        <v/>
      </c>
      <c r="T502">
        <f>HYPERLINK("https://klasma.github.io/Logging_0188/kartor/A 52508-2023 karta.png", "A 52508-2023")</f>
        <v/>
      </c>
      <c r="V502">
        <f>HYPERLINK("https://klasma.github.io/Logging_0188/klagomål/A 52508-2023 FSC-klagomål.docx", "A 52508-2023")</f>
        <v/>
      </c>
      <c r="W502">
        <f>HYPERLINK("https://klasma.github.io/Logging_0188/klagomålsmail/A 52508-2023 FSC-klagomål mail.docx", "A 52508-2023")</f>
        <v/>
      </c>
      <c r="X502">
        <f>HYPERLINK("https://klasma.github.io/Logging_0188/tillsyn/A 52508-2023 tillsynsbegäran.docx", "A 52508-2023")</f>
        <v/>
      </c>
      <c r="Y502">
        <f>HYPERLINK("https://klasma.github.io/Logging_0188/tillsynsmail/A 52508-2023 tillsynsbegäran mail.docx", "A 52508-2023")</f>
        <v/>
      </c>
    </row>
    <row r="503" ht="15" customHeight="1">
      <c r="A503" t="inlineStr">
        <is>
          <t>A 55767-2023</t>
        </is>
      </c>
      <c r="B503" s="1" t="n">
        <v>45239</v>
      </c>
      <c r="C503" s="1" t="n">
        <v>45672</v>
      </c>
      <c r="D503" t="inlineStr">
        <is>
          <t>STOCKHOLMS LÄN</t>
        </is>
      </c>
      <c r="E503" t="inlineStr">
        <is>
          <t>NORRTÄLJE</t>
        </is>
      </c>
      <c r="G503" t="n">
        <v>3.7</v>
      </c>
      <c r="H503" t="n">
        <v>0</v>
      </c>
      <c r="I503" t="n">
        <v>1</v>
      </c>
      <c r="J503" t="n">
        <v>0</v>
      </c>
      <c r="K503" t="n">
        <v>0</v>
      </c>
      <c r="L503" t="n">
        <v>0</v>
      </c>
      <c r="M503" t="n">
        <v>0</v>
      </c>
      <c r="N503" t="n">
        <v>0</v>
      </c>
      <c r="O503" t="n">
        <v>0</v>
      </c>
      <c r="P503" t="n">
        <v>0</v>
      </c>
      <c r="Q503" t="n">
        <v>1</v>
      </c>
      <c r="R503" s="2" t="inlineStr">
        <is>
          <t>Ögonpyrola</t>
        </is>
      </c>
      <c r="S503">
        <f>HYPERLINK("https://klasma.github.io/Logging_0188/artfynd/A 55767-2023 artfynd.xlsx", "A 55767-2023")</f>
        <v/>
      </c>
      <c r="T503">
        <f>HYPERLINK("https://klasma.github.io/Logging_0188/kartor/A 55767-2023 karta.png", "A 55767-2023")</f>
        <v/>
      </c>
      <c r="V503">
        <f>HYPERLINK("https://klasma.github.io/Logging_0188/klagomål/A 55767-2023 FSC-klagomål.docx", "A 55767-2023")</f>
        <v/>
      </c>
      <c r="W503">
        <f>HYPERLINK("https://klasma.github.io/Logging_0188/klagomålsmail/A 55767-2023 FSC-klagomål mail.docx", "A 55767-2023")</f>
        <v/>
      </c>
      <c r="X503">
        <f>HYPERLINK("https://klasma.github.io/Logging_0188/tillsyn/A 55767-2023 tillsynsbegäran.docx", "A 55767-2023")</f>
        <v/>
      </c>
      <c r="Y503">
        <f>HYPERLINK("https://klasma.github.io/Logging_0188/tillsynsmail/A 55767-2023 tillsynsbegäran mail.docx", "A 55767-2023")</f>
        <v/>
      </c>
    </row>
    <row r="504" ht="15" customHeight="1">
      <c r="A504" t="inlineStr">
        <is>
          <t>A 55872-2023</t>
        </is>
      </c>
      <c r="B504" s="1" t="n">
        <v>45239</v>
      </c>
      <c r="C504" s="1" t="n">
        <v>45672</v>
      </c>
      <c r="D504" t="inlineStr">
        <is>
          <t>STOCKHOLMS LÄN</t>
        </is>
      </c>
      <c r="E504" t="inlineStr">
        <is>
          <t>NYNÄSHAMN</t>
        </is>
      </c>
      <c r="F504" t="inlineStr">
        <is>
          <t>Kommuner</t>
        </is>
      </c>
      <c r="G504" t="n">
        <v>4.1</v>
      </c>
      <c r="H504" t="n">
        <v>0</v>
      </c>
      <c r="I504" t="n">
        <v>1</v>
      </c>
      <c r="J504" t="n">
        <v>0</v>
      </c>
      <c r="K504" t="n">
        <v>0</v>
      </c>
      <c r="L504" t="n">
        <v>0</v>
      </c>
      <c r="M504" t="n">
        <v>0</v>
      </c>
      <c r="N504" t="n">
        <v>0</v>
      </c>
      <c r="O504" t="n">
        <v>0</v>
      </c>
      <c r="P504" t="n">
        <v>0</v>
      </c>
      <c r="Q504" t="n">
        <v>1</v>
      </c>
      <c r="R504" s="2" t="inlineStr">
        <is>
          <t>Skogshakmossa</t>
        </is>
      </c>
      <c r="S504">
        <f>HYPERLINK("https://klasma.github.io/Logging_0192/artfynd/A 55872-2023 artfynd.xlsx", "A 55872-2023")</f>
        <v/>
      </c>
      <c r="T504">
        <f>HYPERLINK("https://klasma.github.io/Logging_0192/kartor/A 55872-2023 karta.png", "A 55872-2023")</f>
        <v/>
      </c>
      <c r="V504">
        <f>HYPERLINK("https://klasma.github.io/Logging_0192/klagomål/A 55872-2023 FSC-klagomål.docx", "A 55872-2023")</f>
        <v/>
      </c>
      <c r="W504">
        <f>HYPERLINK("https://klasma.github.io/Logging_0192/klagomålsmail/A 55872-2023 FSC-klagomål mail.docx", "A 55872-2023")</f>
        <v/>
      </c>
      <c r="X504">
        <f>HYPERLINK("https://klasma.github.io/Logging_0192/tillsyn/A 55872-2023 tillsynsbegäran.docx", "A 55872-2023")</f>
        <v/>
      </c>
      <c r="Y504">
        <f>HYPERLINK("https://klasma.github.io/Logging_0192/tillsynsmail/A 55872-2023 tillsynsbegäran mail.docx", "A 55872-2023")</f>
        <v/>
      </c>
    </row>
    <row r="505" ht="15" customHeight="1">
      <c r="A505" t="inlineStr">
        <is>
          <t>A 59580-2023</t>
        </is>
      </c>
      <c r="B505" s="1" t="n">
        <v>45254</v>
      </c>
      <c r="C505" s="1" t="n">
        <v>45672</v>
      </c>
      <c r="D505" t="inlineStr">
        <is>
          <t>STOCKHOLMS LÄN</t>
        </is>
      </c>
      <c r="E505" t="inlineStr">
        <is>
          <t>NORRTÄLJE</t>
        </is>
      </c>
      <c r="G505" t="n">
        <v>3.2</v>
      </c>
      <c r="H505" t="n">
        <v>0</v>
      </c>
      <c r="I505" t="n">
        <v>1</v>
      </c>
      <c r="J505" t="n">
        <v>0</v>
      </c>
      <c r="K505" t="n">
        <v>0</v>
      </c>
      <c r="L505" t="n">
        <v>0</v>
      </c>
      <c r="M505" t="n">
        <v>0</v>
      </c>
      <c r="N505" t="n">
        <v>0</v>
      </c>
      <c r="O505" t="n">
        <v>0</v>
      </c>
      <c r="P505" t="n">
        <v>0</v>
      </c>
      <c r="Q505" t="n">
        <v>1</v>
      </c>
      <c r="R505" s="2" t="inlineStr">
        <is>
          <t>Trådticka</t>
        </is>
      </c>
      <c r="S505">
        <f>HYPERLINK("https://klasma.github.io/Logging_0188/artfynd/A 59580-2023 artfynd.xlsx", "A 59580-2023")</f>
        <v/>
      </c>
      <c r="T505">
        <f>HYPERLINK("https://klasma.github.io/Logging_0188/kartor/A 59580-2023 karta.png", "A 59580-2023")</f>
        <v/>
      </c>
      <c r="V505">
        <f>HYPERLINK("https://klasma.github.io/Logging_0188/klagomål/A 59580-2023 FSC-klagomål.docx", "A 59580-2023")</f>
        <v/>
      </c>
      <c r="W505">
        <f>HYPERLINK("https://klasma.github.io/Logging_0188/klagomålsmail/A 59580-2023 FSC-klagomål mail.docx", "A 59580-2023")</f>
        <v/>
      </c>
      <c r="X505">
        <f>HYPERLINK("https://klasma.github.io/Logging_0188/tillsyn/A 59580-2023 tillsynsbegäran.docx", "A 59580-2023")</f>
        <v/>
      </c>
      <c r="Y505">
        <f>HYPERLINK("https://klasma.github.io/Logging_0188/tillsynsmail/A 59580-2023 tillsynsbegäran mail.docx", "A 59580-2023")</f>
        <v/>
      </c>
    </row>
    <row r="506" ht="15" customHeight="1">
      <c r="A506" t="inlineStr">
        <is>
          <t>A 60299-2023</t>
        </is>
      </c>
      <c r="B506" s="1" t="n">
        <v>45258</v>
      </c>
      <c r="C506" s="1" t="n">
        <v>45672</v>
      </c>
      <c r="D506" t="inlineStr">
        <is>
          <t>STOCKHOLMS LÄN</t>
        </is>
      </c>
      <c r="E506" t="inlineStr">
        <is>
          <t>HANINGE</t>
        </is>
      </c>
      <c r="G506" t="n">
        <v>1.3</v>
      </c>
      <c r="H506" t="n">
        <v>0</v>
      </c>
      <c r="I506" t="n">
        <v>1</v>
      </c>
      <c r="J506" t="n">
        <v>0</v>
      </c>
      <c r="K506" t="n">
        <v>0</v>
      </c>
      <c r="L506" t="n">
        <v>0</v>
      </c>
      <c r="M506" t="n">
        <v>0</v>
      </c>
      <c r="N506" t="n">
        <v>0</v>
      </c>
      <c r="O506" t="n">
        <v>0</v>
      </c>
      <c r="P506" t="n">
        <v>0</v>
      </c>
      <c r="Q506" t="n">
        <v>1</v>
      </c>
      <c r="R506" s="2" t="inlineStr">
        <is>
          <t>Mörk husmossa</t>
        </is>
      </c>
      <c r="S506">
        <f>HYPERLINK("https://klasma.github.io/Logging_0136/artfynd/A 60299-2023 artfynd.xlsx", "A 60299-2023")</f>
        <v/>
      </c>
      <c r="T506">
        <f>HYPERLINK("https://klasma.github.io/Logging_0136/kartor/A 60299-2023 karta.png", "A 60299-2023")</f>
        <v/>
      </c>
      <c r="V506">
        <f>HYPERLINK("https://klasma.github.io/Logging_0136/klagomål/A 60299-2023 FSC-klagomål.docx", "A 60299-2023")</f>
        <v/>
      </c>
      <c r="W506">
        <f>HYPERLINK("https://klasma.github.io/Logging_0136/klagomålsmail/A 60299-2023 FSC-klagomål mail.docx", "A 60299-2023")</f>
        <v/>
      </c>
      <c r="X506">
        <f>HYPERLINK("https://klasma.github.io/Logging_0136/tillsyn/A 60299-2023 tillsynsbegäran.docx", "A 60299-2023")</f>
        <v/>
      </c>
      <c r="Y506">
        <f>HYPERLINK("https://klasma.github.io/Logging_0136/tillsynsmail/A 60299-2023 tillsynsbegäran mail.docx", "A 60299-2023")</f>
        <v/>
      </c>
    </row>
    <row r="507" ht="15" customHeight="1">
      <c r="A507" t="inlineStr">
        <is>
          <t>A 60369-2023</t>
        </is>
      </c>
      <c r="B507" s="1" t="n">
        <v>45259</v>
      </c>
      <c r="C507" s="1" t="n">
        <v>45672</v>
      </c>
      <c r="D507" t="inlineStr">
        <is>
          <t>STOCKHOLMS LÄN</t>
        </is>
      </c>
      <c r="E507" t="inlineStr">
        <is>
          <t>HANINGE</t>
        </is>
      </c>
      <c r="G507" t="n">
        <v>2.9</v>
      </c>
      <c r="H507" t="n">
        <v>1</v>
      </c>
      <c r="I507" t="n">
        <v>0</v>
      </c>
      <c r="J507" t="n">
        <v>0</v>
      </c>
      <c r="K507" t="n">
        <v>0</v>
      </c>
      <c r="L507" t="n">
        <v>0</v>
      </c>
      <c r="M507" t="n">
        <v>0</v>
      </c>
      <c r="N507" t="n">
        <v>0</v>
      </c>
      <c r="O507" t="n">
        <v>0</v>
      </c>
      <c r="P507" t="n">
        <v>0</v>
      </c>
      <c r="Q507" t="n">
        <v>1</v>
      </c>
      <c r="R507" s="2" t="inlineStr">
        <is>
          <t>Mattlummer</t>
        </is>
      </c>
      <c r="S507">
        <f>HYPERLINK("https://klasma.github.io/Logging_0136/artfynd/A 60369-2023 artfynd.xlsx", "A 60369-2023")</f>
        <v/>
      </c>
      <c r="T507">
        <f>HYPERLINK("https://klasma.github.io/Logging_0136/kartor/A 60369-2023 karta.png", "A 60369-2023")</f>
        <v/>
      </c>
      <c r="V507">
        <f>HYPERLINK("https://klasma.github.io/Logging_0136/klagomål/A 60369-2023 FSC-klagomål.docx", "A 60369-2023")</f>
        <v/>
      </c>
      <c r="W507">
        <f>HYPERLINK("https://klasma.github.io/Logging_0136/klagomålsmail/A 60369-2023 FSC-klagomål mail.docx", "A 60369-2023")</f>
        <v/>
      </c>
      <c r="X507">
        <f>HYPERLINK("https://klasma.github.io/Logging_0136/tillsyn/A 60369-2023 tillsynsbegäran.docx", "A 60369-2023")</f>
        <v/>
      </c>
      <c r="Y507">
        <f>HYPERLINK("https://klasma.github.io/Logging_0136/tillsynsmail/A 60369-2023 tillsynsbegäran mail.docx", "A 60369-2023")</f>
        <v/>
      </c>
    </row>
    <row r="508" ht="15" customHeight="1">
      <c r="A508" t="inlineStr">
        <is>
          <t>A 62007-2023</t>
        </is>
      </c>
      <c r="B508" s="1" t="n">
        <v>45266</v>
      </c>
      <c r="C508" s="1" t="n">
        <v>45672</v>
      </c>
      <c r="D508" t="inlineStr">
        <is>
          <t>STOCKHOLMS LÄN</t>
        </is>
      </c>
      <c r="E508" t="inlineStr">
        <is>
          <t>NYNÄSHAMN</t>
        </is>
      </c>
      <c r="G508" t="n">
        <v>4.5</v>
      </c>
      <c r="H508" t="n">
        <v>0</v>
      </c>
      <c r="I508" t="n">
        <v>0</v>
      </c>
      <c r="J508" t="n">
        <v>1</v>
      </c>
      <c r="K508" t="n">
        <v>0</v>
      </c>
      <c r="L508" t="n">
        <v>0</v>
      </c>
      <c r="M508" t="n">
        <v>0</v>
      </c>
      <c r="N508" t="n">
        <v>0</v>
      </c>
      <c r="O508" t="n">
        <v>1</v>
      </c>
      <c r="P508" t="n">
        <v>0</v>
      </c>
      <c r="Q508" t="n">
        <v>1</v>
      </c>
      <c r="R508" s="2" t="inlineStr">
        <is>
          <t>Granticka</t>
        </is>
      </c>
      <c r="S508">
        <f>HYPERLINK("https://klasma.github.io/Logging_0192/artfynd/A 62007-2023 artfynd.xlsx", "A 62007-2023")</f>
        <v/>
      </c>
      <c r="T508">
        <f>HYPERLINK("https://klasma.github.io/Logging_0192/kartor/A 62007-2023 karta.png", "A 62007-2023")</f>
        <v/>
      </c>
      <c r="V508">
        <f>HYPERLINK("https://klasma.github.io/Logging_0192/klagomål/A 62007-2023 FSC-klagomål.docx", "A 62007-2023")</f>
        <v/>
      </c>
      <c r="W508">
        <f>HYPERLINK("https://klasma.github.io/Logging_0192/klagomålsmail/A 62007-2023 FSC-klagomål mail.docx", "A 62007-2023")</f>
        <v/>
      </c>
      <c r="X508">
        <f>HYPERLINK("https://klasma.github.io/Logging_0192/tillsyn/A 62007-2023 tillsynsbegäran.docx", "A 62007-2023")</f>
        <v/>
      </c>
      <c r="Y508">
        <f>HYPERLINK("https://klasma.github.io/Logging_0192/tillsynsmail/A 62007-2023 tillsynsbegäran mail.docx", "A 62007-2023")</f>
        <v/>
      </c>
    </row>
    <row r="509" ht="15" customHeight="1">
      <c r="A509" t="inlineStr">
        <is>
          <t>A 63851-2023</t>
        </is>
      </c>
      <c r="B509" s="1" t="n">
        <v>45278</v>
      </c>
      <c r="C509" s="1" t="n">
        <v>45672</v>
      </c>
      <c r="D509" t="inlineStr">
        <is>
          <t>STOCKHOLMS LÄN</t>
        </is>
      </c>
      <c r="E509" t="inlineStr">
        <is>
          <t>NORRTÄLJE</t>
        </is>
      </c>
      <c r="G509" t="n">
        <v>5.6</v>
      </c>
      <c r="H509" t="n">
        <v>1</v>
      </c>
      <c r="I509" t="n">
        <v>0</v>
      </c>
      <c r="J509" t="n">
        <v>0</v>
      </c>
      <c r="K509" t="n">
        <v>0</v>
      </c>
      <c r="L509" t="n">
        <v>0</v>
      </c>
      <c r="M509" t="n">
        <v>0</v>
      </c>
      <c r="N509" t="n">
        <v>0</v>
      </c>
      <c r="O509" t="n">
        <v>0</v>
      </c>
      <c r="P509" t="n">
        <v>0</v>
      </c>
      <c r="Q509" t="n">
        <v>1</v>
      </c>
      <c r="R509" s="2" t="inlineStr">
        <is>
          <t>Tjäder</t>
        </is>
      </c>
      <c r="S509">
        <f>HYPERLINK("https://klasma.github.io/Logging_0188/artfynd/A 63851-2023 artfynd.xlsx", "A 63851-2023")</f>
        <v/>
      </c>
      <c r="T509">
        <f>HYPERLINK("https://klasma.github.io/Logging_0188/kartor/A 63851-2023 karta.png", "A 63851-2023")</f>
        <v/>
      </c>
      <c r="V509">
        <f>HYPERLINK("https://klasma.github.io/Logging_0188/klagomål/A 63851-2023 FSC-klagomål.docx", "A 63851-2023")</f>
        <v/>
      </c>
      <c r="W509">
        <f>HYPERLINK("https://klasma.github.io/Logging_0188/klagomålsmail/A 63851-2023 FSC-klagomål mail.docx", "A 63851-2023")</f>
        <v/>
      </c>
      <c r="X509">
        <f>HYPERLINK("https://klasma.github.io/Logging_0188/tillsyn/A 63851-2023 tillsynsbegäran.docx", "A 63851-2023")</f>
        <v/>
      </c>
      <c r="Y509">
        <f>HYPERLINK("https://klasma.github.io/Logging_0188/tillsynsmail/A 63851-2023 tillsynsbegäran mail.docx", "A 63851-2023")</f>
        <v/>
      </c>
      <c r="Z509">
        <f>HYPERLINK("https://klasma.github.io/Logging_0188/fåglar/A 63851-2023 prioriterade fågelarter.docx", "A 63851-2023")</f>
        <v/>
      </c>
    </row>
    <row r="510" ht="15" customHeight="1">
      <c r="A510" t="inlineStr">
        <is>
          <t>A 64098-2023</t>
        </is>
      </c>
      <c r="B510" s="1" t="n">
        <v>45279</v>
      </c>
      <c r="C510" s="1" t="n">
        <v>45672</v>
      </c>
      <c r="D510" t="inlineStr">
        <is>
          <t>STOCKHOLMS LÄN</t>
        </is>
      </c>
      <c r="E510" t="inlineStr">
        <is>
          <t>UPPLANDS-BRO</t>
        </is>
      </c>
      <c r="G510" t="n">
        <v>0.3</v>
      </c>
      <c r="H510" t="n">
        <v>0</v>
      </c>
      <c r="I510" t="n">
        <v>0</v>
      </c>
      <c r="J510" t="n">
        <v>1</v>
      </c>
      <c r="K510" t="n">
        <v>0</v>
      </c>
      <c r="L510" t="n">
        <v>0</v>
      </c>
      <c r="M510" t="n">
        <v>0</v>
      </c>
      <c r="N510" t="n">
        <v>0</v>
      </c>
      <c r="O510" t="n">
        <v>1</v>
      </c>
      <c r="P510" t="n">
        <v>0</v>
      </c>
      <c r="Q510" t="n">
        <v>1</v>
      </c>
      <c r="R510" s="2" t="inlineStr">
        <is>
          <t>Skogsalmsdvärgmal</t>
        </is>
      </c>
      <c r="S510">
        <f>HYPERLINK("https://klasma.github.io/Logging_0139/artfynd/A 64098-2023 artfynd.xlsx", "A 64098-2023")</f>
        <v/>
      </c>
      <c r="T510">
        <f>HYPERLINK("https://klasma.github.io/Logging_0139/kartor/A 64098-2023 karta.png", "A 64098-2023")</f>
        <v/>
      </c>
      <c r="V510">
        <f>HYPERLINK("https://klasma.github.io/Logging_0139/klagomål/A 64098-2023 FSC-klagomål.docx", "A 64098-2023")</f>
        <v/>
      </c>
      <c r="W510">
        <f>HYPERLINK("https://klasma.github.io/Logging_0139/klagomålsmail/A 64098-2023 FSC-klagomål mail.docx", "A 64098-2023")</f>
        <v/>
      </c>
      <c r="X510">
        <f>HYPERLINK("https://klasma.github.io/Logging_0139/tillsyn/A 64098-2023 tillsynsbegäran.docx", "A 64098-2023")</f>
        <v/>
      </c>
      <c r="Y510">
        <f>HYPERLINK("https://klasma.github.io/Logging_0139/tillsynsmail/A 64098-2023 tillsynsbegäran mail.docx", "A 64098-2023")</f>
        <v/>
      </c>
    </row>
    <row r="511" ht="15" customHeight="1">
      <c r="A511" t="inlineStr">
        <is>
          <t>A 64196-2023</t>
        </is>
      </c>
      <c r="B511" s="1" t="n">
        <v>45279</v>
      </c>
      <c r="C511" s="1" t="n">
        <v>45672</v>
      </c>
      <c r="D511" t="inlineStr">
        <is>
          <t>STOCKHOLMS LÄN</t>
        </is>
      </c>
      <c r="E511" t="inlineStr">
        <is>
          <t>NYNÄSHAMN</t>
        </is>
      </c>
      <c r="G511" t="n">
        <v>2.1</v>
      </c>
      <c r="H511" t="n">
        <v>1</v>
      </c>
      <c r="I511" t="n">
        <v>0</v>
      </c>
      <c r="J511" t="n">
        <v>0</v>
      </c>
      <c r="K511" t="n">
        <v>0</v>
      </c>
      <c r="L511" t="n">
        <v>0</v>
      </c>
      <c r="M511" t="n">
        <v>0</v>
      </c>
      <c r="N511" t="n">
        <v>0</v>
      </c>
      <c r="O511" t="n">
        <v>0</v>
      </c>
      <c r="P511" t="n">
        <v>0</v>
      </c>
      <c r="Q511" t="n">
        <v>1</v>
      </c>
      <c r="R511" s="2" t="inlineStr">
        <is>
          <t>Revlummer</t>
        </is>
      </c>
      <c r="S511">
        <f>HYPERLINK("https://klasma.github.io/Logging_0192/artfynd/A 64196-2023 artfynd.xlsx", "A 64196-2023")</f>
        <v/>
      </c>
      <c r="T511">
        <f>HYPERLINK("https://klasma.github.io/Logging_0192/kartor/A 64196-2023 karta.png", "A 64196-2023")</f>
        <v/>
      </c>
      <c r="V511">
        <f>HYPERLINK("https://klasma.github.io/Logging_0192/klagomål/A 64196-2023 FSC-klagomål.docx", "A 64196-2023")</f>
        <v/>
      </c>
      <c r="W511">
        <f>HYPERLINK("https://klasma.github.io/Logging_0192/klagomålsmail/A 64196-2023 FSC-klagomål mail.docx", "A 64196-2023")</f>
        <v/>
      </c>
      <c r="X511">
        <f>HYPERLINK("https://klasma.github.io/Logging_0192/tillsyn/A 64196-2023 tillsynsbegäran.docx", "A 64196-2023")</f>
        <v/>
      </c>
      <c r="Y511">
        <f>HYPERLINK("https://klasma.github.io/Logging_0192/tillsynsmail/A 64196-2023 tillsynsbegäran mail.docx", "A 64196-2023")</f>
        <v/>
      </c>
    </row>
    <row r="512" ht="15" customHeight="1">
      <c r="A512" t="inlineStr">
        <is>
          <t>A 64345-2023</t>
        </is>
      </c>
      <c r="B512" s="1" t="n">
        <v>45280</v>
      </c>
      <c r="C512" s="1" t="n">
        <v>45672</v>
      </c>
      <c r="D512" t="inlineStr">
        <is>
          <t>STOCKHOLMS LÄN</t>
        </is>
      </c>
      <c r="E512" t="inlineStr">
        <is>
          <t>SIGTUNA</t>
        </is>
      </c>
      <c r="G512" t="n">
        <v>2.7</v>
      </c>
      <c r="H512" t="n">
        <v>1</v>
      </c>
      <c r="I512" t="n">
        <v>0</v>
      </c>
      <c r="J512" t="n">
        <v>0</v>
      </c>
      <c r="K512" t="n">
        <v>0</v>
      </c>
      <c r="L512" t="n">
        <v>0</v>
      </c>
      <c r="M512" t="n">
        <v>0</v>
      </c>
      <c r="N512" t="n">
        <v>0</v>
      </c>
      <c r="O512" t="n">
        <v>0</v>
      </c>
      <c r="P512" t="n">
        <v>0</v>
      </c>
      <c r="Q512" t="n">
        <v>1</v>
      </c>
      <c r="R512" s="2" t="inlineStr">
        <is>
          <t>Kungsfågel</t>
        </is>
      </c>
      <c r="S512">
        <f>HYPERLINK("https://klasma.github.io/Logging_0191/artfynd/A 64345-2023 artfynd.xlsx", "A 64345-2023")</f>
        <v/>
      </c>
      <c r="T512">
        <f>HYPERLINK("https://klasma.github.io/Logging_0191/kartor/A 64345-2023 karta.png", "A 64345-2023")</f>
        <v/>
      </c>
      <c r="V512">
        <f>HYPERLINK("https://klasma.github.io/Logging_0191/klagomål/A 64345-2023 FSC-klagomål.docx", "A 64345-2023")</f>
        <v/>
      </c>
      <c r="W512">
        <f>HYPERLINK("https://klasma.github.io/Logging_0191/klagomålsmail/A 64345-2023 FSC-klagomål mail.docx", "A 64345-2023")</f>
        <v/>
      </c>
      <c r="X512">
        <f>HYPERLINK("https://klasma.github.io/Logging_0191/tillsyn/A 64345-2023 tillsynsbegäran.docx", "A 64345-2023")</f>
        <v/>
      </c>
      <c r="Y512">
        <f>HYPERLINK("https://klasma.github.io/Logging_0191/tillsynsmail/A 64345-2023 tillsynsbegäran mail.docx", "A 64345-2023")</f>
        <v/>
      </c>
      <c r="Z512">
        <f>HYPERLINK("https://klasma.github.io/Logging_0191/fåglar/A 64345-2023 prioriterade fågelarter.docx", "A 64345-2023")</f>
        <v/>
      </c>
    </row>
    <row r="513" ht="15" customHeight="1">
      <c r="A513" t="inlineStr">
        <is>
          <t>A 64456-2023</t>
        </is>
      </c>
      <c r="B513" s="1" t="n">
        <v>45280</v>
      </c>
      <c r="C513" s="1" t="n">
        <v>45672</v>
      </c>
      <c r="D513" t="inlineStr">
        <is>
          <t>STOCKHOLMS LÄN</t>
        </is>
      </c>
      <c r="E513" t="inlineStr">
        <is>
          <t>NORRTÄLJE</t>
        </is>
      </c>
      <c r="G513" t="n">
        <v>2.5</v>
      </c>
      <c r="H513" t="n">
        <v>0</v>
      </c>
      <c r="I513" t="n">
        <v>1</v>
      </c>
      <c r="J513" t="n">
        <v>0</v>
      </c>
      <c r="K513" t="n">
        <v>0</v>
      </c>
      <c r="L513" t="n">
        <v>0</v>
      </c>
      <c r="M513" t="n">
        <v>0</v>
      </c>
      <c r="N513" t="n">
        <v>0</v>
      </c>
      <c r="O513" t="n">
        <v>0</v>
      </c>
      <c r="P513" t="n">
        <v>0</v>
      </c>
      <c r="Q513" t="n">
        <v>1</v>
      </c>
      <c r="R513" s="2" t="inlineStr">
        <is>
          <t>Rödgul trumpetsvamp</t>
        </is>
      </c>
      <c r="S513">
        <f>HYPERLINK("https://klasma.github.io/Logging_0188/artfynd/A 64456-2023 artfynd.xlsx", "A 64456-2023")</f>
        <v/>
      </c>
      <c r="T513">
        <f>HYPERLINK("https://klasma.github.io/Logging_0188/kartor/A 64456-2023 karta.png", "A 64456-2023")</f>
        <v/>
      </c>
      <c r="V513">
        <f>HYPERLINK("https://klasma.github.io/Logging_0188/klagomål/A 64456-2023 FSC-klagomål.docx", "A 64456-2023")</f>
        <v/>
      </c>
      <c r="W513">
        <f>HYPERLINK("https://klasma.github.io/Logging_0188/klagomålsmail/A 64456-2023 FSC-klagomål mail.docx", "A 64456-2023")</f>
        <v/>
      </c>
      <c r="X513">
        <f>HYPERLINK("https://klasma.github.io/Logging_0188/tillsyn/A 64456-2023 tillsynsbegäran.docx", "A 64456-2023")</f>
        <v/>
      </c>
      <c r="Y513">
        <f>HYPERLINK("https://klasma.github.io/Logging_0188/tillsynsmail/A 64456-2023 tillsynsbegäran mail.docx", "A 64456-2023")</f>
        <v/>
      </c>
    </row>
    <row r="514" ht="15" customHeight="1">
      <c r="A514" t="inlineStr">
        <is>
          <t>A 64441-2023</t>
        </is>
      </c>
      <c r="B514" s="1" t="n">
        <v>45280</v>
      </c>
      <c r="C514" s="1" t="n">
        <v>45672</v>
      </c>
      <c r="D514" t="inlineStr">
        <is>
          <t>STOCKHOLMS LÄN</t>
        </is>
      </c>
      <c r="E514" t="inlineStr">
        <is>
          <t>UPPLANDS VÄSBY</t>
        </is>
      </c>
      <c r="G514" t="n">
        <v>6.4</v>
      </c>
      <c r="H514" t="n">
        <v>0</v>
      </c>
      <c r="I514" t="n">
        <v>0</v>
      </c>
      <c r="J514" t="n">
        <v>1</v>
      </c>
      <c r="K514" t="n">
        <v>0</v>
      </c>
      <c r="L514" t="n">
        <v>0</v>
      </c>
      <c r="M514" t="n">
        <v>0</v>
      </c>
      <c r="N514" t="n">
        <v>0</v>
      </c>
      <c r="O514" t="n">
        <v>1</v>
      </c>
      <c r="P514" t="n">
        <v>0</v>
      </c>
      <c r="Q514" t="n">
        <v>1</v>
      </c>
      <c r="R514" s="2" t="inlineStr">
        <is>
          <t>Säfferot</t>
        </is>
      </c>
      <c r="S514">
        <f>HYPERLINK("https://klasma.github.io/Logging_0114/artfynd/A 64441-2023 artfynd.xlsx", "A 64441-2023")</f>
        <v/>
      </c>
      <c r="T514">
        <f>HYPERLINK("https://klasma.github.io/Logging_0114/kartor/A 64441-2023 karta.png", "A 64441-2023")</f>
        <v/>
      </c>
      <c r="V514">
        <f>HYPERLINK("https://klasma.github.io/Logging_0114/klagomål/A 64441-2023 FSC-klagomål.docx", "A 64441-2023")</f>
        <v/>
      </c>
      <c r="W514">
        <f>HYPERLINK("https://klasma.github.io/Logging_0114/klagomålsmail/A 64441-2023 FSC-klagomål mail.docx", "A 64441-2023")</f>
        <v/>
      </c>
      <c r="X514">
        <f>HYPERLINK("https://klasma.github.io/Logging_0114/tillsyn/A 64441-2023 tillsynsbegäran.docx", "A 64441-2023")</f>
        <v/>
      </c>
      <c r="Y514">
        <f>HYPERLINK("https://klasma.github.io/Logging_0114/tillsynsmail/A 64441-2023 tillsynsbegäran mail.docx", "A 64441-2023")</f>
        <v/>
      </c>
    </row>
    <row r="515" ht="15" customHeight="1">
      <c r="A515" t="inlineStr">
        <is>
          <t>A 3952-2024</t>
        </is>
      </c>
      <c r="B515" s="1" t="n">
        <v>45322</v>
      </c>
      <c r="C515" s="1" t="n">
        <v>45672</v>
      </c>
      <c r="D515" t="inlineStr">
        <is>
          <t>STOCKHOLMS LÄN</t>
        </is>
      </c>
      <c r="E515" t="inlineStr">
        <is>
          <t>HANINGE</t>
        </is>
      </c>
      <c r="G515" t="n">
        <v>1.7</v>
      </c>
      <c r="H515" t="n">
        <v>1</v>
      </c>
      <c r="I515" t="n">
        <v>0</v>
      </c>
      <c r="J515" t="n">
        <v>0</v>
      </c>
      <c r="K515" t="n">
        <v>0</v>
      </c>
      <c r="L515" t="n">
        <v>0</v>
      </c>
      <c r="M515" t="n">
        <v>0</v>
      </c>
      <c r="N515" t="n">
        <v>0</v>
      </c>
      <c r="O515" t="n">
        <v>0</v>
      </c>
      <c r="P515" t="n">
        <v>0</v>
      </c>
      <c r="Q515" t="n">
        <v>1</v>
      </c>
      <c r="R515" s="2" t="inlineStr">
        <is>
          <t>Sångsvan</t>
        </is>
      </c>
      <c r="S515">
        <f>HYPERLINK("https://klasma.github.io/Logging_0136/artfynd/A 3952-2024 artfynd.xlsx", "A 3952-2024")</f>
        <v/>
      </c>
      <c r="T515">
        <f>HYPERLINK("https://klasma.github.io/Logging_0136/kartor/A 3952-2024 karta.png", "A 3952-2024")</f>
        <v/>
      </c>
      <c r="V515">
        <f>HYPERLINK("https://klasma.github.io/Logging_0136/klagomål/A 3952-2024 FSC-klagomål.docx", "A 3952-2024")</f>
        <v/>
      </c>
      <c r="W515">
        <f>HYPERLINK("https://klasma.github.io/Logging_0136/klagomålsmail/A 3952-2024 FSC-klagomål mail.docx", "A 3952-2024")</f>
        <v/>
      </c>
      <c r="X515">
        <f>HYPERLINK("https://klasma.github.io/Logging_0136/tillsyn/A 3952-2024 tillsynsbegäran.docx", "A 3952-2024")</f>
        <v/>
      </c>
      <c r="Y515">
        <f>HYPERLINK("https://klasma.github.io/Logging_0136/tillsynsmail/A 3952-2024 tillsynsbegäran mail.docx", "A 3952-2024")</f>
        <v/>
      </c>
      <c r="Z515">
        <f>HYPERLINK("https://klasma.github.io/Logging_0136/fåglar/A 3952-2024 prioriterade fågelarter.docx", "A 3952-2024")</f>
        <v/>
      </c>
    </row>
    <row r="516" ht="15" customHeight="1">
      <c r="A516" t="inlineStr">
        <is>
          <t>A 5946-2024</t>
        </is>
      </c>
      <c r="B516" s="1" t="n">
        <v>45336</v>
      </c>
      <c r="C516" s="1" t="n">
        <v>45672</v>
      </c>
      <c r="D516" t="inlineStr">
        <is>
          <t>STOCKHOLMS LÄN</t>
        </is>
      </c>
      <c r="E516" t="inlineStr">
        <is>
          <t>NYNÄSHAMN</t>
        </is>
      </c>
      <c r="G516" t="n">
        <v>15</v>
      </c>
      <c r="H516" t="n">
        <v>0</v>
      </c>
      <c r="I516" t="n">
        <v>1</v>
      </c>
      <c r="J516" t="n">
        <v>0</v>
      </c>
      <c r="K516" t="n">
        <v>0</v>
      </c>
      <c r="L516" t="n">
        <v>0</v>
      </c>
      <c r="M516" t="n">
        <v>0</v>
      </c>
      <c r="N516" t="n">
        <v>0</v>
      </c>
      <c r="O516" t="n">
        <v>0</v>
      </c>
      <c r="P516" t="n">
        <v>0</v>
      </c>
      <c r="Q516" t="n">
        <v>1</v>
      </c>
      <c r="R516" s="2" t="inlineStr">
        <is>
          <t>Grönpyrola</t>
        </is>
      </c>
      <c r="S516">
        <f>HYPERLINK("https://klasma.github.io/Logging_0192/artfynd/A 5946-2024 artfynd.xlsx", "A 5946-2024")</f>
        <v/>
      </c>
      <c r="T516">
        <f>HYPERLINK("https://klasma.github.io/Logging_0192/kartor/A 5946-2024 karta.png", "A 5946-2024")</f>
        <v/>
      </c>
      <c r="V516">
        <f>HYPERLINK("https://klasma.github.io/Logging_0192/klagomål/A 5946-2024 FSC-klagomål.docx", "A 5946-2024")</f>
        <v/>
      </c>
      <c r="W516">
        <f>HYPERLINK("https://klasma.github.io/Logging_0192/klagomålsmail/A 5946-2024 FSC-klagomål mail.docx", "A 5946-2024")</f>
        <v/>
      </c>
      <c r="X516">
        <f>HYPERLINK("https://klasma.github.io/Logging_0192/tillsyn/A 5946-2024 tillsynsbegäran.docx", "A 5946-2024")</f>
        <v/>
      </c>
      <c r="Y516">
        <f>HYPERLINK("https://klasma.github.io/Logging_0192/tillsynsmail/A 5946-2024 tillsynsbegäran mail.docx", "A 5946-2024")</f>
        <v/>
      </c>
    </row>
    <row r="517" ht="15" customHeight="1">
      <c r="A517" t="inlineStr">
        <is>
          <t>A 6412-2024</t>
        </is>
      </c>
      <c r="B517" s="1" t="n">
        <v>45338</v>
      </c>
      <c r="C517" s="1" t="n">
        <v>45672</v>
      </c>
      <c r="D517" t="inlineStr">
        <is>
          <t>STOCKHOLMS LÄN</t>
        </is>
      </c>
      <c r="E517" t="inlineStr">
        <is>
          <t>VÄRMDÖ</t>
        </is>
      </c>
      <c r="G517" t="n">
        <v>2.4</v>
      </c>
      <c r="H517" t="n">
        <v>1</v>
      </c>
      <c r="I517" t="n">
        <v>1</v>
      </c>
      <c r="J517" t="n">
        <v>0</v>
      </c>
      <c r="K517" t="n">
        <v>0</v>
      </c>
      <c r="L517" t="n">
        <v>0</v>
      </c>
      <c r="M517" t="n">
        <v>0</v>
      </c>
      <c r="N517" t="n">
        <v>0</v>
      </c>
      <c r="O517" t="n">
        <v>0</v>
      </c>
      <c r="P517" t="n">
        <v>0</v>
      </c>
      <c r="Q517" t="n">
        <v>1</v>
      </c>
      <c r="R517" s="2" t="inlineStr">
        <is>
          <t>Skogsknipprot</t>
        </is>
      </c>
      <c r="S517">
        <f>HYPERLINK("https://klasma.github.io/Logging_0120/artfynd/A 6412-2024 artfynd.xlsx", "A 6412-2024")</f>
        <v/>
      </c>
      <c r="T517">
        <f>HYPERLINK("https://klasma.github.io/Logging_0120/kartor/A 6412-2024 karta.png", "A 6412-2024")</f>
        <v/>
      </c>
      <c r="V517">
        <f>HYPERLINK("https://klasma.github.io/Logging_0120/klagomål/A 6412-2024 FSC-klagomål.docx", "A 6412-2024")</f>
        <v/>
      </c>
      <c r="W517">
        <f>HYPERLINK("https://klasma.github.io/Logging_0120/klagomålsmail/A 6412-2024 FSC-klagomål mail.docx", "A 6412-2024")</f>
        <v/>
      </c>
      <c r="X517">
        <f>HYPERLINK("https://klasma.github.io/Logging_0120/tillsyn/A 6412-2024 tillsynsbegäran.docx", "A 6412-2024")</f>
        <v/>
      </c>
      <c r="Y517">
        <f>HYPERLINK("https://klasma.github.io/Logging_0120/tillsynsmail/A 6412-2024 tillsynsbegäran mail.docx", "A 6412-2024")</f>
        <v/>
      </c>
    </row>
    <row r="518" ht="15" customHeight="1">
      <c r="A518" t="inlineStr">
        <is>
          <t>A 6950-2024</t>
        </is>
      </c>
      <c r="B518" s="1" t="n">
        <v>45343</v>
      </c>
      <c r="C518" s="1" t="n">
        <v>45672</v>
      </c>
      <c r="D518" t="inlineStr">
        <is>
          <t>STOCKHOLMS LÄN</t>
        </is>
      </c>
      <c r="E518" t="inlineStr">
        <is>
          <t>NORRTÄLJE</t>
        </is>
      </c>
      <c r="G518" t="n">
        <v>26.8</v>
      </c>
      <c r="H518" t="n">
        <v>1</v>
      </c>
      <c r="I518" t="n">
        <v>0</v>
      </c>
      <c r="J518" t="n">
        <v>0</v>
      </c>
      <c r="K518" t="n">
        <v>0</v>
      </c>
      <c r="L518" t="n">
        <v>0</v>
      </c>
      <c r="M518" t="n">
        <v>0</v>
      </c>
      <c r="N518" t="n">
        <v>0</v>
      </c>
      <c r="O518" t="n">
        <v>0</v>
      </c>
      <c r="P518" t="n">
        <v>0</v>
      </c>
      <c r="Q518" t="n">
        <v>1</v>
      </c>
      <c r="R518" s="2" t="inlineStr">
        <is>
          <t>Blåsippa</t>
        </is>
      </c>
      <c r="S518">
        <f>HYPERLINK("https://klasma.github.io/Logging_0188/artfynd/A 6950-2024 artfynd.xlsx", "A 6950-2024")</f>
        <v/>
      </c>
      <c r="T518">
        <f>HYPERLINK("https://klasma.github.io/Logging_0188/kartor/A 6950-2024 karta.png", "A 6950-2024")</f>
        <v/>
      </c>
      <c r="V518">
        <f>HYPERLINK("https://klasma.github.io/Logging_0188/klagomål/A 6950-2024 FSC-klagomål.docx", "A 6950-2024")</f>
        <v/>
      </c>
      <c r="W518">
        <f>HYPERLINK("https://klasma.github.io/Logging_0188/klagomålsmail/A 6950-2024 FSC-klagomål mail.docx", "A 6950-2024")</f>
        <v/>
      </c>
      <c r="X518">
        <f>HYPERLINK("https://klasma.github.io/Logging_0188/tillsyn/A 6950-2024 tillsynsbegäran.docx", "A 6950-2024")</f>
        <v/>
      </c>
      <c r="Y518">
        <f>HYPERLINK("https://klasma.github.io/Logging_0188/tillsynsmail/A 6950-2024 tillsynsbegäran mail.docx", "A 6950-2024")</f>
        <v/>
      </c>
    </row>
    <row r="519" ht="15" customHeight="1">
      <c r="A519" t="inlineStr">
        <is>
          <t>A 11388-2024</t>
        </is>
      </c>
      <c r="B519" s="1" t="n">
        <v>45372</v>
      </c>
      <c r="C519" s="1" t="n">
        <v>45672</v>
      </c>
      <c r="D519" t="inlineStr">
        <is>
          <t>STOCKHOLMS LÄN</t>
        </is>
      </c>
      <c r="E519" t="inlineStr">
        <is>
          <t>NYKVARN</t>
        </is>
      </c>
      <c r="G519" t="n">
        <v>4</v>
      </c>
      <c r="H519" t="n">
        <v>0</v>
      </c>
      <c r="I519" t="n">
        <v>0</v>
      </c>
      <c r="J519" t="n">
        <v>1</v>
      </c>
      <c r="K519" t="n">
        <v>0</v>
      </c>
      <c r="L519" t="n">
        <v>0</v>
      </c>
      <c r="M519" t="n">
        <v>0</v>
      </c>
      <c r="N519" t="n">
        <v>0</v>
      </c>
      <c r="O519" t="n">
        <v>1</v>
      </c>
      <c r="P519" t="n">
        <v>0</v>
      </c>
      <c r="Q519" t="n">
        <v>1</v>
      </c>
      <c r="R519" s="2" t="inlineStr">
        <is>
          <t>Igelkott</t>
        </is>
      </c>
      <c r="S519">
        <f>HYPERLINK("https://klasma.github.io/Logging_0140/artfynd/A 11388-2024 artfynd.xlsx", "A 11388-2024")</f>
        <v/>
      </c>
      <c r="T519">
        <f>HYPERLINK("https://klasma.github.io/Logging_0140/kartor/A 11388-2024 karta.png", "A 11388-2024")</f>
        <v/>
      </c>
      <c r="V519">
        <f>HYPERLINK("https://klasma.github.io/Logging_0140/klagomål/A 11388-2024 FSC-klagomål.docx", "A 11388-2024")</f>
        <v/>
      </c>
      <c r="W519">
        <f>HYPERLINK("https://klasma.github.io/Logging_0140/klagomålsmail/A 11388-2024 FSC-klagomål mail.docx", "A 11388-2024")</f>
        <v/>
      </c>
      <c r="X519">
        <f>HYPERLINK("https://klasma.github.io/Logging_0140/tillsyn/A 11388-2024 tillsynsbegäran.docx", "A 11388-2024")</f>
        <v/>
      </c>
      <c r="Y519">
        <f>HYPERLINK("https://klasma.github.io/Logging_0140/tillsynsmail/A 11388-2024 tillsynsbegäran mail.docx", "A 11388-2024")</f>
        <v/>
      </c>
    </row>
    <row r="520" ht="15" customHeight="1">
      <c r="A520" t="inlineStr">
        <is>
          <t>A 12968-2024</t>
        </is>
      </c>
      <c r="B520" s="1" t="n">
        <v>45385</v>
      </c>
      <c r="C520" s="1" t="n">
        <v>45672</v>
      </c>
      <c r="D520" t="inlineStr">
        <is>
          <t>STOCKHOLMS LÄN</t>
        </is>
      </c>
      <c r="E520" t="inlineStr">
        <is>
          <t>SÖDERTÄLJE</t>
        </is>
      </c>
      <c r="F520" t="inlineStr">
        <is>
          <t>Kommuner</t>
        </is>
      </c>
      <c r="G520" t="n">
        <v>5.5</v>
      </c>
      <c r="H520" t="n">
        <v>0</v>
      </c>
      <c r="I520" t="n">
        <v>0</v>
      </c>
      <c r="J520" t="n">
        <v>0</v>
      </c>
      <c r="K520" t="n">
        <v>0</v>
      </c>
      <c r="L520" t="n">
        <v>1</v>
      </c>
      <c r="M520" t="n">
        <v>0</v>
      </c>
      <c r="N520" t="n">
        <v>0</v>
      </c>
      <c r="O520" t="n">
        <v>1</v>
      </c>
      <c r="P520" t="n">
        <v>1</v>
      </c>
      <c r="Q520" t="n">
        <v>1</v>
      </c>
      <c r="R520" s="2" t="inlineStr">
        <is>
          <t>Ask</t>
        </is>
      </c>
      <c r="S520">
        <f>HYPERLINK("https://klasma.github.io/Logging_0181/artfynd/A 12968-2024 artfynd.xlsx", "A 12968-2024")</f>
        <v/>
      </c>
      <c r="T520">
        <f>HYPERLINK("https://klasma.github.io/Logging_0181/kartor/A 12968-2024 karta.png", "A 12968-2024")</f>
        <v/>
      </c>
      <c r="V520">
        <f>HYPERLINK("https://klasma.github.io/Logging_0181/klagomål/A 12968-2024 FSC-klagomål.docx", "A 12968-2024")</f>
        <v/>
      </c>
      <c r="W520">
        <f>HYPERLINK("https://klasma.github.io/Logging_0181/klagomålsmail/A 12968-2024 FSC-klagomål mail.docx", "A 12968-2024")</f>
        <v/>
      </c>
      <c r="X520">
        <f>HYPERLINK("https://klasma.github.io/Logging_0181/tillsyn/A 12968-2024 tillsynsbegäran.docx", "A 12968-2024")</f>
        <v/>
      </c>
      <c r="Y520">
        <f>HYPERLINK("https://klasma.github.io/Logging_0181/tillsynsmail/A 12968-2024 tillsynsbegäran mail.docx", "A 12968-2024")</f>
        <v/>
      </c>
    </row>
    <row r="521" ht="15" customHeight="1">
      <c r="A521" t="inlineStr">
        <is>
          <t>A 13136-2024</t>
        </is>
      </c>
      <c r="B521" s="1" t="n">
        <v>45386</v>
      </c>
      <c r="C521" s="1" t="n">
        <v>45672</v>
      </c>
      <c r="D521" t="inlineStr">
        <is>
          <t>STOCKHOLMS LÄN</t>
        </is>
      </c>
      <c r="E521" t="inlineStr">
        <is>
          <t>NYKVARN</t>
        </is>
      </c>
      <c r="F521" t="inlineStr">
        <is>
          <t>Sveaskog</t>
        </is>
      </c>
      <c r="G521" t="n">
        <v>6.2</v>
      </c>
      <c r="H521" t="n">
        <v>0</v>
      </c>
      <c r="I521" t="n">
        <v>0</v>
      </c>
      <c r="J521" t="n">
        <v>1</v>
      </c>
      <c r="K521" t="n">
        <v>0</v>
      </c>
      <c r="L521" t="n">
        <v>0</v>
      </c>
      <c r="M521" t="n">
        <v>0</v>
      </c>
      <c r="N521" t="n">
        <v>0</v>
      </c>
      <c r="O521" t="n">
        <v>1</v>
      </c>
      <c r="P521" t="n">
        <v>0</v>
      </c>
      <c r="Q521" t="n">
        <v>1</v>
      </c>
      <c r="R521" s="2" t="inlineStr">
        <is>
          <t>Motaggsvamp</t>
        </is>
      </c>
      <c r="S521">
        <f>HYPERLINK("https://klasma.github.io/Logging_0140/artfynd/A 13136-2024 artfynd.xlsx", "A 13136-2024")</f>
        <v/>
      </c>
      <c r="T521">
        <f>HYPERLINK("https://klasma.github.io/Logging_0140/kartor/A 13136-2024 karta.png", "A 13136-2024")</f>
        <v/>
      </c>
      <c r="V521">
        <f>HYPERLINK("https://klasma.github.io/Logging_0140/klagomål/A 13136-2024 FSC-klagomål.docx", "A 13136-2024")</f>
        <v/>
      </c>
      <c r="W521">
        <f>HYPERLINK("https://klasma.github.io/Logging_0140/klagomålsmail/A 13136-2024 FSC-klagomål mail.docx", "A 13136-2024")</f>
        <v/>
      </c>
      <c r="X521">
        <f>HYPERLINK("https://klasma.github.io/Logging_0140/tillsyn/A 13136-2024 tillsynsbegäran.docx", "A 13136-2024")</f>
        <v/>
      </c>
      <c r="Y521">
        <f>HYPERLINK("https://klasma.github.io/Logging_0140/tillsynsmail/A 13136-2024 tillsynsbegäran mail.docx", "A 13136-2024")</f>
        <v/>
      </c>
    </row>
    <row r="522" ht="15" customHeight="1">
      <c r="A522" t="inlineStr">
        <is>
          <t>A 14506-2024</t>
        </is>
      </c>
      <c r="B522" s="1" t="n">
        <v>45394</v>
      </c>
      <c r="C522" s="1" t="n">
        <v>45672</v>
      </c>
      <c r="D522" t="inlineStr">
        <is>
          <t>STOCKHOLMS LÄN</t>
        </is>
      </c>
      <c r="E522" t="inlineStr">
        <is>
          <t>VALLENTUNA</t>
        </is>
      </c>
      <c r="G522" t="n">
        <v>13.2</v>
      </c>
      <c r="H522" t="n">
        <v>0</v>
      </c>
      <c r="I522" t="n">
        <v>0</v>
      </c>
      <c r="J522" t="n">
        <v>0</v>
      </c>
      <c r="K522" t="n">
        <v>1</v>
      </c>
      <c r="L522" t="n">
        <v>0</v>
      </c>
      <c r="M522" t="n">
        <v>0</v>
      </c>
      <c r="N522" t="n">
        <v>0</v>
      </c>
      <c r="O522" t="n">
        <v>1</v>
      </c>
      <c r="P522" t="n">
        <v>1</v>
      </c>
      <c r="Q522" t="n">
        <v>1</v>
      </c>
      <c r="R522" s="2" t="inlineStr">
        <is>
          <t>Violgubbe</t>
        </is>
      </c>
      <c r="S522">
        <f>HYPERLINK("https://klasma.github.io/Logging_0115/artfynd/A 14506-2024 artfynd.xlsx", "A 14506-2024")</f>
        <v/>
      </c>
      <c r="T522">
        <f>HYPERLINK("https://klasma.github.io/Logging_0115/kartor/A 14506-2024 karta.png", "A 14506-2024")</f>
        <v/>
      </c>
      <c r="V522">
        <f>HYPERLINK("https://klasma.github.io/Logging_0115/klagomål/A 14506-2024 FSC-klagomål.docx", "A 14506-2024")</f>
        <v/>
      </c>
      <c r="W522">
        <f>HYPERLINK("https://klasma.github.io/Logging_0115/klagomålsmail/A 14506-2024 FSC-klagomål mail.docx", "A 14506-2024")</f>
        <v/>
      </c>
      <c r="X522">
        <f>HYPERLINK("https://klasma.github.io/Logging_0115/tillsyn/A 14506-2024 tillsynsbegäran.docx", "A 14506-2024")</f>
        <v/>
      </c>
      <c r="Y522">
        <f>HYPERLINK("https://klasma.github.io/Logging_0115/tillsynsmail/A 14506-2024 tillsynsbegäran mail.docx", "A 14506-2024")</f>
        <v/>
      </c>
    </row>
    <row r="523" ht="15" customHeight="1">
      <c r="A523" t="inlineStr">
        <is>
          <t>A 14508-2024</t>
        </is>
      </c>
      <c r="B523" s="1" t="n">
        <v>45394</v>
      </c>
      <c r="C523" s="1" t="n">
        <v>45672</v>
      </c>
      <c r="D523" t="inlineStr">
        <is>
          <t>STOCKHOLMS LÄN</t>
        </is>
      </c>
      <c r="E523" t="inlineStr">
        <is>
          <t>VALLENTUNA</t>
        </is>
      </c>
      <c r="G523" t="n">
        <v>1.7</v>
      </c>
      <c r="H523" t="n">
        <v>1</v>
      </c>
      <c r="I523" t="n">
        <v>0</v>
      </c>
      <c r="J523" t="n">
        <v>1</v>
      </c>
      <c r="K523" t="n">
        <v>0</v>
      </c>
      <c r="L523" t="n">
        <v>0</v>
      </c>
      <c r="M523" t="n">
        <v>0</v>
      </c>
      <c r="N523" t="n">
        <v>0</v>
      </c>
      <c r="O523" t="n">
        <v>1</v>
      </c>
      <c r="P523" t="n">
        <v>0</v>
      </c>
      <c r="Q523" t="n">
        <v>1</v>
      </c>
      <c r="R523" s="2" t="inlineStr">
        <is>
          <t>Mindre hackspett</t>
        </is>
      </c>
      <c r="S523">
        <f>HYPERLINK("https://klasma.github.io/Logging_0115/artfynd/A 14508-2024 artfynd.xlsx", "A 14508-2024")</f>
        <v/>
      </c>
      <c r="T523">
        <f>HYPERLINK("https://klasma.github.io/Logging_0115/kartor/A 14508-2024 karta.png", "A 14508-2024")</f>
        <v/>
      </c>
      <c r="V523">
        <f>HYPERLINK("https://klasma.github.io/Logging_0115/klagomål/A 14508-2024 FSC-klagomål.docx", "A 14508-2024")</f>
        <v/>
      </c>
      <c r="W523">
        <f>HYPERLINK("https://klasma.github.io/Logging_0115/klagomålsmail/A 14508-2024 FSC-klagomål mail.docx", "A 14508-2024")</f>
        <v/>
      </c>
      <c r="X523">
        <f>HYPERLINK("https://klasma.github.io/Logging_0115/tillsyn/A 14508-2024 tillsynsbegäran.docx", "A 14508-2024")</f>
        <v/>
      </c>
      <c r="Y523">
        <f>HYPERLINK("https://klasma.github.io/Logging_0115/tillsynsmail/A 14508-2024 tillsynsbegäran mail.docx", "A 14508-2024")</f>
        <v/>
      </c>
      <c r="Z523">
        <f>HYPERLINK("https://klasma.github.io/Logging_0115/fåglar/A 14508-2024 prioriterade fågelarter.docx", "A 14508-2024")</f>
        <v/>
      </c>
    </row>
    <row r="524" ht="15" customHeight="1">
      <c r="A524" t="inlineStr">
        <is>
          <t>A 14511-2024</t>
        </is>
      </c>
      <c r="B524" s="1" t="n">
        <v>45394</v>
      </c>
      <c r="C524" s="1" t="n">
        <v>45672</v>
      </c>
      <c r="D524" t="inlineStr">
        <is>
          <t>STOCKHOLMS LÄN</t>
        </is>
      </c>
      <c r="E524" t="inlineStr">
        <is>
          <t>VALLENTUNA</t>
        </is>
      </c>
      <c r="G524" t="n">
        <v>2.7</v>
      </c>
      <c r="H524" t="n">
        <v>1</v>
      </c>
      <c r="I524" t="n">
        <v>0</v>
      </c>
      <c r="J524" t="n">
        <v>0</v>
      </c>
      <c r="K524" t="n">
        <v>1</v>
      </c>
      <c r="L524" t="n">
        <v>0</v>
      </c>
      <c r="M524" t="n">
        <v>0</v>
      </c>
      <c r="N524" t="n">
        <v>0</v>
      </c>
      <c r="O524" t="n">
        <v>1</v>
      </c>
      <c r="P524" t="n">
        <v>1</v>
      </c>
      <c r="Q524" t="n">
        <v>1</v>
      </c>
      <c r="R524" s="2" t="inlineStr">
        <is>
          <t>Knärot</t>
        </is>
      </c>
      <c r="S524">
        <f>HYPERLINK("https://klasma.github.io/Logging_0115/artfynd/A 14511-2024 artfynd.xlsx", "A 14511-2024")</f>
        <v/>
      </c>
      <c r="T524">
        <f>HYPERLINK("https://klasma.github.io/Logging_0115/kartor/A 14511-2024 karta.png", "A 14511-2024")</f>
        <v/>
      </c>
      <c r="U524">
        <f>HYPERLINK("https://klasma.github.io/Logging_0115/knärot/A 14511-2024 karta knärot.png", "A 14511-2024")</f>
        <v/>
      </c>
      <c r="V524">
        <f>HYPERLINK("https://klasma.github.io/Logging_0115/klagomål/A 14511-2024 FSC-klagomål.docx", "A 14511-2024")</f>
        <v/>
      </c>
      <c r="W524">
        <f>HYPERLINK("https://klasma.github.io/Logging_0115/klagomålsmail/A 14511-2024 FSC-klagomål mail.docx", "A 14511-2024")</f>
        <v/>
      </c>
      <c r="X524">
        <f>HYPERLINK("https://klasma.github.io/Logging_0115/tillsyn/A 14511-2024 tillsynsbegäran.docx", "A 14511-2024")</f>
        <v/>
      </c>
      <c r="Y524">
        <f>HYPERLINK("https://klasma.github.io/Logging_0115/tillsynsmail/A 14511-2024 tillsynsbegäran mail.docx", "A 14511-2024")</f>
        <v/>
      </c>
    </row>
    <row r="525" ht="15" customHeight="1">
      <c r="A525" t="inlineStr">
        <is>
          <t>A 19793-2024</t>
        </is>
      </c>
      <c r="B525" s="1" t="n">
        <v>45432</v>
      </c>
      <c r="C525" s="1" t="n">
        <v>45672</v>
      </c>
      <c r="D525" t="inlineStr">
        <is>
          <t>STOCKHOLMS LÄN</t>
        </is>
      </c>
      <c r="E525" t="inlineStr">
        <is>
          <t>SÖDERTÄLJE</t>
        </is>
      </c>
      <c r="F525" t="inlineStr">
        <is>
          <t>Övriga Aktiebolag</t>
        </is>
      </c>
      <c r="G525" t="n">
        <v>4.1</v>
      </c>
      <c r="H525" t="n">
        <v>0</v>
      </c>
      <c r="I525" t="n">
        <v>1</v>
      </c>
      <c r="J525" t="n">
        <v>0</v>
      </c>
      <c r="K525" t="n">
        <v>0</v>
      </c>
      <c r="L525" t="n">
        <v>0</v>
      </c>
      <c r="M525" t="n">
        <v>0</v>
      </c>
      <c r="N525" t="n">
        <v>0</v>
      </c>
      <c r="O525" t="n">
        <v>0</v>
      </c>
      <c r="P525" t="n">
        <v>0</v>
      </c>
      <c r="Q525" t="n">
        <v>1</v>
      </c>
      <c r="R525" s="2" t="inlineStr">
        <is>
          <t>Fjällig taggsvamp s.str.</t>
        </is>
      </c>
      <c r="S525">
        <f>HYPERLINK("https://klasma.github.io/Logging_0181/artfynd/A 19793-2024 artfynd.xlsx", "A 19793-2024")</f>
        <v/>
      </c>
      <c r="T525">
        <f>HYPERLINK("https://klasma.github.io/Logging_0181/kartor/A 19793-2024 karta.png", "A 19793-2024")</f>
        <v/>
      </c>
      <c r="V525">
        <f>HYPERLINK("https://klasma.github.io/Logging_0181/klagomål/A 19793-2024 FSC-klagomål.docx", "A 19793-2024")</f>
        <v/>
      </c>
      <c r="W525">
        <f>HYPERLINK("https://klasma.github.io/Logging_0181/klagomålsmail/A 19793-2024 FSC-klagomål mail.docx", "A 19793-2024")</f>
        <v/>
      </c>
      <c r="X525">
        <f>HYPERLINK("https://klasma.github.io/Logging_0181/tillsyn/A 19793-2024 tillsynsbegäran.docx", "A 19793-2024")</f>
        <v/>
      </c>
      <c r="Y525">
        <f>HYPERLINK("https://klasma.github.io/Logging_0181/tillsynsmail/A 19793-2024 tillsynsbegäran mail.docx", "A 19793-2024")</f>
        <v/>
      </c>
    </row>
    <row r="526" ht="15" customHeight="1">
      <c r="A526" t="inlineStr">
        <is>
          <t>A 20468-2024</t>
        </is>
      </c>
      <c r="B526" s="1" t="n">
        <v>45435</v>
      </c>
      <c r="C526" s="1" t="n">
        <v>45672</v>
      </c>
      <c r="D526" t="inlineStr">
        <is>
          <t>STOCKHOLMS LÄN</t>
        </is>
      </c>
      <c r="E526" t="inlineStr">
        <is>
          <t>NORRTÄLJE</t>
        </is>
      </c>
      <c r="G526" t="n">
        <v>2.2</v>
      </c>
      <c r="H526" t="n">
        <v>0</v>
      </c>
      <c r="I526" t="n">
        <v>0</v>
      </c>
      <c r="J526" t="n">
        <v>0</v>
      </c>
      <c r="K526" t="n">
        <v>0</v>
      </c>
      <c r="L526" t="n">
        <v>1</v>
      </c>
      <c r="M526" t="n">
        <v>0</v>
      </c>
      <c r="N526" t="n">
        <v>0</v>
      </c>
      <c r="O526" t="n">
        <v>1</v>
      </c>
      <c r="P526" t="n">
        <v>1</v>
      </c>
      <c r="Q526" t="n">
        <v>1</v>
      </c>
      <c r="R526" s="2" t="inlineStr">
        <is>
          <t>Fältgentiana</t>
        </is>
      </c>
      <c r="S526">
        <f>HYPERLINK("https://klasma.github.io/Logging_0188/artfynd/A 20468-2024 artfynd.xlsx", "A 20468-2024")</f>
        <v/>
      </c>
      <c r="T526">
        <f>HYPERLINK("https://klasma.github.io/Logging_0188/kartor/A 20468-2024 karta.png", "A 20468-2024")</f>
        <v/>
      </c>
      <c r="V526">
        <f>HYPERLINK("https://klasma.github.io/Logging_0188/klagomål/A 20468-2024 FSC-klagomål.docx", "A 20468-2024")</f>
        <v/>
      </c>
      <c r="W526">
        <f>HYPERLINK("https://klasma.github.io/Logging_0188/klagomålsmail/A 20468-2024 FSC-klagomål mail.docx", "A 20468-2024")</f>
        <v/>
      </c>
      <c r="X526">
        <f>HYPERLINK("https://klasma.github.io/Logging_0188/tillsyn/A 20468-2024 tillsynsbegäran.docx", "A 20468-2024")</f>
        <v/>
      </c>
      <c r="Y526">
        <f>HYPERLINK("https://klasma.github.io/Logging_0188/tillsynsmail/A 20468-2024 tillsynsbegäran mail.docx", "A 20468-2024")</f>
        <v/>
      </c>
    </row>
    <row r="527" ht="15" customHeight="1">
      <c r="A527" t="inlineStr">
        <is>
          <t>A 22830-2024</t>
        </is>
      </c>
      <c r="B527" s="1" t="n">
        <v>45448</v>
      </c>
      <c r="C527" s="1" t="n">
        <v>45672</v>
      </c>
      <c r="D527" t="inlineStr">
        <is>
          <t>STOCKHOLMS LÄN</t>
        </is>
      </c>
      <c r="E527" t="inlineStr">
        <is>
          <t>VALLENTUNA</t>
        </is>
      </c>
      <c r="G527" t="n">
        <v>0.3</v>
      </c>
      <c r="H527" t="n">
        <v>0</v>
      </c>
      <c r="I527" t="n">
        <v>0</v>
      </c>
      <c r="J527" t="n">
        <v>1</v>
      </c>
      <c r="K527" t="n">
        <v>0</v>
      </c>
      <c r="L527" t="n">
        <v>0</v>
      </c>
      <c r="M527" t="n">
        <v>0</v>
      </c>
      <c r="N527" t="n">
        <v>0</v>
      </c>
      <c r="O527" t="n">
        <v>1</v>
      </c>
      <c r="P527" t="n">
        <v>0</v>
      </c>
      <c r="Q527" t="n">
        <v>1</v>
      </c>
      <c r="R527" s="2" t="inlineStr">
        <is>
          <t>Tallticka</t>
        </is>
      </c>
      <c r="S527">
        <f>HYPERLINK("https://klasma.github.io/Logging_0115/artfynd/A 22830-2024 artfynd.xlsx", "A 22830-2024")</f>
        <v/>
      </c>
      <c r="T527">
        <f>HYPERLINK("https://klasma.github.io/Logging_0115/kartor/A 22830-2024 karta.png", "A 22830-2024")</f>
        <v/>
      </c>
      <c r="V527">
        <f>HYPERLINK("https://klasma.github.io/Logging_0115/klagomål/A 22830-2024 FSC-klagomål.docx", "A 22830-2024")</f>
        <v/>
      </c>
      <c r="W527">
        <f>HYPERLINK("https://klasma.github.io/Logging_0115/klagomålsmail/A 22830-2024 FSC-klagomål mail.docx", "A 22830-2024")</f>
        <v/>
      </c>
      <c r="X527">
        <f>HYPERLINK("https://klasma.github.io/Logging_0115/tillsyn/A 22830-2024 tillsynsbegäran.docx", "A 22830-2024")</f>
        <v/>
      </c>
      <c r="Y527">
        <f>HYPERLINK("https://klasma.github.io/Logging_0115/tillsynsmail/A 22830-2024 tillsynsbegäran mail.docx", "A 22830-2024")</f>
        <v/>
      </c>
    </row>
    <row r="528" ht="15" customHeight="1">
      <c r="A528" t="inlineStr">
        <is>
          <t>A 23146-2024</t>
        </is>
      </c>
      <c r="B528" s="1" t="n">
        <v>45450</v>
      </c>
      <c r="C528" s="1" t="n">
        <v>45672</v>
      </c>
      <c r="D528" t="inlineStr">
        <is>
          <t>STOCKHOLMS LÄN</t>
        </is>
      </c>
      <c r="E528" t="inlineStr">
        <is>
          <t>NORRTÄLJE</t>
        </is>
      </c>
      <c r="F528" t="inlineStr">
        <is>
          <t>Kommuner</t>
        </is>
      </c>
      <c r="G528" t="n">
        <v>6</v>
      </c>
      <c r="H528" t="n">
        <v>0</v>
      </c>
      <c r="I528" t="n">
        <v>0</v>
      </c>
      <c r="J528" t="n">
        <v>1</v>
      </c>
      <c r="K528" t="n">
        <v>0</v>
      </c>
      <c r="L528" t="n">
        <v>0</v>
      </c>
      <c r="M528" t="n">
        <v>0</v>
      </c>
      <c r="N528" t="n">
        <v>0</v>
      </c>
      <c r="O528" t="n">
        <v>1</v>
      </c>
      <c r="P528" t="n">
        <v>0</v>
      </c>
      <c r="Q528" t="n">
        <v>1</v>
      </c>
      <c r="R528" s="2" t="inlineStr">
        <is>
          <t>Motaggsvamp</t>
        </is>
      </c>
      <c r="S528">
        <f>HYPERLINK("https://klasma.github.io/Logging_0188/artfynd/A 23146-2024 artfynd.xlsx", "A 23146-2024")</f>
        <v/>
      </c>
      <c r="T528">
        <f>HYPERLINK("https://klasma.github.io/Logging_0188/kartor/A 23146-2024 karta.png", "A 23146-2024")</f>
        <v/>
      </c>
      <c r="V528">
        <f>HYPERLINK("https://klasma.github.io/Logging_0188/klagomål/A 23146-2024 FSC-klagomål.docx", "A 23146-2024")</f>
        <v/>
      </c>
      <c r="W528">
        <f>HYPERLINK("https://klasma.github.io/Logging_0188/klagomålsmail/A 23146-2024 FSC-klagomål mail.docx", "A 23146-2024")</f>
        <v/>
      </c>
      <c r="X528">
        <f>HYPERLINK("https://klasma.github.io/Logging_0188/tillsyn/A 23146-2024 tillsynsbegäran.docx", "A 23146-2024")</f>
        <v/>
      </c>
      <c r="Y528">
        <f>HYPERLINK("https://klasma.github.io/Logging_0188/tillsynsmail/A 23146-2024 tillsynsbegäran mail.docx", "A 23146-2024")</f>
        <v/>
      </c>
    </row>
    <row r="529" ht="15" customHeight="1">
      <c r="A529" t="inlineStr">
        <is>
          <t>A 23099-2024</t>
        </is>
      </c>
      <c r="B529" s="1" t="n">
        <v>45450</v>
      </c>
      <c r="C529" s="1" t="n">
        <v>45672</v>
      </c>
      <c r="D529" t="inlineStr">
        <is>
          <t>STOCKHOLMS LÄN</t>
        </is>
      </c>
      <c r="E529" t="inlineStr">
        <is>
          <t>UPPLANDS-BRO</t>
        </is>
      </c>
      <c r="F529" t="inlineStr">
        <is>
          <t>Övriga statliga verk och myndigheter</t>
        </is>
      </c>
      <c r="G529" t="n">
        <v>0.7</v>
      </c>
      <c r="H529" t="n">
        <v>0</v>
      </c>
      <c r="I529" t="n">
        <v>0</v>
      </c>
      <c r="J529" t="n">
        <v>1</v>
      </c>
      <c r="K529" t="n">
        <v>0</v>
      </c>
      <c r="L529" t="n">
        <v>0</v>
      </c>
      <c r="M529" t="n">
        <v>0</v>
      </c>
      <c r="N529" t="n">
        <v>0</v>
      </c>
      <c r="O529" t="n">
        <v>1</v>
      </c>
      <c r="P529" t="n">
        <v>0</v>
      </c>
      <c r="Q529" t="n">
        <v>1</v>
      </c>
      <c r="R529" s="2" t="inlineStr">
        <is>
          <t>Mindre bastardsvärmare</t>
        </is>
      </c>
      <c r="S529">
        <f>HYPERLINK("https://klasma.github.io/Logging_0139/artfynd/A 23099-2024 artfynd.xlsx", "A 23099-2024")</f>
        <v/>
      </c>
      <c r="T529">
        <f>HYPERLINK("https://klasma.github.io/Logging_0139/kartor/A 23099-2024 karta.png", "A 23099-2024")</f>
        <v/>
      </c>
      <c r="V529">
        <f>HYPERLINK("https://klasma.github.io/Logging_0139/klagomål/A 23099-2024 FSC-klagomål.docx", "A 23099-2024")</f>
        <v/>
      </c>
      <c r="W529">
        <f>HYPERLINK("https://klasma.github.io/Logging_0139/klagomålsmail/A 23099-2024 FSC-klagomål mail.docx", "A 23099-2024")</f>
        <v/>
      </c>
      <c r="X529">
        <f>HYPERLINK("https://klasma.github.io/Logging_0139/tillsyn/A 23099-2024 tillsynsbegäran.docx", "A 23099-2024")</f>
        <v/>
      </c>
      <c r="Y529">
        <f>HYPERLINK("https://klasma.github.io/Logging_0139/tillsynsmail/A 23099-2024 tillsynsbegäran mail.docx", "A 23099-2024")</f>
        <v/>
      </c>
    </row>
    <row r="530" ht="15" customHeight="1">
      <c r="A530" t="inlineStr">
        <is>
          <t>A 24577-2024</t>
        </is>
      </c>
      <c r="B530" s="1" t="n">
        <v>45460</v>
      </c>
      <c r="C530" s="1" t="n">
        <v>45672</v>
      </c>
      <c r="D530" t="inlineStr">
        <is>
          <t>STOCKHOLMS LÄN</t>
        </is>
      </c>
      <c r="E530" t="inlineStr">
        <is>
          <t>NORRTÄLJE</t>
        </is>
      </c>
      <c r="G530" t="n">
        <v>3.8</v>
      </c>
      <c r="H530" t="n">
        <v>0</v>
      </c>
      <c r="I530" t="n">
        <v>1</v>
      </c>
      <c r="J530" t="n">
        <v>0</v>
      </c>
      <c r="K530" t="n">
        <v>0</v>
      </c>
      <c r="L530" t="n">
        <v>0</v>
      </c>
      <c r="M530" t="n">
        <v>0</v>
      </c>
      <c r="N530" t="n">
        <v>0</v>
      </c>
      <c r="O530" t="n">
        <v>0</v>
      </c>
      <c r="P530" t="n">
        <v>0</v>
      </c>
      <c r="Q530" t="n">
        <v>1</v>
      </c>
      <c r="R530" s="2" t="inlineStr">
        <is>
          <t>Rostfläck</t>
        </is>
      </c>
      <c r="S530">
        <f>HYPERLINK("https://klasma.github.io/Logging_0188/artfynd/A 24577-2024 artfynd.xlsx", "A 24577-2024")</f>
        <v/>
      </c>
      <c r="T530">
        <f>HYPERLINK("https://klasma.github.io/Logging_0188/kartor/A 24577-2024 karta.png", "A 24577-2024")</f>
        <v/>
      </c>
      <c r="V530">
        <f>HYPERLINK("https://klasma.github.io/Logging_0188/klagomål/A 24577-2024 FSC-klagomål.docx", "A 24577-2024")</f>
        <v/>
      </c>
      <c r="W530">
        <f>HYPERLINK("https://klasma.github.io/Logging_0188/klagomålsmail/A 24577-2024 FSC-klagomål mail.docx", "A 24577-2024")</f>
        <v/>
      </c>
      <c r="X530">
        <f>HYPERLINK("https://klasma.github.io/Logging_0188/tillsyn/A 24577-2024 tillsynsbegäran.docx", "A 24577-2024")</f>
        <v/>
      </c>
      <c r="Y530">
        <f>HYPERLINK("https://klasma.github.io/Logging_0188/tillsynsmail/A 24577-2024 tillsynsbegäran mail.docx", "A 24577-2024")</f>
        <v/>
      </c>
    </row>
    <row r="531" ht="15" customHeight="1">
      <c r="A531" t="inlineStr">
        <is>
          <t>A 24528-2024</t>
        </is>
      </c>
      <c r="B531" s="1" t="n">
        <v>45460</v>
      </c>
      <c r="C531" s="1" t="n">
        <v>45672</v>
      </c>
      <c r="D531" t="inlineStr">
        <is>
          <t>STOCKHOLMS LÄN</t>
        </is>
      </c>
      <c r="E531" t="inlineStr">
        <is>
          <t>NORRTÄLJE</t>
        </is>
      </c>
      <c r="G531" t="n">
        <v>1.4</v>
      </c>
      <c r="H531" t="n">
        <v>1</v>
      </c>
      <c r="I531" t="n">
        <v>0</v>
      </c>
      <c r="J531" t="n">
        <v>0</v>
      </c>
      <c r="K531" t="n">
        <v>1</v>
      </c>
      <c r="L531" t="n">
        <v>0</v>
      </c>
      <c r="M531" t="n">
        <v>0</v>
      </c>
      <c r="N531" t="n">
        <v>0</v>
      </c>
      <c r="O531" t="n">
        <v>1</v>
      </c>
      <c r="P531" t="n">
        <v>1</v>
      </c>
      <c r="Q531" t="n">
        <v>1</v>
      </c>
      <c r="R531" s="2" t="inlineStr">
        <is>
          <t>Hällebräcka</t>
        </is>
      </c>
      <c r="S531">
        <f>HYPERLINK("https://klasma.github.io/Logging_0188/artfynd/A 24528-2024 artfynd.xlsx", "A 24528-2024")</f>
        <v/>
      </c>
      <c r="T531">
        <f>HYPERLINK("https://klasma.github.io/Logging_0188/kartor/A 24528-2024 karta.png", "A 24528-2024")</f>
        <v/>
      </c>
      <c r="V531">
        <f>HYPERLINK("https://klasma.github.io/Logging_0188/klagomål/A 24528-2024 FSC-klagomål.docx", "A 24528-2024")</f>
        <v/>
      </c>
      <c r="W531">
        <f>HYPERLINK("https://klasma.github.io/Logging_0188/klagomålsmail/A 24528-2024 FSC-klagomål mail.docx", "A 24528-2024")</f>
        <v/>
      </c>
      <c r="X531">
        <f>HYPERLINK("https://klasma.github.io/Logging_0188/tillsyn/A 24528-2024 tillsynsbegäran.docx", "A 24528-2024")</f>
        <v/>
      </c>
      <c r="Y531">
        <f>HYPERLINK("https://klasma.github.io/Logging_0188/tillsynsmail/A 24528-2024 tillsynsbegäran mail.docx", "A 24528-2024")</f>
        <v/>
      </c>
    </row>
    <row r="532" ht="15" customHeight="1">
      <c r="A532" t="inlineStr">
        <is>
          <t>A 25335-2024</t>
        </is>
      </c>
      <c r="B532" s="1" t="n">
        <v>45462</v>
      </c>
      <c r="C532" s="1" t="n">
        <v>45672</v>
      </c>
      <c r="D532" t="inlineStr">
        <is>
          <t>STOCKHOLMS LÄN</t>
        </is>
      </c>
      <c r="E532" t="inlineStr">
        <is>
          <t>SIGTUNA</t>
        </is>
      </c>
      <c r="G532" t="n">
        <v>3.8</v>
      </c>
      <c r="H532" t="n">
        <v>1</v>
      </c>
      <c r="I532" t="n">
        <v>0</v>
      </c>
      <c r="J532" t="n">
        <v>0</v>
      </c>
      <c r="K532" t="n">
        <v>0</v>
      </c>
      <c r="L532" t="n">
        <v>0</v>
      </c>
      <c r="M532" t="n">
        <v>0</v>
      </c>
      <c r="N532" t="n">
        <v>0</v>
      </c>
      <c r="O532" t="n">
        <v>0</v>
      </c>
      <c r="P532" t="n">
        <v>0</v>
      </c>
      <c r="Q532" t="n">
        <v>1</v>
      </c>
      <c r="R532" s="2" t="inlineStr">
        <is>
          <t>Vanlig groda</t>
        </is>
      </c>
      <c r="S532">
        <f>HYPERLINK("https://klasma.github.io/Logging_0191/artfynd/A 25335-2024 artfynd.xlsx", "A 25335-2024")</f>
        <v/>
      </c>
      <c r="T532">
        <f>HYPERLINK("https://klasma.github.io/Logging_0191/kartor/A 25335-2024 karta.png", "A 25335-2024")</f>
        <v/>
      </c>
      <c r="V532">
        <f>HYPERLINK("https://klasma.github.io/Logging_0191/klagomål/A 25335-2024 FSC-klagomål.docx", "A 25335-2024")</f>
        <v/>
      </c>
      <c r="W532">
        <f>HYPERLINK("https://klasma.github.io/Logging_0191/klagomålsmail/A 25335-2024 FSC-klagomål mail.docx", "A 25335-2024")</f>
        <v/>
      </c>
      <c r="X532">
        <f>HYPERLINK("https://klasma.github.io/Logging_0191/tillsyn/A 25335-2024 tillsynsbegäran.docx", "A 25335-2024")</f>
        <v/>
      </c>
      <c r="Y532">
        <f>HYPERLINK("https://klasma.github.io/Logging_0191/tillsynsmail/A 25335-2024 tillsynsbegäran mail.docx", "A 25335-2024")</f>
        <v/>
      </c>
    </row>
    <row r="533" ht="15" customHeight="1">
      <c r="A533" t="inlineStr">
        <is>
          <t>A 25612-2024</t>
        </is>
      </c>
      <c r="B533" s="1" t="n">
        <v>45463</v>
      </c>
      <c r="C533" s="1" t="n">
        <v>45672</v>
      </c>
      <c r="D533" t="inlineStr">
        <is>
          <t>STOCKHOLMS LÄN</t>
        </is>
      </c>
      <c r="E533" t="inlineStr">
        <is>
          <t>NACKA</t>
        </is>
      </c>
      <c r="G533" t="n">
        <v>1.5</v>
      </c>
      <c r="H533" t="n">
        <v>0</v>
      </c>
      <c r="I533" t="n">
        <v>1</v>
      </c>
      <c r="J533" t="n">
        <v>0</v>
      </c>
      <c r="K533" t="n">
        <v>0</v>
      </c>
      <c r="L533" t="n">
        <v>0</v>
      </c>
      <c r="M533" t="n">
        <v>0</v>
      </c>
      <c r="N533" t="n">
        <v>0</v>
      </c>
      <c r="O533" t="n">
        <v>0</v>
      </c>
      <c r="P533" t="n">
        <v>0</v>
      </c>
      <c r="Q533" t="n">
        <v>1</v>
      </c>
      <c r="R533" s="2" t="inlineStr">
        <is>
          <t>Tibast</t>
        </is>
      </c>
      <c r="S533">
        <f>HYPERLINK("https://klasma.github.io/Logging_0182/artfynd/A 25612-2024 artfynd.xlsx", "A 25612-2024")</f>
        <v/>
      </c>
      <c r="T533">
        <f>HYPERLINK("https://klasma.github.io/Logging_0182/kartor/A 25612-2024 karta.png", "A 25612-2024")</f>
        <v/>
      </c>
      <c r="V533">
        <f>HYPERLINK("https://klasma.github.io/Logging_0182/klagomål/A 25612-2024 FSC-klagomål.docx", "A 25612-2024")</f>
        <v/>
      </c>
      <c r="W533">
        <f>HYPERLINK("https://klasma.github.io/Logging_0182/klagomålsmail/A 25612-2024 FSC-klagomål mail.docx", "A 25612-2024")</f>
        <v/>
      </c>
      <c r="X533">
        <f>HYPERLINK("https://klasma.github.io/Logging_0182/tillsyn/A 25612-2024 tillsynsbegäran.docx", "A 25612-2024")</f>
        <v/>
      </c>
      <c r="Y533">
        <f>HYPERLINK("https://klasma.github.io/Logging_0182/tillsynsmail/A 25612-2024 tillsynsbegäran mail.docx", "A 25612-2024")</f>
        <v/>
      </c>
    </row>
    <row r="534" ht="15" customHeight="1">
      <c r="A534" t="inlineStr">
        <is>
          <t>A 26120-2024</t>
        </is>
      </c>
      <c r="B534" s="1" t="n">
        <v>45468</v>
      </c>
      <c r="C534" s="1" t="n">
        <v>45672</v>
      </c>
      <c r="D534" t="inlineStr">
        <is>
          <t>STOCKHOLMS LÄN</t>
        </is>
      </c>
      <c r="E534" t="inlineStr">
        <is>
          <t>NORRTÄLJE</t>
        </is>
      </c>
      <c r="G534" t="n">
        <v>1.8</v>
      </c>
      <c r="H534" t="n">
        <v>0</v>
      </c>
      <c r="I534" t="n">
        <v>0</v>
      </c>
      <c r="J534" t="n">
        <v>1</v>
      </c>
      <c r="K534" t="n">
        <v>0</v>
      </c>
      <c r="L534" t="n">
        <v>0</v>
      </c>
      <c r="M534" t="n">
        <v>0</v>
      </c>
      <c r="N534" t="n">
        <v>0</v>
      </c>
      <c r="O534" t="n">
        <v>1</v>
      </c>
      <c r="P534" t="n">
        <v>0</v>
      </c>
      <c r="Q534" t="n">
        <v>1</v>
      </c>
      <c r="R534" s="2" t="inlineStr">
        <is>
          <t>Majviva</t>
        </is>
      </c>
      <c r="S534">
        <f>HYPERLINK("https://klasma.github.io/Logging_0188/artfynd/A 26120-2024 artfynd.xlsx", "A 26120-2024")</f>
        <v/>
      </c>
      <c r="T534">
        <f>HYPERLINK("https://klasma.github.io/Logging_0188/kartor/A 26120-2024 karta.png", "A 26120-2024")</f>
        <v/>
      </c>
      <c r="V534">
        <f>HYPERLINK("https://klasma.github.io/Logging_0188/klagomål/A 26120-2024 FSC-klagomål.docx", "A 26120-2024")</f>
        <v/>
      </c>
      <c r="W534">
        <f>HYPERLINK("https://klasma.github.io/Logging_0188/klagomålsmail/A 26120-2024 FSC-klagomål mail.docx", "A 26120-2024")</f>
        <v/>
      </c>
      <c r="X534">
        <f>HYPERLINK("https://klasma.github.io/Logging_0188/tillsyn/A 26120-2024 tillsynsbegäran.docx", "A 26120-2024")</f>
        <v/>
      </c>
      <c r="Y534">
        <f>HYPERLINK("https://klasma.github.io/Logging_0188/tillsynsmail/A 26120-2024 tillsynsbegäran mail.docx", "A 26120-2024")</f>
        <v/>
      </c>
    </row>
    <row r="535" ht="15" customHeight="1">
      <c r="A535" t="inlineStr">
        <is>
          <t>A 27538-2024</t>
        </is>
      </c>
      <c r="B535" s="1" t="n">
        <v>45474</v>
      </c>
      <c r="C535" s="1" t="n">
        <v>45672</v>
      </c>
      <c r="D535" t="inlineStr">
        <is>
          <t>STOCKHOLMS LÄN</t>
        </is>
      </c>
      <c r="E535" t="inlineStr">
        <is>
          <t>NORRTÄLJE</t>
        </is>
      </c>
      <c r="G535" t="n">
        <v>1.5</v>
      </c>
      <c r="H535" t="n">
        <v>1</v>
      </c>
      <c r="I535" t="n">
        <v>1</v>
      </c>
      <c r="J535" t="n">
        <v>0</v>
      </c>
      <c r="K535" t="n">
        <v>0</v>
      </c>
      <c r="L535" t="n">
        <v>0</v>
      </c>
      <c r="M535" t="n">
        <v>0</v>
      </c>
      <c r="N535" t="n">
        <v>0</v>
      </c>
      <c r="O535" t="n">
        <v>0</v>
      </c>
      <c r="P535" t="n">
        <v>0</v>
      </c>
      <c r="Q535" t="n">
        <v>1</v>
      </c>
      <c r="R535" s="2" t="inlineStr">
        <is>
          <t>Skogsknipprot</t>
        </is>
      </c>
      <c r="S535">
        <f>HYPERLINK("https://klasma.github.io/Logging_0188/artfynd/A 27538-2024 artfynd.xlsx", "A 27538-2024")</f>
        <v/>
      </c>
      <c r="T535">
        <f>HYPERLINK("https://klasma.github.io/Logging_0188/kartor/A 27538-2024 karta.png", "A 27538-2024")</f>
        <v/>
      </c>
      <c r="V535">
        <f>HYPERLINK("https://klasma.github.io/Logging_0188/klagomål/A 27538-2024 FSC-klagomål.docx", "A 27538-2024")</f>
        <v/>
      </c>
      <c r="W535">
        <f>HYPERLINK("https://klasma.github.io/Logging_0188/klagomålsmail/A 27538-2024 FSC-klagomål mail.docx", "A 27538-2024")</f>
        <v/>
      </c>
      <c r="X535">
        <f>HYPERLINK("https://klasma.github.io/Logging_0188/tillsyn/A 27538-2024 tillsynsbegäran.docx", "A 27538-2024")</f>
        <v/>
      </c>
      <c r="Y535">
        <f>HYPERLINK("https://klasma.github.io/Logging_0188/tillsynsmail/A 27538-2024 tillsynsbegäran mail.docx", "A 27538-2024")</f>
        <v/>
      </c>
    </row>
    <row r="536" ht="15" customHeight="1">
      <c r="A536" t="inlineStr">
        <is>
          <t>A 28817-2024</t>
        </is>
      </c>
      <c r="B536" s="1" t="n">
        <v>45478</v>
      </c>
      <c r="C536" s="1" t="n">
        <v>45672</v>
      </c>
      <c r="D536" t="inlineStr">
        <is>
          <t>STOCKHOLMS LÄN</t>
        </is>
      </c>
      <c r="E536" t="inlineStr">
        <is>
          <t>UPPLANDS-BRO</t>
        </is>
      </c>
      <c r="F536" t="inlineStr">
        <is>
          <t>Allmännings- och besparingsskogar</t>
        </is>
      </c>
      <c r="G536" t="n">
        <v>3.7</v>
      </c>
      <c r="H536" t="n">
        <v>0</v>
      </c>
      <c r="I536" t="n">
        <v>0</v>
      </c>
      <c r="J536" t="n">
        <v>1</v>
      </c>
      <c r="K536" t="n">
        <v>0</v>
      </c>
      <c r="L536" t="n">
        <v>0</v>
      </c>
      <c r="M536" t="n">
        <v>0</v>
      </c>
      <c r="N536" t="n">
        <v>0</v>
      </c>
      <c r="O536" t="n">
        <v>1</v>
      </c>
      <c r="P536" t="n">
        <v>0</v>
      </c>
      <c r="Q536" t="n">
        <v>1</v>
      </c>
      <c r="R536" s="2" t="inlineStr">
        <is>
          <t>Tallticka</t>
        </is>
      </c>
      <c r="S536">
        <f>HYPERLINK("https://klasma.github.io/Logging_0139/artfynd/A 28817-2024 artfynd.xlsx", "A 28817-2024")</f>
        <v/>
      </c>
      <c r="T536">
        <f>HYPERLINK("https://klasma.github.io/Logging_0139/kartor/A 28817-2024 karta.png", "A 28817-2024")</f>
        <v/>
      </c>
      <c r="V536">
        <f>HYPERLINK("https://klasma.github.io/Logging_0139/klagomål/A 28817-2024 FSC-klagomål.docx", "A 28817-2024")</f>
        <v/>
      </c>
      <c r="W536">
        <f>HYPERLINK("https://klasma.github.io/Logging_0139/klagomålsmail/A 28817-2024 FSC-klagomål mail.docx", "A 28817-2024")</f>
        <v/>
      </c>
      <c r="X536">
        <f>HYPERLINK("https://klasma.github.io/Logging_0139/tillsyn/A 28817-2024 tillsynsbegäran.docx", "A 28817-2024")</f>
        <v/>
      </c>
      <c r="Y536">
        <f>HYPERLINK("https://klasma.github.io/Logging_0139/tillsynsmail/A 28817-2024 tillsynsbegäran mail.docx", "A 28817-2024")</f>
        <v/>
      </c>
    </row>
    <row r="537" ht="15" customHeight="1">
      <c r="A537" t="inlineStr">
        <is>
          <t>A 30721-2024</t>
        </is>
      </c>
      <c r="B537" s="1" t="n">
        <v>45496</v>
      </c>
      <c r="C537" s="1" t="n">
        <v>45672</v>
      </c>
      <c r="D537" t="inlineStr">
        <is>
          <t>STOCKHOLMS LÄN</t>
        </is>
      </c>
      <c r="E537" t="inlineStr">
        <is>
          <t>UPPLANDS-BRO</t>
        </is>
      </c>
      <c r="G537" t="n">
        <v>1.9</v>
      </c>
      <c r="H537" t="n">
        <v>0</v>
      </c>
      <c r="I537" t="n">
        <v>0</v>
      </c>
      <c r="J537" t="n">
        <v>1</v>
      </c>
      <c r="K537" t="n">
        <v>0</v>
      </c>
      <c r="L537" t="n">
        <v>0</v>
      </c>
      <c r="M537" t="n">
        <v>0</v>
      </c>
      <c r="N537" t="n">
        <v>0</v>
      </c>
      <c r="O537" t="n">
        <v>1</v>
      </c>
      <c r="P537" t="n">
        <v>0</v>
      </c>
      <c r="Q537" t="n">
        <v>1</v>
      </c>
      <c r="R537" s="2" t="inlineStr">
        <is>
          <t>Persiljespindling</t>
        </is>
      </c>
      <c r="S537">
        <f>HYPERLINK("https://klasma.github.io/Logging_0139/artfynd/A 30721-2024 artfynd.xlsx", "A 30721-2024")</f>
        <v/>
      </c>
      <c r="T537">
        <f>HYPERLINK("https://klasma.github.io/Logging_0139/kartor/A 30721-2024 karta.png", "A 30721-2024")</f>
        <v/>
      </c>
      <c r="V537">
        <f>HYPERLINK("https://klasma.github.io/Logging_0139/klagomål/A 30721-2024 FSC-klagomål.docx", "A 30721-2024")</f>
        <v/>
      </c>
      <c r="W537">
        <f>HYPERLINK("https://klasma.github.io/Logging_0139/klagomålsmail/A 30721-2024 FSC-klagomål mail.docx", "A 30721-2024")</f>
        <v/>
      </c>
      <c r="X537">
        <f>HYPERLINK("https://klasma.github.io/Logging_0139/tillsyn/A 30721-2024 tillsynsbegäran.docx", "A 30721-2024")</f>
        <v/>
      </c>
      <c r="Y537">
        <f>HYPERLINK("https://klasma.github.io/Logging_0139/tillsynsmail/A 30721-2024 tillsynsbegäran mail.docx", "A 30721-2024")</f>
        <v/>
      </c>
    </row>
    <row r="538" ht="15" customHeight="1">
      <c r="A538" t="inlineStr">
        <is>
          <t>A 31006-2024</t>
        </is>
      </c>
      <c r="B538" s="1" t="n">
        <v>45499</v>
      </c>
      <c r="C538" s="1" t="n">
        <v>45672</v>
      </c>
      <c r="D538" t="inlineStr">
        <is>
          <t>STOCKHOLMS LÄN</t>
        </is>
      </c>
      <c r="E538" t="inlineStr">
        <is>
          <t>SÖDERTÄLJE</t>
        </is>
      </c>
      <c r="F538" t="inlineStr">
        <is>
          <t>Kommuner</t>
        </is>
      </c>
      <c r="G538" t="n">
        <v>2.7</v>
      </c>
      <c r="H538" t="n">
        <v>0</v>
      </c>
      <c r="I538" t="n">
        <v>1</v>
      </c>
      <c r="J538" t="n">
        <v>0</v>
      </c>
      <c r="K538" t="n">
        <v>0</v>
      </c>
      <c r="L538" t="n">
        <v>0</v>
      </c>
      <c r="M538" t="n">
        <v>0</v>
      </c>
      <c r="N538" t="n">
        <v>0</v>
      </c>
      <c r="O538" t="n">
        <v>0</v>
      </c>
      <c r="P538" t="n">
        <v>0</v>
      </c>
      <c r="Q538" t="n">
        <v>1</v>
      </c>
      <c r="R538" s="2" t="inlineStr">
        <is>
          <t>Mindre märgborre</t>
        </is>
      </c>
      <c r="S538">
        <f>HYPERLINK("https://klasma.github.io/Logging_0181/artfynd/A 31006-2024 artfynd.xlsx", "A 31006-2024")</f>
        <v/>
      </c>
      <c r="T538">
        <f>HYPERLINK("https://klasma.github.io/Logging_0181/kartor/A 31006-2024 karta.png", "A 31006-2024")</f>
        <v/>
      </c>
      <c r="V538">
        <f>HYPERLINK("https://klasma.github.io/Logging_0181/klagomål/A 31006-2024 FSC-klagomål.docx", "A 31006-2024")</f>
        <v/>
      </c>
      <c r="W538">
        <f>HYPERLINK("https://klasma.github.io/Logging_0181/klagomålsmail/A 31006-2024 FSC-klagomål mail.docx", "A 31006-2024")</f>
        <v/>
      </c>
      <c r="X538">
        <f>HYPERLINK("https://klasma.github.io/Logging_0181/tillsyn/A 31006-2024 tillsynsbegäran.docx", "A 31006-2024")</f>
        <v/>
      </c>
      <c r="Y538">
        <f>HYPERLINK("https://klasma.github.io/Logging_0181/tillsynsmail/A 31006-2024 tillsynsbegäran mail.docx", "A 31006-2024")</f>
        <v/>
      </c>
    </row>
    <row r="539" ht="15" customHeight="1">
      <c r="A539" t="inlineStr">
        <is>
          <t>A 31371-2024</t>
        </is>
      </c>
      <c r="B539" s="1" t="n">
        <v>45505</v>
      </c>
      <c r="C539" s="1" t="n">
        <v>45672</v>
      </c>
      <c r="D539" t="inlineStr">
        <is>
          <t>STOCKHOLMS LÄN</t>
        </is>
      </c>
      <c r="E539" t="inlineStr">
        <is>
          <t>SÖDERTÄLJE</t>
        </is>
      </c>
      <c r="F539" t="inlineStr">
        <is>
          <t>Kommuner</t>
        </is>
      </c>
      <c r="G539" t="n">
        <v>3.5</v>
      </c>
      <c r="H539" t="n">
        <v>0</v>
      </c>
      <c r="I539" t="n">
        <v>0</v>
      </c>
      <c r="J539" t="n">
        <v>1</v>
      </c>
      <c r="K539" t="n">
        <v>0</v>
      </c>
      <c r="L539" t="n">
        <v>0</v>
      </c>
      <c r="M539" t="n">
        <v>0</v>
      </c>
      <c r="N539" t="n">
        <v>0</v>
      </c>
      <c r="O539" t="n">
        <v>1</v>
      </c>
      <c r="P539" t="n">
        <v>0</v>
      </c>
      <c r="Q539" t="n">
        <v>1</v>
      </c>
      <c r="R539" s="2" t="inlineStr">
        <is>
          <t>Dofttaggsvamp</t>
        </is>
      </c>
      <c r="S539">
        <f>HYPERLINK("https://klasma.github.io/Logging_0181/artfynd/A 31371-2024 artfynd.xlsx", "A 31371-2024")</f>
        <v/>
      </c>
      <c r="T539">
        <f>HYPERLINK("https://klasma.github.io/Logging_0181/kartor/A 31371-2024 karta.png", "A 31371-2024")</f>
        <v/>
      </c>
      <c r="V539">
        <f>HYPERLINK("https://klasma.github.io/Logging_0181/klagomål/A 31371-2024 FSC-klagomål.docx", "A 31371-2024")</f>
        <v/>
      </c>
      <c r="W539">
        <f>HYPERLINK("https://klasma.github.io/Logging_0181/klagomålsmail/A 31371-2024 FSC-klagomål mail.docx", "A 31371-2024")</f>
        <v/>
      </c>
      <c r="X539">
        <f>HYPERLINK("https://klasma.github.io/Logging_0181/tillsyn/A 31371-2024 tillsynsbegäran.docx", "A 31371-2024")</f>
        <v/>
      </c>
      <c r="Y539">
        <f>HYPERLINK("https://klasma.github.io/Logging_0181/tillsynsmail/A 31371-2024 tillsynsbegäran mail.docx", "A 31371-2024")</f>
        <v/>
      </c>
    </row>
    <row r="540" ht="15" customHeight="1">
      <c r="A540" t="inlineStr">
        <is>
          <t>A 33751-2024</t>
        </is>
      </c>
      <c r="B540" s="1" t="n">
        <v>45520</v>
      </c>
      <c r="C540" s="1" t="n">
        <v>45672</v>
      </c>
      <c r="D540" t="inlineStr">
        <is>
          <t>STOCKHOLMS LÄN</t>
        </is>
      </c>
      <c r="E540" t="inlineStr">
        <is>
          <t>SIGTUNA</t>
        </is>
      </c>
      <c r="F540" t="inlineStr">
        <is>
          <t>Allmännings- och besparingsskogar</t>
        </is>
      </c>
      <c r="G540" t="n">
        <v>1.5</v>
      </c>
      <c r="H540" t="n">
        <v>1</v>
      </c>
      <c r="I540" t="n">
        <v>0</v>
      </c>
      <c r="J540" t="n">
        <v>0</v>
      </c>
      <c r="K540" t="n">
        <v>0</v>
      </c>
      <c r="L540" t="n">
        <v>1</v>
      </c>
      <c r="M540" t="n">
        <v>0</v>
      </c>
      <c r="N540" t="n">
        <v>0</v>
      </c>
      <c r="O540" t="n">
        <v>1</v>
      </c>
      <c r="P540" t="n">
        <v>1</v>
      </c>
      <c r="Q540" t="n">
        <v>1</v>
      </c>
      <c r="R540" s="2" t="inlineStr">
        <is>
          <t>Grönfink</t>
        </is>
      </c>
      <c r="S540">
        <f>HYPERLINK("https://klasma.github.io/Logging_0191/artfynd/A 33751-2024 artfynd.xlsx", "A 33751-2024")</f>
        <v/>
      </c>
      <c r="T540">
        <f>HYPERLINK("https://klasma.github.io/Logging_0191/kartor/A 33751-2024 karta.png", "A 33751-2024")</f>
        <v/>
      </c>
      <c r="V540">
        <f>HYPERLINK("https://klasma.github.io/Logging_0191/klagomål/A 33751-2024 FSC-klagomål.docx", "A 33751-2024")</f>
        <v/>
      </c>
      <c r="W540">
        <f>HYPERLINK("https://klasma.github.io/Logging_0191/klagomålsmail/A 33751-2024 FSC-klagomål mail.docx", "A 33751-2024")</f>
        <v/>
      </c>
      <c r="X540">
        <f>HYPERLINK("https://klasma.github.io/Logging_0191/tillsyn/A 33751-2024 tillsynsbegäran.docx", "A 33751-2024")</f>
        <v/>
      </c>
      <c r="Y540">
        <f>HYPERLINK("https://klasma.github.io/Logging_0191/tillsynsmail/A 33751-2024 tillsynsbegäran mail.docx", "A 33751-2024")</f>
        <v/>
      </c>
      <c r="Z540">
        <f>HYPERLINK("https://klasma.github.io/Logging_0191/fåglar/A 33751-2024 prioriterade fågelarter.docx", "A 33751-2024")</f>
        <v/>
      </c>
    </row>
    <row r="541" ht="15" customHeight="1">
      <c r="A541" t="inlineStr">
        <is>
          <t>A 35013-2024</t>
        </is>
      </c>
      <c r="B541" s="1" t="n">
        <v>45527</v>
      </c>
      <c r="C541" s="1" t="n">
        <v>45672</v>
      </c>
      <c r="D541" t="inlineStr">
        <is>
          <t>STOCKHOLMS LÄN</t>
        </is>
      </c>
      <c r="E541" t="inlineStr">
        <is>
          <t>SÖDERTÄLJE</t>
        </is>
      </c>
      <c r="F541" t="inlineStr">
        <is>
          <t>Sveaskog</t>
        </is>
      </c>
      <c r="G541" t="n">
        <v>5.8</v>
      </c>
      <c r="H541" t="n">
        <v>0</v>
      </c>
      <c r="I541" t="n">
        <v>1</v>
      </c>
      <c r="J541" t="n">
        <v>0</v>
      </c>
      <c r="K541" t="n">
        <v>0</v>
      </c>
      <c r="L541" t="n">
        <v>0</v>
      </c>
      <c r="M541" t="n">
        <v>0</v>
      </c>
      <c r="N541" t="n">
        <v>0</v>
      </c>
      <c r="O541" t="n">
        <v>0</v>
      </c>
      <c r="P541" t="n">
        <v>0</v>
      </c>
      <c r="Q541" t="n">
        <v>1</v>
      </c>
      <c r="R541" s="2" t="inlineStr">
        <is>
          <t>Platt fjädermossa</t>
        </is>
      </c>
      <c r="S541">
        <f>HYPERLINK("https://klasma.github.io/Logging_0181/artfynd/A 35013-2024 artfynd.xlsx", "A 35013-2024")</f>
        <v/>
      </c>
      <c r="T541">
        <f>HYPERLINK("https://klasma.github.io/Logging_0181/kartor/A 35013-2024 karta.png", "A 35013-2024")</f>
        <v/>
      </c>
      <c r="V541">
        <f>HYPERLINK("https://klasma.github.io/Logging_0181/klagomål/A 35013-2024 FSC-klagomål.docx", "A 35013-2024")</f>
        <v/>
      </c>
      <c r="W541">
        <f>HYPERLINK("https://klasma.github.io/Logging_0181/klagomålsmail/A 35013-2024 FSC-klagomål mail.docx", "A 35013-2024")</f>
        <v/>
      </c>
      <c r="X541">
        <f>HYPERLINK("https://klasma.github.io/Logging_0181/tillsyn/A 35013-2024 tillsynsbegäran.docx", "A 35013-2024")</f>
        <v/>
      </c>
      <c r="Y541">
        <f>HYPERLINK("https://klasma.github.io/Logging_0181/tillsynsmail/A 35013-2024 tillsynsbegäran mail.docx", "A 35013-2024")</f>
        <v/>
      </c>
    </row>
    <row r="542" ht="15" customHeight="1">
      <c r="A542" t="inlineStr">
        <is>
          <t>A 35764-2024</t>
        </is>
      </c>
      <c r="B542" s="1" t="n">
        <v>45532</v>
      </c>
      <c r="C542" s="1" t="n">
        <v>45672</v>
      </c>
      <c r="D542" t="inlineStr">
        <is>
          <t>STOCKHOLMS LÄN</t>
        </is>
      </c>
      <c r="E542" t="inlineStr">
        <is>
          <t>NORRTÄLJE</t>
        </is>
      </c>
      <c r="G542" t="n">
        <v>14.2</v>
      </c>
      <c r="H542" t="n">
        <v>1</v>
      </c>
      <c r="I542" t="n">
        <v>0</v>
      </c>
      <c r="J542" t="n">
        <v>0</v>
      </c>
      <c r="K542" t="n">
        <v>1</v>
      </c>
      <c r="L542" t="n">
        <v>0</v>
      </c>
      <c r="M542" t="n">
        <v>0</v>
      </c>
      <c r="N542" t="n">
        <v>0</v>
      </c>
      <c r="O542" t="n">
        <v>1</v>
      </c>
      <c r="P542" t="n">
        <v>1</v>
      </c>
      <c r="Q542" t="n">
        <v>1</v>
      </c>
      <c r="R542" s="2" t="inlineStr">
        <is>
          <t>Knärot</t>
        </is>
      </c>
      <c r="S542">
        <f>HYPERLINK("https://klasma.github.io/Logging_0188/artfynd/A 35764-2024 artfynd.xlsx", "A 35764-2024")</f>
        <v/>
      </c>
      <c r="T542">
        <f>HYPERLINK("https://klasma.github.io/Logging_0188/kartor/A 35764-2024 karta.png", "A 35764-2024")</f>
        <v/>
      </c>
      <c r="U542">
        <f>HYPERLINK("https://klasma.github.io/Logging_0188/knärot/A 35764-2024 karta knärot.png", "A 35764-2024")</f>
        <v/>
      </c>
      <c r="V542">
        <f>HYPERLINK("https://klasma.github.io/Logging_0188/klagomål/A 35764-2024 FSC-klagomål.docx", "A 35764-2024")</f>
        <v/>
      </c>
      <c r="W542">
        <f>HYPERLINK("https://klasma.github.io/Logging_0188/klagomålsmail/A 35764-2024 FSC-klagomål mail.docx", "A 35764-2024")</f>
        <v/>
      </c>
      <c r="X542">
        <f>HYPERLINK("https://klasma.github.io/Logging_0188/tillsyn/A 35764-2024 tillsynsbegäran.docx", "A 35764-2024")</f>
        <v/>
      </c>
      <c r="Y542">
        <f>HYPERLINK("https://klasma.github.io/Logging_0188/tillsynsmail/A 35764-2024 tillsynsbegäran mail.docx", "A 35764-2024")</f>
        <v/>
      </c>
    </row>
    <row r="543" ht="15" customHeight="1">
      <c r="A543" t="inlineStr">
        <is>
          <t>A 37529-2024</t>
        </is>
      </c>
      <c r="B543" s="1" t="n">
        <v>45541</v>
      </c>
      <c r="C543" s="1" t="n">
        <v>45672</v>
      </c>
      <c r="D543" t="inlineStr">
        <is>
          <t>STOCKHOLMS LÄN</t>
        </is>
      </c>
      <c r="E543" t="inlineStr">
        <is>
          <t>SÖDERTÄLJE</t>
        </is>
      </c>
      <c r="G543" t="n">
        <v>3.7</v>
      </c>
      <c r="H543" t="n">
        <v>0</v>
      </c>
      <c r="I543" t="n">
        <v>1</v>
      </c>
      <c r="J543" t="n">
        <v>0</v>
      </c>
      <c r="K543" t="n">
        <v>0</v>
      </c>
      <c r="L543" t="n">
        <v>0</v>
      </c>
      <c r="M543" t="n">
        <v>0</v>
      </c>
      <c r="N543" t="n">
        <v>0</v>
      </c>
      <c r="O543" t="n">
        <v>0</v>
      </c>
      <c r="P543" t="n">
        <v>0</v>
      </c>
      <c r="Q543" t="n">
        <v>1</v>
      </c>
      <c r="R543" s="2" t="inlineStr">
        <is>
          <t>Blåmossa</t>
        </is>
      </c>
      <c r="S543">
        <f>HYPERLINK("https://klasma.github.io/Logging_0181/artfynd/A 37529-2024 artfynd.xlsx", "A 37529-2024")</f>
        <v/>
      </c>
      <c r="T543">
        <f>HYPERLINK("https://klasma.github.io/Logging_0181/kartor/A 37529-2024 karta.png", "A 37529-2024")</f>
        <v/>
      </c>
      <c r="V543">
        <f>HYPERLINK("https://klasma.github.io/Logging_0181/klagomål/A 37529-2024 FSC-klagomål.docx", "A 37529-2024")</f>
        <v/>
      </c>
      <c r="W543">
        <f>HYPERLINK("https://klasma.github.io/Logging_0181/klagomålsmail/A 37529-2024 FSC-klagomål mail.docx", "A 37529-2024")</f>
        <v/>
      </c>
      <c r="X543">
        <f>HYPERLINK("https://klasma.github.io/Logging_0181/tillsyn/A 37529-2024 tillsynsbegäran.docx", "A 37529-2024")</f>
        <v/>
      </c>
      <c r="Y543">
        <f>HYPERLINK("https://klasma.github.io/Logging_0181/tillsynsmail/A 37529-2024 tillsynsbegäran mail.docx", "A 37529-2024")</f>
        <v/>
      </c>
    </row>
    <row r="544" ht="15" customHeight="1">
      <c r="A544" t="inlineStr">
        <is>
          <t>A 37574-2024</t>
        </is>
      </c>
      <c r="B544" s="1" t="n">
        <v>45541</v>
      </c>
      <c r="C544" s="1" t="n">
        <v>45672</v>
      </c>
      <c r="D544" t="inlineStr">
        <is>
          <t>STOCKHOLMS LÄN</t>
        </is>
      </c>
      <c r="E544" t="inlineStr">
        <is>
          <t>SÖDERTÄLJE</t>
        </is>
      </c>
      <c r="G544" t="n">
        <v>2.7</v>
      </c>
      <c r="H544" t="n">
        <v>1</v>
      </c>
      <c r="I544" t="n">
        <v>0</v>
      </c>
      <c r="J544" t="n">
        <v>0</v>
      </c>
      <c r="K544" t="n">
        <v>0</v>
      </c>
      <c r="L544" t="n">
        <v>0</v>
      </c>
      <c r="M544" t="n">
        <v>0</v>
      </c>
      <c r="N544" t="n">
        <v>0</v>
      </c>
      <c r="O544" t="n">
        <v>0</v>
      </c>
      <c r="P544" t="n">
        <v>0</v>
      </c>
      <c r="Q544" t="n">
        <v>1</v>
      </c>
      <c r="R544" s="2" t="inlineStr">
        <is>
          <t>Revlummer</t>
        </is>
      </c>
      <c r="S544">
        <f>HYPERLINK("https://klasma.github.io/Logging_0181/artfynd/A 37574-2024 artfynd.xlsx", "A 37574-2024")</f>
        <v/>
      </c>
      <c r="T544">
        <f>HYPERLINK("https://klasma.github.io/Logging_0181/kartor/A 37574-2024 karta.png", "A 37574-2024")</f>
        <v/>
      </c>
      <c r="V544">
        <f>HYPERLINK("https://klasma.github.io/Logging_0181/klagomål/A 37574-2024 FSC-klagomål.docx", "A 37574-2024")</f>
        <v/>
      </c>
      <c r="W544">
        <f>HYPERLINK("https://klasma.github.io/Logging_0181/klagomålsmail/A 37574-2024 FSC-klagomål mail.docx", "A 37574-2024")</f>
        <v/>
      </c>
      <c r="X544">
        <f>HYPERLINK("https://klasma.github.io/Logging_0181/tillsyn/A 37574-2024 tillsynsbegäran.docx", "A 37574-2024")</f>
        <v/>
      </c>
      <c r="Y544">
        <f>HYPERLINK("https://klasma.github.io/Logging_0181/tillsynsmail/A 37574-2024 tillsynsbegäran mail.docx", "A 37574-2024")</f>
        <v/>
      </c>
    </row>
    <row r="545" ht="15" customHeight="1">
      <c r="A545" t="inlineStr">
        <is>
          <t>A 37918-2024</t>
        </is>
      </c>
      <c r="B545" s="1" t="n">
        <v>45544</v>
      </c>
      <c r="C545" s="1" t="n">
        <v>45672</v>
      </c>
      <c r="D545" t="inlineStr">
        <is>
          <t>STOCKHOLMS LÄN</t>
        </is>
      </c>
      <c r="E545" t="inlineStr">
        <is>
          <t>NORRTÄLJE</t>
        </is>
      </c>
      <c r="F545" t="inlineStr">
        <is>
          <t>Holmen skog AB</t>
        </is>
      </c>
      <c r="G545" t="n">
        <v>8.4</v>
      </c>
      <c r="H545" t="n">
        <v>1</v>
      </c>
      <c r="I545" t="n">
        <v>0</v>
      </c>
      <c r="J545" t="n">
        <v>0</v>
      </c>
      <c r="K545" t="n">
        <v>0</v>
      </c>
      <c r="L545" t="n">
        <v>1</v>
      </c>
      <c r="M545" t="n">
        <v>0</v>
      </c>
      <c r="N545" t="n">
        <v>0</v>
      </c>
      <c r="O545" t="n">
        <v>1</v>
      </c>
      <c r="P545" t="n">
        <v>1</v>
      </c>
      <c r="Q545" t="n">
        <v>1</v>
      </c>
      <c r="R545" s="2" t="inlineStr">
        <is>
          <t>Asknätfjäril</t>
        </is>
      </c>
      <c r="S545">
        <f>HYPERLINK("https://klasma.github.io/Logging_0188/artfynd/A 37918-2024 artfynd.xlsx", "A 37918-2024")</f>
        <v/>
      </c>
      <c r="T545">
        <f>HYPERLINK("https://klasma.github.io/Logging_0188/kartor/A 37918-2024 karta.png", "A 37918-2024")</f>
        <v/>
      </c>
      <c r="V545">
        <f>HYPERLINK("https://klasma.github.io/Logging_0188/klagomål/A 37918-2024 FSC-klagomål.docx", "A 37918-2024")</f>
        <v/>
      </c>
      <c r="W545">
        <f>HYPERLINK("https://klasma.github.io/Logging_0188/klagomålsmail/A 37918-2024 FSC-klagomål mail.docx", "A 37918-2024")</f>
        <v/>
      </c>
      <c r="X545">
        <f>HYPERLINK("https://klasma.github.io/Logging_0188/tillsyn/A 37918-2024 tillsynsbegäran.docx", "A 37918-2024")</f>
        <v/>
      </c>
      <c r="Y545">
        <f>HYPERLINK("https://klasma.github.io/Logging_0188/tillsynsmail/A 37918-2024 tillsynsbegäran mail.docx", "A 37918-2024")</f>
        <v/>
      </c>
    </row>
    <row r="546" ht="15" customHeight="1">
      <c r="A546" t="inlineStr">
        <is>
          <t>A 39752-2024</t>
        </is>
      </c>
      <c r="B546" s="1" t="n">
        <v>45552</v>
      </c>
      <c r="C546" s="1" t="n">
        <v>45672</v>
      </c>
      <c r="D546" t="inlineStr">
        <is>
          <t>STOCKHOLMS LÄN</t>
        </is>
      </c>
      <c r="E546" t="inlineStr">
        <is>
          <t>UPPLANDS-BRO</t>
        </is>
      </c>
      <c r="G546" t="n">
        <v>7.2</v>
      </c>
      <c r="H546" t="n">
        <v>1</v>
      </c>
      <c r="I546" t="n">
        <v>0</v>
      </c>
      <c r="J546" t="n">
        <v>1</v>
      </c>
      <c r="K546" t="n">
        <v>0</v>
      </c>
      <c r="L546" t="n">
        <v>0</v>
      </c>
      <c r="M546" t="n">
        <v>0</v>
      </c>
      <c r="N546" t="n">
        <v>0</v>
      </c>
      <c r="O546" t="n">
        <v>1</v>
      </c>
      <c r="P546" t="n">
        <v>0</v>
      </c>
      <c r="Q546" t="n">
        <v>1</v>
      </c>
      <c r="R546" s="2" t="inlineStr">
        <is>
          <t>Talltita</t>
        </is>
      </c>
      <c r="S546">
        <f>HYPERLINK("https://klasma.github.io/Logging_0139/artfynd/A 39752-2024 artfynd.xlsx", "A 39752-2024")</f>
        <v/>
      </c>
      <c r="T546">
        <f>HYPERLINK("https://klasma.github.io/Logging_0139/kartor/A 39752-2024 karta.png", "A 39752-2024")</f>
        <v/>
      </c>
      <c r="V546">
        <f>HYPERLINK("https://klasma.github.io/Logging_0139/klagomål/A 39752-2024 FSC-klagomål.docx", "A 39752-2024")</f>
        <v/>
      </c>
      <c r="W546">
        <f>HYPERLINK("https://klasma.github.io/Logging_0139/klagomålsmail/A 39752-2024 FSC-klagomål mail.docx", "A 39752-2024")</f>
        <v/>
      </c>
      <c r="X546">
        <f>HYPERLINK("https://klasma.github.io/Logging_0139/tillsyn/A 39752-2024 tillsynsbegäran.docx", "A 39752-2024")</f>
        <v/>
      </c>
      <c r="Y546">
        <f>HYPERLINK("https://klasma.github.io/Logging_0139/tillsynsmail/A 39752-2024 tillsynsbegäran mail.docx", "A 39752-2024")</f>
        <v/>
      </c>
      <c r="Z546">
        <f>HYPERLINK("https://klasma.github.io/Logging_0139/fåglar/A 39752-2024 prioriterade fågelarter.docx", "A 39752-2024")</f>
        <v/>
      </c>
    </row>
    <row r="547" ht="15" customHeight="1">
      <c r="A547" t="inlineStr">
        <is>
          <t>A 40806-2024</t>
        </is>
      </c>
      <c r="B547" s="1" t="n">
        <v>45558</v>
      </c>
      <c r="C547" s="1" t="n">
        <v>45672</v>
      </c>
      <c r="D547" t="inlineStr">
        <is>
          <t>STOCKHOLMS LÄN</t>
        </is>
      </c>
      <c r="E547" t="inlineStr">
        <is>
          <t>NYNÄSHAMN</t>
        </is>
      </c>
      <c r="G547" t="n">
        <v>7.2</v>
      </c>
      <c r="H547" t="n">
        <v>0</v>
      </c>
      <c r="I547" t="n">
        <v>0</v>
      </c>
      <c r="J547" t="n">
        <v>1</v>
      </c>
      <c r="K547" t="n">
        <v>0</v>
      </c>
      <c r="L547" t="n">
        <v>0</v>
      </c>
      <c r="M547" t="n">
        <v>0</v>
      </c>
      <c r="N547" t="n">
        <v>0</v>
      </c>
      <c r="O547" t="n">
        <v>1</v>
      </c>
      <c r="P547" t="n">
        <v>0</v>
      </c>
      <c r="Q547" t="n">
        <v>1</v>
      </c>
      <c r="R547" s="2" t="inlineStr">
        <is>
          <t>Kandelabersvamp</t>
        </is>
      </c>
      <c r="S547">
        <f>HYPERLINK("https://klasma.github.io/Logging_0192/artfynd/A 40806-2024 artfynd.xlsx", "A 40806-2024")</f>
        <v/>
      </c>
      <c r="T547">
        <f>HYPERLINK("https://klasma.github.io/Logging_0192/kartor/A 40806-2024 karta.png", "A 40806-2024")</f>
        <v/>
      </c>
      <c r="V547">
        <f>HYPERLINK("https://klasma.github.io/Logging_0192/klagomål/A 40806-2024 FSC-klagomål.docx", "A 40806-2024")</f>
        <v/>
      </c>
      <c r="W547">
        <f>HYPERLINK("https://klasma.github.io/Logging_0192/klagomålsmail/A 40806-2024 FSC-klagomål mail.docx", "A 40806-2024")</f>
        <v/>
      </c>
      <c r="X547">
        <f>HYPERLINK("https://klasma.github.io/Logging_0192/tillsyn/A 40806-2024 tillsynsbegäran.docx", "A 40806-2024")</f>
        <v/>
      </c>
      <c r="Y547">
        <f>HYPERLINK("https://klasma.github.io/Logging_0192/tillsynsmail/A 40806-2024 tillsynsbegäran mail.docx", "A 40806-2024")</f>
        <v/>
      </c>
    </row>
    <row r="548" ht="15" customHeight="1">
      <c r="A548" t="inlineStr">
        <is>
          <t>A 40986-2024</t>
        </is>
      </c>
      <c r="B548" s="1" t="n">
        <v>45558</v>
      </c>
      <c r="C548" s="1" t="n">
        <v>45672</v>
      </c>
      <c r="D548" t="inlineStr">
        <is>
          <t>STOCKHOLMS LÄN</t>
        </is>
      </c>
      <c r="E548" t="inlineStr">
        <is>
          <t>SÖDERTÄLJE</t>
        </is>
      </c>
      <c r="G548" t="n">
        <v>4.4</v>
      </c>
      <c r="H548" t="n">
        <v>0</v>
      </c>
      <c r="I548" t="n">
        <v>0</v>
      </c>
      <c r="J548" t="n">
        <v>0</v>
      </c>
      <c r="K548" t="n">
        <v>1</v>
      </c>
      <c r="L548" t="n">
        <v>0</v>
      </c>
      <c r="M548" t="n">
        <v>0</v>
      </c>
      <c r="N548" t="n">
        <v>0</v>
      </c>
      <c r="O548" t="n">
        <v>1</v>
      </c>
      <c r="P548" t="n">
        <v>1</v>
      </c>
      <c r="Q548" t="n">
        <v>1</v>
      </c>
      <c r="R548" s="2" t="inlineStr">
        <is>
          <t>Vit kattost</t>
        </is>
      </c>
      <c r="S548">
        <f>HYPERLINK("https://klasma.github.io/Logging_0181/artfynd/A 40986-2024 artfynd.xlsx", "A 40986-2024")</f>
        <v/>
      </c>
      <c r="T548">
        <f>HYPERLINK("https://klasma.github.io/Logging_0181/kartor/A 40986-2024 karta.png", "A 40986-2024")</f>
        <v/>
      </c>
      <c r="V548">
        <f>HYPERLINK("https://klasma.github.io/Logging_0181/klagomål/A 40986-2024 FSC-klagomål.docx", "A 40986-2024")</f>
        <v/>
      </c>
      <c r="W548">
        <f>HYPERLINK("https://klasma.github.io/Logging_0181/klagomålsmail/A 40986-2024 FSC-klagomål mail.docx", "A 40986-2024")</f>
        <v/>
      </c>
      <c r="X548">
        <f>HYPERLINK("https://klasma.github.io/Logging_0181/tillsyn/A 40986-2024 tillsynsbegäran.docx", "A 40986-2024")</f>
        <v/>
      </c>
      <c r="Y548">
        <f>HYPERLINK("https://klasma.github.io/Logging_0181/tillsynsmail/A 40986-2024 tillsynsbegäran mail.docx", "A 40986-2024")</f>
        <v/>
      </c>
    </row>
    <row r="549" ht="15" customHeight="1">
      <c r="A549" t="inlineStr">
        <is>
          <t>A 44547-2024</t>
        </is>
      </c>
      <c r="B549" s="1" t="n">
        <v>45574</v>
      </c>
      <c r="C549" s="1" t="n">
        <v>45672</v>
      </c>
      <c r="D549" t="inlineStr">
        <is>
          <t>STOCKHOLMS LÄN</t>
        </is>
      </c>
      <c r="E549" t="inlineStr">
        <is>
          <t>NORRTÄLJE</t>
        </is>
      </c>
      <c r="G549" t="n">
        <v>11.1</v>
      </c>
      <c r="H549" t="n">
        <v>0</v>
      </c>
      <c r="I549" t="n">
        <v>0</v>
      </c>
      <c r="J549" t="n">
        <v>1</v>
      </c>
      <c r="K549" t="n">
        <v>0</v>
      </c>
      <c r="L549" t="n">
        <v>0</v>
      </c>
      <c r="M549" t="n">
        <v>0</v>
      </c>
      <c r="N549" t="n">
        <v>0</v>
      </c>
      <c r="O549" t="n">
        <v>1</v>
      </c>
      <c r="P549" t="n">
        <v>0</v>
      </c>
      <c r="Q549" t="n">
        <v>1</v>
      </c>
      <c r="R549" s="2" t="inlineStr">
        <is>
          <t>Skogsklocka</t>
        </is>
      </c>
      <c r="S549">
        <f>HYPERLINK("https://klasma.github.io/Logging_0188/artfynd/A 44547-2024 artfynd.xlsx", "A 44547-2024")</f>
        <v/>
      </c>
      <c r="T549">
        <f>HYPERLINK("https://klasma.github.io/Logging_0188/kartor/A 44547-2024 karta.png", "A 44547-2024")</f>
        <v/>
      </c>
      <c r="V549">
        <f>HYPERLINK("https://klasma.github.io/Logging_0188/klagomål/A 44547-2024 FSC-klagomål.docx", "A 44547-2024")</f>
        <v/>
      </c>
      <c r="W549">
        <f>HYPERLINK("https://klasma.github.io/Logging_0188/klagomålsmail/A 44547-2024 FSC-klagomål mail.docx", "A 44547-2024")</f>
        <v/>
      </c>
      <c r="X549">
        <f>HYPERLINK("https://klasma.github.io/Logging_0188/tillsyn/A 44547-2024 tillsynsbegäran.docx", "A 44547-2024")</f>
        <v/>
      </c>
      <c r="Y549">
        <f>HYPERLINK("https://klasma.github.io/Logging_0188/tillsynsmail/A 44547-2024 tillsynsbegäran mail.docx", "A 44547-2024")</f>
        <v/>
      </c>
    </row>
    <row r="550" ht="15" customHeight="1">
      <c r="A550" t="inlineStr">
        <is>
          <t>A 47262-2024</t>
        </is>
      </c>
      <c r="B550" s="1" t="n">
        <v>45586</v>
      </c>
      <c r="C550" s="1" t="n">
        <v>45672</v>
      </c>
      <c r="D550" t="inlineStr">
        <is>
          <t>STOCKHOLMS LÄN</t>
        </is>
      </c>
      <c r="E550" t="inlineStr">
        <is>
          <t>SALEM</t>
        </is>
      </c>
      <c r="G550" t="n">
        <v>2</v>
      </c>
      <c r="H550" t="n">
        <v>1</v>
      </c>
      <c r="I550" t="n">
        <v>0</v>
      </c>
      <c r="J550" t="n">
        <v>1</v>
      </c>
      <c r="K550" t="n">
        <v>0</v>
      </c>
      <c r="L550" t="n">
        <v>0</v>
      </c>
      <c r="M550" t="n">
        <v>0</v>
      </c>
      <c r="N550" t="n">
        <v>0</v>
      </c>
      <c r="O550" t="n">
        <v>1</v>
      </c>
      <c r="P550" t="n">
        <v>0</v>
      </c>
      <c r="Q550" t="n">
        <v>1</v>
      </c>
      <c r="R550" s="2" t="inlineStr">
        <is>
          <t>Spillkråka</t>
        </is>
      </c>
      <c r="S550">
        <f>HYPERLINK("https://klasma.github.io/Logging_0128/artfynd/A 47262-2024 artfynd.xlsx", "A 47262-2024")</f>
        <v/>
      </c>
      <c r="T550">
        <f>HYPERLINK("https://klasma.github.io/Logging_0128/kartor/A 47262-2024 karta.png", "A 47262-2024")</f>
        <v/>
      </c>
      <c r="V550">
        <f>HYPERLINK("https://klasma.github.io/Logging_0128/klagomål/A 47262-2024 FSC-klagomål.docx", "A 47262-2024")</f>
        <v/>
      </c>
      <c r="W550">
        <f>HYPERLINK("https://klasma.github.io/Logging_0128/klagomålsmail/A 47262-2024 FSC-klagomål mail.docx", "A 47262-2024")</f>
        <v/>
      </c>
      <c r="X550">
        <f>HYPERLINK("https://klasma.github.io/Logging_0128/tillsyn/A 47262-2024 tillsynsbegäran.docx", "A 47262-2024")</f>
        <v/>
      </c>
      <c r="Y550">
        <f>HYPERLINK("https://klasma.github.io/Logging_0128/tillsynsmail/A 47262-2024 tillsynsbegäran mail.docx", "A 47262-2024")</f>
        <v/>
      </c>
      <c r="Z550">
        <f>HYPERLINK("https://klasma.github.io/Logging_0128/fåglar/A 47262-2024 prioriterade fågelarter.docx", "A 47262-2024")</f>
        <v/>
      </c>
    </row>
    <row r="551" ht="15" customHeight="1">
      <c r="A551" t="inlineStr">
        <is>
          <t>A 50435-2024</t>
        </is>
      </c>
      <c r="B551" s="1" t="n">
        <v>45601</v>
      </c>
      <c r="C551" s="1" t="n">
        <v>45672</v>
      </c>
      <c r="D551" t="inlineStr">
        <is>
          <t>STOCKHOLMS LÄN</t>
        </is>
      </c>
      <c r="E551" t="inlineStr">
        <is>
          <t>VALLENTUNA</t>
        </is>
      </c>
      <c r="F551" t="inlineStr">
        <is>
          <t>Allmännings- och besparingsskogar</t>
        </is>
      </c>
      <c r="G551" t="n">
        <v>2.3</v>
      </c>
      <c r="H551" t="n">
        <v>0</v>
      </c>
      <c r="I551" t="n">
        <v>1</v>
      </c>
      <c r="J551" t="n">
        <v>0</v>
      </c>
      <c r="K551" t="n">
        <v>0</v>
      </c>
      <c r="L551" t="n">
        <v>0</v>
      </c>
      <c r="M551" t="n">
        <v>0</v>
      </c>
      <c r="N551" t="n">
        <v>0</v>
      </c>
      <c r="O551" t="n">
        <v>0</v>
      </c>
      <c r="P551" t="n">
        <v>0</v>
      </c>
      <c r="Q551" t="n">
        <v>1</v>
      </c>
      <c r="R551" s="2" t="inlineStr">
        <is>
          <t>Tibast</t>
        </is>
      </c>
      <c r="S551">
        <f>HYPERLINK("https://klasma.github.io/Logging_0115/artfynd/A 50435-2024 artfynd.xlsx", "A 50435-2024")</f>
        <v/>
      </c>
      <c r="T551">
        <f>HYPERLINK("https://klasma.github.io/Logging_0115/kartor/A 50435-2024 karta.png", "A 50435-2024")</f>
        <v/>
      </c>
      <c r="V551">
        <f>HYPERLINK("https://klasma.github.io/Logging_0115/klagomål/A 50435-2024 FSC-klagomål.docx", "A 50435-2024")</f>
        <v/>
      </c>
      <c r="W551">
        <f>HYPERLINK("https://klasma.github.io/Logging_0115/klagomålsmail/A 50435-2024 FSC-klagomål mail.docx", "A 50435-2024")</f>
        <v/>
      </c>
      <c r="X551">
        <f>HYPERLINK("https://klasma.github.io/Logging_0115/tillsyn/A 50435-2024 tillsynsbegäran.docx", "A 50435-2024")</f>
        <v/>
      </c>
      <c r="Y551">
        <f>HYPERLINK("https://klasma.github.io/Logging_0115/tillsynsmail/A 50435-2024 tillsynsbegäran mail.docx", "A 50435-2024")</f>
        <v/>
      </c>
    </row>
    <row r="552" ht="15" customHeight="1">
      <c r="A552" t="inlineStr">
        <is>
          <t>A 52363-2024</t>
        </is>
      </c>
      <c r="B552" s="1" t="n">
        <v>45609</v>
      </c>
      <c r="C552" s="1" t="n">
        <v>45672</v>
      </c>
      <c r="D552" t="inlineStr">
        <is>
          <t>STOCKHOLMS LÄN</t>
        </is>
      </c>
      <c r="E552" t="inlineStr">
        <is>
          <t>NORRTÄLJE</t>
        </is>
      </c>
      <c r="G552" t="n">
        <v>9.199999999999999</v>
      </c>
      <c r="H552" t="n">
        <v>1</v>
      </c>
      <c r="I552" t="n">
        <v>0</v>
      </c>
      <c r="J552" t="n">
        <v>0</v>
      </c>
      <c r="K552" t="n">
        <v>0</v>
      </c>
      <c r="L552" t="n">
        <v>0</v>
      </c>
      <c r="M552" t="n">
        <v>0</v>
      </c>
      <c r="N552" t="n">
        <v>0</v>
      </c>
      <c r="O552" t="n">
        <v>0</v>
      </c>
      <c r="P552" t="n">
        <v>0</v>
      </c>
      <c r="Q552" t="n">
        <v>1</v>
      </c>
      <c r="R552" s="2" t="inlineStr">
        <is>
          <t>Revlummer</t>
        </is>
      </c>
      <c r="S552">
        <f>HYPERLINK("https://klasma.github.io/Logging_0188/artfynd/A 52363-2024 artfynd.xlsx", "A 52363-2024")</f>
        <v/>
      </c>
      <c r="T552">
        <f>HYPERLINK("https://klasma.github.io/Logging_0188/kartor/A 52363-2024 karta.png", "A 52363-2024")</f>
        <v/>
      </c>
      <c r="V552">
        <f>HYPERLINK("https://klasma.github.io/Logging_0188/klagomål/A 52363-2024 FSC-klagomål.docx", "A 52363-2024")</f>
        <v/>
      </c>
      <c r="W552">
        <f>HYPERLINK("https://klasma.github.io/Logging_0188/klagomålsmail/A 52363-2024 FSC-klagomål mail.docx", "A 52363-2024")</f>
        <v/>
      </c>
      <c r="X552">
        <f>HYPERLINK("https://klasma.github.io/Logging_0188/tillsyn/A 52363-2024 tillsynsbegäran.docx", "A 52363-2024")</f>
        <v/>
      </c>
      <c r="Y552">
        <f>HYPERLINK("https://klasma.github.io/Logging_0188/tillsynsmail/A 52363-2024 tillsynsbegäran mail.docx", "A 52363-2024")</f>
        <v/>
      </c>
    </row>
    <row r="553" ht="15" customHeight="1">
      <c r="A553" t="inlineStr">
        <is>
          <t>A 52545-2024</t>
        </is>
      </c>
      <c r="B553" s="1" t="n">
        <v>45609</v>
      </c>
      <c r="C553" s="1" t="n">
        <v>45672</v>
      </c>
      <c r="D553" t="inlineStr">
        <is>
          <t>STOCKHOLMS LÄN</t>
        </is>
      </c>
      <c r="E553" t="inlineStr">
        <is>
          <t>EKERÖ</t>
        </is>
      </c>
      <c r="G553" t="n">
        <v>2.8</v>
      </c>
      <c r="H553" t="n">
        <v>1</v>
      </c>
      <c r="I553" t="n">
        <v>1</v>
      </c>
      <c r="J553" t="n">
        <v>0</v>
      </c>
      <c r="K553" t="n">
        <v>0</v>
      </c>
      <c r="L553" t="n">
        <v>0</v>
      </c>
      <c r="M553" t="n">
        <v>0</v>
      </c>
      <c r="N553" t="n">
        <v>0</v>
      </c>
      <c r="O553" t="n">
        <v>0</v>
      </c>
      <c r="P553" t="n">
        <v>0</v>
      </c>
      <c r="Q553" t="n">
        <v>1</v>
      </c>
      <c r="R553" s="2" t="inlineStr">
        <is>
          <t>Grön sköldmossa</t>
        </is>
      </c>
      <c r="S553">
        <f>HYPERLINK("https://klasma.github.io/Logging_0125/artfynd/A 52545-2024 artfynd.xlsx", "A 52545-2024")</f>
        <v/>
      </c>
      <c r="T553">
        <f>HYPERLINK("https://klasma.github.io/Logging_0125/kartor/A 52545-2024 karta.png", "A 52545-2024")</f>
        <v/>
      </c>
      <c r="V553">
        <f>HYPERLINK("https://klasma.github.io/Logging_0125/klagomål/A 52545-2024 FSC-klagomål.docx", "A 52545-2024")</f>
        <v/>
      </c>
      <c r="W553">
        <f>HYPERLINK("https://klasma.github.io/Logging_0125/klagomålsmail/A 52545-2024 FSC-klagomål mail.docx", "A 52545-2024")</f>
        <v/>
      </c>
      <c r="X553">
        <f>HYPERLINK("https://klasma.github.io/Logging_0125/tillsyn/A 52545-2024 tillsynsbegäran.docx", "A 52545-2024")</f>
        <v/>
      </c>
      <c r="Y553">
        <f>HYPERLINK("https://klasma.github.io/Logging_0125/tillsynsmail/A 52545-2024 tillsynsbegäran mail.docx", "A 52545-2024")</f>
        <v/>
      </c>
    </row>
    <row r="554" ht="15" customHeight="1">
      <c r="A554" t="inlineStr">
        <is>
          <t>A 52611-2024</t>
        </is>
      </c>
      <c r="B554" s="1" t="n">
        <v>45609</v>
      </c>
      <c r="C554" s="1" t="n">
        <v>45672</v>
      </c>
      <c r="D554" t="inlineStr">
        <is>
          <t>STOCKHOLMS LÄN</t>
        </is>
      </c>
      <c r="E554" t="inlineStr">
        <is>
          <t>NORRTÄLJE</t>
        </is>
      </c>
      <c r="G554" t="n">
        <v>10.6</v>
      </c>
      <c r="H554" t="n">
        <v>1</v>
      </c>
      <c r="I554" t="n">
        <v>0</v>
      </c>
      <c r="J554" t="n">
        <v>0</v>
      </c>
      <c r="K554" t="n">
        <v>0</v>
      </c>
      <c r="L554" t="n">
        <v>0</v>
      </c>
      <c r="M554" t="n">
        <v>0</v>
      </c>
      <c r="N554" t="n">
        <v>0</v>
      </c>
      <c r="O554" t="n">
        <v>0</v>
      </c>
      <c r="P554" t="n">
        <v>0</v>
      </c>
      <c r="Q554" t="n">
        <v>1</v>
      </c>
      <c r="R554" s="2" t="inlineStr">
        <is>
          <t>Blåsippa</t>
        </is>
      </c>
      <c r="S554">
        <f>HYPERLINK("https://klasma.github.io/Logging_0188/artfynd/A 52611-2024 artfynd.xlsx", "A 52611-2024")</f>
        <v/>
      </c>
      <c r="T554">
        <f>HYPERLINK("https://klasma.github.io/Logging_0188/kartor/A 52611-2024 karta.png", "A 52611-2024")</f>
        <v/>
      </c>
      <c r="V554">
        <f>HYPERLINK("https://klasma.github.io/Logging_0188/klagomål/A 52611-2024 FSC-klagomål.docx", "A 52611-2024")</f>
        <v/>
      </c>
      <c r="W554">
        <f>HYPERLINK("https://klasma.github.io/Logging_0188/klagomålsmail/A 52611-2024 FSC-klagomål mail.docx", "A 52611-2024")</f>
        <v/>
      </c>
      <c r="X554">
        <f>HYPERLINK("https://klasma.github.io/Logging_0188/tillsyn/A 52611-2024 tillsynsbegäran.docx", "A 52611-2024")</f>
        <v/>
      </c>
      <c r="Y554">
        <f>HYPERLINK("https://klasma.github.io/Logging_0188/tillsynsmail/A 52611-2024 tillsynsbegäran mail.docx", "A 52611-2024")</f>
        <v/>
      </c>
    </row>
    <row r="555" ht="15" customHeight="1">
      <c r="A555" t="inlineStr">
        <is>
          <t>A 52791-2024</t>
        </is>
      </c>
      <c r="B555" s="1" t="n">
        <v>45610</v>
      </c>
      <c r="C555" s="1" t="n">
        <v>45672</v>
      </c>
      <c r="D555" t="inlineStr">
        <is>
          <t>STOCKHOLMS LÄN</t>
        </is>
      </c>
      <c r="E555" t="inlineStr">
        <is>
          <t>SÖDERTÄLJE</t>
        </is>
      </c>
      <c r="G555" t="n">
        <v>0.7</v>
      </c>
      <c r="H555" t="n">
        <v>1</v>
      </c>
      <c r="I555" t="n">
        <v>0</v>
      </c>
      <c r="J555" t="n">
        <v>1</v>
      </c>
      <c r="K555" t="n">
        <v>0</v>
      </c>
      <c r="L555" t="n">
        <v>0</v>
      </c>
      <c r="M555" t="n">
        <v>0</v>
      </c>
      <c r="N555" t="n">
        <v>0</v>
      </c>
      <c r="O555" t="n">
        <v>1</v>
      </c>
      <c r="P555" t="n">
        <v>0</v>
      </c>
      <c r="Q555" t="n">
        <v>1</v>
      </c>
      <c r="R555" s="2" t="inlineStr">
        <is>
          <t>Spillkråka</t>
        </is>
      </c>
      <c r="S555">
        <f>HYPERLINK("https://klasma.github.io/Logging_0181/artfynd/A 52791-2024 artfynd.xlsx", "A 52791-2024")</f>
        <v/>
      </c>
      <c r="T555">
        <f>HYPERLINK("https://klasma.github.io/Logging_0181/kartor/A 52791-2024 karta.png", "A 52791-2024")</f>
        <v/>
      </c>
      <c r="V555">
        <f>HYPERLINK("https://klasma.github.io/Logging_0181/klagomål/A 52791-2024 FSC-klagomål.docx", "A 52791-2024")</f>
        <v/>
      </c>
      <c r="W555">
        <f>HYPERLINK("https://klasma.github.io/Logging_0181/klagomålsmail/A 52791-2024 FSC-klagomål mail.docx", "A 52791-2024")</f>
        <v/>
      </c>
      <c r="X555">
        <f>HYPERLINK("https://klasma.github.io/Logging_0181/tillsyn/A 52791-2024 tillsynsbegäran.docx", "A 52791-2024")</f>
        <v/>
      </c>
      <c r="Y555">
        <f>HYPERLINK("https://klasma.github.io/Logging_0181/tillsynsmail/A 52791-2024 tillsynsbegäran mail.docx", "A 52791-2024")</f>
        <v/>
      </c>
      <c r="Z555">
        <f>HYPERLINK("https://klasma.github.io/Logging_0181/fåglar/A 52791-2024 prioriterade fågelarter.docx", "A 52791-2024")</f>
        <v/>
      </c>
    </row>
    <row r="556" ht="15" customHeight="1">
      <c r="A556" t="inlineStr">
        <is>
          <t>A 52924-2024</t>
        </is>
      </c>
      <c r="B556" s="1" t="n">
        <v>45610</v>
      </c>
      <c r="C556" s="1" t="n">
        <v>45672</v>
      </c>
      <c r="D556" t="inlineStr">
        <is>
          <t>STOCKHOLMS LÄN</t>
        </is>
      </c>
      <c r="E556" t="inlineStr">
        <is>
          <t>NYNÄSHAMN</t>
        </is>
      </c>
      <c r="G556" t="n">
        <v>3</v>
      </c>
      <c r="H556" t="n">
        <v>1</v>
      </c>
      <c r="I556" t="n">
        <v>0</v>
      </c>
      <c r="J556" t="n">
        <v>1</v>
      </c>
      <c r="K556" t="n">
        <v>0</v>
      </c>
      <c r="L556" t="n">
        <v>0</v>
      </c>
      <c r="M556" t="n">
        <v>0</v>
      </c>
      <c r="N556" t="n">
        <v>0</v>
      </c>
      <c r="O556" t="n">
        <v>1</v>
      </c>
      <c r="P556" t="n">
        <v>0</v>
      </c>
      <c r="Q556" t="n">
        <v>1</v>
      </c>
      <c r="R556" s="2" t="inlineStr">
        <is>
          <t>Spillkråka</t>
        </is>
      </c>
      <c r="S556">
        <f>HYPERLINK("https://klasma.github.io/Logging_0192/artfynd/A 52924-2024 artfynd.xlsx", "A 52924-2024")</f>
        <v/>
      </c>
      <c r="T556">
        <f>HYPERLINK("https://klasma.github.io/Logging_0192/kartor/A 52924-2024 karta.png", "A 52924-2024")</f>
        <v/>
      </c>
      <c r="V556">
        <f>HYPERLINK("https://klasma.github.io/Logging_0192/klagomål/A 52924-2024 FSC-klagomål.docx", "A 52924-2024")</f>
        <v/>
      </c>
      <c r="W556">
        <f>HYPERLINK("https://klasma.github.io/Logging_0192/klagomålsmail/A 52924-2024 FSC-klagomål mail.docx", "A 52924-2024")</f>
        <v/>
      </c>
      <c r="X556">
        <f>HYPERLINK("https://klasma.github.io/Logging_0192/tillsyn/A 52924-2024 tillsynsbegäran.docx", "A 52924-2024")</f>
        <v/>
      </c>
      <c r="Y556">
        <f>HYPERLINK("https://klasma.github.io/Logging_0192/tillsynsmail/A 52924-2024 tillsynsbegäran mail.docx", "A 52924-2024")</f>
        <v/>
      </c>
      <c r="Z556">
        <f>HYPERLINK("https://klasma.github.io/Logging_0192/fåglar/A 52924-2024 prioriterade fågelarter.docx", "A 52924-2024")</f>
        <v/>
      </c>
    </row>
    <row r="557" ht="15" customHeight="1">
      <c r="A557" t="inlineStr">
        <is>
          <t>A 56792-2024</t>
        </is>
      </c>
      <c r="B557" s="1" t="n">
        <v>45628</v>
      </c>
      <c r="C557" s="1" t="n">
        <v>45672</v>
      </c>
      <c r="D557" t="inlineStr">
        <is>
          <t>STOCKHOLMS LÄN</t>
        </is>
      </c>
      <c r="E557" t="inlineStr">
        <is>
          <t>NORRTÄLJE</t>
        </is>
      </c>
      <c r="G557" t="n">
        <v>9.699999999999999</v>
      </c>
      <c r="H557" t="n">
        <v>0</v>
      </c>
      <c r="I557" t="n">
        <v>0</v>
      </c>
      <c r="J557" t="n">
        <v>1</v>
      </c>
      <c r="K557" t="n">
        <v>0</v>
      </c>
      <c r="L557" t="n">
        <v>0</v>
      </c>
      <c r="M557" t="n">
        <v>0</v>
      </c>
      <c r="N557" t="n">
        <v>0</v>
      </c>
      <c r="O557" t="n">
        <v>1</v>
      </c>
      <c r="P557" t="n">
        <v>0</v>
      </c>
      <c r="Q557" t="n">
        <v>1</v>
      </c>
      <c r="R557" s="2" t="inlineStr">
        <is>
          <t>Kandelabersvamp</t>
        </is>
      </c>
      <c r="S557">
        <f>HYPERLINK("https://klasma.github.io/Logging_0188/artfynd/A 56792-2024 artfynd.xlsx", "A 56792-2024")</f>
        <v/>
      </c>
      <c r="T557">
        <f>HYPERLINK("https://klasma.github.io/Logging_0188/kartor/A 56792-2024 karta.png", "A 56792-2024")</f>
        <v/>
      </c>
      <c r="V557">
        <f>HYPERLINK("https://klasma.github.io/Logging_0188/klagomål/A 56792-2024 FSC-klagomål.docx", "A 56792-2024")</f>
        <v/>
      </c>
      <c r="W557">
        <f>HYPERLINK("https://klasma.github.io/Logging_0188/klagomålsmail/A 56792-2024 FSC-klagomål mail.docx", "A 56792-2024")</f>
        <v/>
      </c>
      <c r="X557">
        <f>HYPERLINK("https://klasma.github.io/Logging_0188/tillsyn/A 56792-2024 tillsynsbegäran.docx", "A 56792-2024")</f>
        <v/>
      </c>
      <c r="Y557">
        <f>HYPERLINK("https://klasma.github.io/Logging_0188/tillsynsmail/A 56792-2024 tillsynsbegäran mail.docx", "A 56792-2024")</f>
        <v/>
      </c>
    </row>
    <row r="558" ht="15" customHeight="1">
      <c r="A558" t="inlineStr">
        <is>
          <t>A 1793-2025</t>
        </is>
      </c>
      <c r="B558" s="1" t="n">
        <v>45671</v>
      </c>
      <c r="C558" s="1" t="n">
        <v>45672</v>
      </c>
      <c r="D558" t="inlineStr">
        <is>
          <t>STOCKHOLMS LÄN</t>
        </is>
      </c>
      <c r="E558" t="inlineStr">
        <is>
          <t>EKERÖ</t>
        </is>
      </c>
      <c r="G558" t="n">
        <v>1.7</v>
      </c>
      <c r="H558" t="n">
        <v>1</v>
      </c>
      <c r="I558" t="n">
        <v>0</v>
      </c>
      <c r="J558" t="n">
        <v>0</v>
      </c>
      <c r="K558" t="n">
        <v>0</v>
      </c>
      <c r="L558" t="n">
        <v>0</v>
      </c>
      <c r="M558" t="n">
        <v>0</v>
      </c>
      <c r="N558" t="n">
        <v>0</v>
      </c>
      <c r="O558" t="n">
        <v>0</v>
      </c>
      <c r="P558" t="n">
        <v>0</v>
      </c>
      <c r="Q558" t="n">
        <v>1</v>
      </c>
      <c r="R558" s="2" t="inlineStr">
        <is>
          <t>Mistel</t>
        </is>
      </c>
      <c r="S558">
        <f>HYPERLINK("https://klasma.github.io/Logging_0125/artfynd/A 1793-2025 artfynd.xlsx", "A 1793-2025")</f>
        <v/>
      </c>
      <c r="T558">
        <f>HYPERLINK("https://klasma.github.io/Logging_0125/kartor/A 1793-2025 karta.png", "A 1793-2025")</f>
        <v/>
      </c>
      <c r="V558">
        <f>HYPERLINK("https://klasma.github.io/Logging_0125/klagomål/A 1793-2025 FSC-klagomål.docx", "A 1793-2025")</f>
        <v/>
      </c>
      <c r="W558">
        <f>HYPERLINK("https://klasma.github.io/Logging_0125/klagomålsmail/A 1793-2025 FSC-klagomål mail.docx", "A 1793-2025")</f>
        <v/>
      </c>
      <c r="X558">
        <f>HYPERLINK("https://klasma.github.io/Logging_0125/tillsyn/A 1793-2025 tillsynsbegäran.docx", "A 1793-2025")</f>
        <v/>
      </c>
      <c r="Y558">
        <f>HYPERLINK("https://klasma.github.io/Logging_0125/tillsynsmail/A 1793-2025 tillsynsbegäran mail.docx", "A 1793-2025")</f>
        <v/>
      </c>
    </row>
    <row r="559" ht="15" customHeight="1">
      <c r="A559" t="inlineStr">
        <is>
          <t>A 17752-2019</t>
        </is>
      </c>
      <c r="B559" s="1" t="n">
        <v>43556</v>
      </c>
      <c r="C559" s="1" t="n">
        <v>45672</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45672</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45672</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45672</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45672</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45672</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45672</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45672</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45672</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45672</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45672</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45672</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45672</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45672</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45672</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45672</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45672</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45672</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45672</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45672</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45672</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45672</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45672</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45672</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45672</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45672</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45672</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45672</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45672</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45672</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45672</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45672</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45672</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45672</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45672</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45672</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45672</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45672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45672</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45672</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45672</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45672</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45672</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45672</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45672</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45672</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45672</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45672</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45672</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45672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45672</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45672</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45672</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45672</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45672</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45672</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45672</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45672</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45672</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45672</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45672</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45672</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45672</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45672</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45672</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45672</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45672</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45672</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45672</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45672</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45672</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45672</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45672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45672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45672</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45672</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45672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45672</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45672</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45672</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45672</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45672</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45672</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45672</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45672</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45672</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45672</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45672</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45672</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45672</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45672</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45672</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45672</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45672</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45672</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45672</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45672</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45672</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45672</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45672</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45672</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45672</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45672</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45672</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45672</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45672</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45672</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45672</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45672</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45672</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45672</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45672</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45672</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45672</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45672</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45672</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45672</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45672</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45672</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45672</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45672</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45672</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45672</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45672</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45672</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45672</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45672</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45672</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45672</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45672</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45672</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45672</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45672</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45672</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45672</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45672</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45672</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45672</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45672</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45672</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45672</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45672</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45672</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45672</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45672</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45672</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45672</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45672</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45672</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45672</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45672</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45672</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45672</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45672</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45672</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45672</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45672</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45672</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45672</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45672</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45672</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45672</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45672</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45672</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45672</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45672</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45672</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45672</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45672</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45672</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45672</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45672</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45672</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45672</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45672</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45672</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45672</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45672</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45672</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45672</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45672</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45672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45672</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45672</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45672</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45672</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45672</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45672</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45672</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45672</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45672</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45672</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45672</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45672</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45672</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45672</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45672</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45672</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45672</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45672</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45672</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45672</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45672</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45672</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45672</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45672</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45672</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45672</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45672</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45672</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45672</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45672</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45672</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45672</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45672</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45672</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45672</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45672</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45672</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45672</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45672</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45672</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45672</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45672</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45672</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45672</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45672</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45672</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45672</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45672</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45672</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45672</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45672</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45672</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45672</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45672</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45672</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45672</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45672</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45672</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45672</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45672</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45672</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45672</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45672</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45672</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45672</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45672</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45672</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45672</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45672</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45672</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45672</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45672</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45672</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45672</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45672</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45672</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45672</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45672</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45672</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45672</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45672</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45672</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45672</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45672</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45672</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45672</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45672</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45672</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45672</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45672</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45672</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45672</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45672</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45672</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45672</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45672</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45672</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45672</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45672</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45672</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45672</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45672</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45672</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45672</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45672</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45672</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45672</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45672</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45672</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45672</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45672</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45672</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45672</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45672</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45672</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45672</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45672</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45672</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45672</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45672</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45672</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45672</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45672</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45672</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45672</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45672</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45672</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45672</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45672</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45672</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45672</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45672</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45672</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45672</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45672</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45672</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45672</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45672</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45672</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45672</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45672</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45672</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45672</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45672</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45672</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45672</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45672</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45672</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45672</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45672</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45672</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45672</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45672</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45672</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45672</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45672</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45672</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45672</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45672</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45672</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45672</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45672</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45672</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45672</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45672</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45672</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45672</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45672</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45672</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45672</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45672</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45672</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45672</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45672</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45672</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45672</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45672</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45672</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45672</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45672</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45672</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45672</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45672</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45672</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45672</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45672</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45672</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45672</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45672</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45672</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45672</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45672</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45672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45672</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45672</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45672</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45672</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45672</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45672</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45672</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45672</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45672</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45672</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45672</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45672</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45672</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45672</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45672</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45672</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45672</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45672</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45672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45672</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45672</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45672</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45672</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45672</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45672</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45672</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45672</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45672</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45672</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45672</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45672</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45672</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45672</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45672</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45672</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45672</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45672</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45672</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45672</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45672</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45672</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45672</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45672</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45672</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45672</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45672</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45672</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45672</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45672</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45672</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45672</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45672</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45672</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45672</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45672</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45672</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45672</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45672</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45672</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45672</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45672</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45672</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45672</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45672</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45672</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45672</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45672</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45672</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45672</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45672</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45672</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45672</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45672</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45672</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45672</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45672</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45672</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45672</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45672</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45672</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45672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45672</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45672</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45672</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45672</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45672</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45672</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45672</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45672</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45672</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45672</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45672</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45672</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45672</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45672</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45672</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45672</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45672</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45672</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45672</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45672</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45672</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45672</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45672</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45672</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45672</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45672</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45672</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45672</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45672</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45672</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45672</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45672</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45672</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45672</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45672</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45672</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45672</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45672</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45672</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45672</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45672</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45672</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45672</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45672</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45672</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45672</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45672</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45672</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45672</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45672</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45672</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45672</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45672</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45672</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45672</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45672</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45672</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45672</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45672</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45672</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45672</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45672</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45672</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45672</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45672</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45672</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45672</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45672</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45672</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45672</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45672</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45672</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45672</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45672</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45672</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45672</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45672</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45672</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45672</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45672</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45672</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45672</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45672</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45672</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45672</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45672</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45672</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45672</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45672</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45672</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45672</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45672</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45672</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45672</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45672</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45672</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45672</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45672</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45672</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45672</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45672</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45672</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45672</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45672</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45672</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45672</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45672</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45672</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45672</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45672</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45672</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45672</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45672</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45672</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45672</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45672</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45672</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45672</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45672</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45672</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45672</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45672</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45672</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45672</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45672</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45672</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45672</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45672</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45672</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45672</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45672</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45672</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45672</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45672</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45672</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45672</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45672</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45672</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45672</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45672</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45672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45672</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45672</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45672</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45672</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45672</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45672</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45672</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45672</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45672</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45672</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45672</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45672</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45672</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45672</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45672</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45672</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45672</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45672</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45672</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45672</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45672</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45672</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45672</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45672</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45672</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45672</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45672</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45672</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45672</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45672</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45672</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45672</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45672</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45672</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45672</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45672</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45672</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45672</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45672</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45672</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45672</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45672</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45672</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45672</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45672</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45672</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45672</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45672</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45672</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45672</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45672</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45672</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45672</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45672</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45672</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45672</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45672</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45672</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45672</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45672</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45672</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45672</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45672</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45672</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45672</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45672</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45672</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45672</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45672</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45672</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45672</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45672</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45672</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45672</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45672</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45672</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45672</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45672</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45672</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45672</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45672</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45672</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45672</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45672</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45672</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45672</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45672</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45672</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45672</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45672</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45672</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45672</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45672</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45672</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45672</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45672</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45672</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45672</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45672</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45672</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45672</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45672</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45672</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45672</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45672</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45672</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45672</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45672</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45672</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45672</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45672</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45672</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45672</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45672</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45672</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45672</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45672</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45672</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45672</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45672</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45672</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45672</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45672</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45672</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45672</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45672</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45672</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45672</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45672</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45672</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45672</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45672</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45672</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45672</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45672</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45672</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45672</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45672</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45672</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45672</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45672</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45672</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45672</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45672</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45672</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45672</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45672</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45672</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45672</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45672</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45672</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45672</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45672</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45672</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45672</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45672</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45672</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45672</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45672</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45672</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45672</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45672</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45672</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45672</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45672</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45672</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45672</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45672</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45672</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45672</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45672</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45672</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45672</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45672</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45672</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45672</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45672</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45672</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45672</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45672</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45672</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45672</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45672</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45672</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45672</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45672</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45672</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45672</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45672</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45672</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45672</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45672</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45672</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45672</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45672</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45672</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45672</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45672</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45672</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45672</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45672</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45672</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45672</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45672</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45672</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45672</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45672</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45672</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45672</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45672</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45672</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45672</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45672</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45672</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45672</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45672</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45672</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45672</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45672</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45672</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45672</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45672</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45672</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45672</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45672</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45672</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45672</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45672</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45672</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45672</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45672</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45672</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45672</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45672</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45672</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45672</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45672</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45672</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45672</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45672</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45672</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45672</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45672</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45672</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45672</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45672</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45672</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45672</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45672</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45672</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45672</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45672</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45672</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45672</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45672</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45672</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45672</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45672</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45672</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45672</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45672</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45672</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45672</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45672</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45672</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45672</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45672</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45672</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45672</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45672</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45672</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45672</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45672</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45672</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45672</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45672</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45672</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45672</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45672</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45672</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45672</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45672</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45672</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45672</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45672</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45672</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45672</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45672</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45672</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45672</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45672</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45672</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45672</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45672</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45672</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45672</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45672</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45672</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45672</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45672</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45672</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45672</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45672</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45672</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45672</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45672</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45672</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45672</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45672</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45672</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45672</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45672</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45672</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45672</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45672</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45672</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45672</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45672</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45672</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45672</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45672</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45672</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45672</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45672</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45672</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45672</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45672</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45672</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45672</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45672</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45672</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45672</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45672</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45672</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45672</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45672</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45672</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45672</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45672</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45672</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45672</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45672</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45672</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45672</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45672</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45672</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45672</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45672</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45672</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45672</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45672</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45672</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45672</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45672</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45672</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45672</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45672</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45672</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45672</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45672</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45672</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45672</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45672</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45672</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45672</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45672</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45672</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45672</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45672</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45672</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45672</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45672</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45672</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45672</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45672</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45672</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45672</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45672</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45672</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45672</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45672</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45672</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45672</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45672</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45672</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45672</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45672</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45672</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45672</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45672</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45672</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45672</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45672</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45672</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45672</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45672</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45672</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45672</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45672</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45672</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45672</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45672</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45672</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45672</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45672</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45672</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45672</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45672</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45672</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45672</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45672</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45672</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45672</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45672</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45672</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45672</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45672</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45672</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45672</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45672</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45672</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45672</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45672</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45672</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45672</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45672</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45672</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45672</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45672</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45672</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45672</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45672</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45672</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45672</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45672</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45672</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45672</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45672</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45672</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45672</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45672</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45672</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45672</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45672</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45672</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45672</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45672</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45672</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45672</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45672</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45672</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45672</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45672</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45672</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45672</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45672</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45672</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45672</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45672</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45672</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45672</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45672</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45672</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45672</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45672</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45672</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45672</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45672</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45672</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45672</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45672</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45672</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45672</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45672</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45672</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45672</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45672</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45672</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45672</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45672</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45672</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45672</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45672</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45672</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45672</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45672</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45672</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45672</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45672</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45672</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45672</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45672</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45672</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45672</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45672</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45672</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45672</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45672</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45672</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45672</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45672</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45672</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45672</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45672</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45672</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45672</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45672</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45672</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45672</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45672</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45672</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45672</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45672</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45672</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45672</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45672</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45672</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45672</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45672</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45672</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45672</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45672</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45672</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45672</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45672</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45672</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45672</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45672</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45672</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45672</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45672</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45672</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45672</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45672</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45672</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45672</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45672</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45672</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45672</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45672</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45672</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45672</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45672</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45672</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45672</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45672</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45672</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45672</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45672</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45672</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45672</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45672</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45672</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45672</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45672</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45672</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45672</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45672</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45672</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45672</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45672</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45672</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45672</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45672</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45672</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45672</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45672</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45672</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45672</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45672</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45672</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45672</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45672</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45672</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45672</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45672</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45672</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45672</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45672</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45672</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45672</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45672</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45672</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45672</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45672</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45672</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45672</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45672</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45672</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45672</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45672</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45672</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45672</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45672</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45672</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45672</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45672</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45672</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45672</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45672</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45672</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45672</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45672</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45672</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45672</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45672</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45672</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45672</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45672</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45672</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45672</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45672</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45672</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45672</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45672</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45672</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45672</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45672</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45672</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45672</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45672</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45672</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45672</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45672</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45672</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45672</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45672</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45672</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45672</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45672</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45672</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45672</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45672</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45672</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45672</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45672</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45672</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45672</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45672</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45672</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45672</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45672</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45672</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45672</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45672</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45672</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45672</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45672</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45672</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45672</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45672</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45672</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45672</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45672</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45672</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45672</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45672</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45672</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45672</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45672</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45672</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45672</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45672</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45672</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45672</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45672</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45672</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45672</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45672</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45672</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45672</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45672</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45672</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45672</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45672</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45672</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45672</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45672</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45672</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45672</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45672</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45672</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45672</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45672</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45672</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45672</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45672</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45672</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45672</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45672</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45672</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45672</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45672</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45672</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45672</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45672</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45672</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45672</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45672</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45672</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45672</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45672</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45672</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45672</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45672</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45672</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45672</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45672</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45672</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45672</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45672</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45672</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45672</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45672</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45672</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45672</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45672</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45672</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45672</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45672</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45672</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45672</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45672</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45672</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45672</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45672</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45672</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45672</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45672</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45672</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45672</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45672</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45672</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45672</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45672</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45672</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45672</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45672</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45672</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45672</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45672</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45672</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45672</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45672</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45672</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45672</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45672</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45672</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45672</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45672</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45672</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45672</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45672</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45672</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45672</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45672</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45672</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45672</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45672</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45672</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45672</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45672</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45672</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45672</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45672</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45672</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45672</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45672</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45672</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45672</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45672</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45672</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45672</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45672</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45672</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45672</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45672</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45672</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45672</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45672</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45672</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45672</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45672</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45672</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45672</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45672</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45672</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45672</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45672</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45672</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45672</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45672</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45672</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45672</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45672</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45672</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45672</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45672</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45672</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45672</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45672</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45672</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45672</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45672</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45672</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45672</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45672</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45672</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45672</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45672</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45672</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45672</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45672</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45672</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45672</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45672</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45672</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45672</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45672</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45672</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45672</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45672</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45672</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45672</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45672</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45672</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45672</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45672</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45672</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45672</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45672</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45672</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45672</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45672</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45672</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45672</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45672</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45672</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45672</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45672</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45672</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45672</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45672</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45672</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45672</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45672</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45672</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45672</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45672</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45672</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45672</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45672</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45672</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45672</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45672</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45672</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45672</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45672</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45672</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45672</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45672</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45672</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45672</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45672</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45672</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45672</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45672</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45672</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45672</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45672</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45672</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45672</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45672</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45672</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45672</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45672</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45672</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45672</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45672</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45672</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45672</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45672</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45672</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45672</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45672</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45672</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45672</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45672</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45672</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45672</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45672</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45672</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45672</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45672</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45672</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45672</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45672</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45672</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45672</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45672</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45672</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45672</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45672</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45672</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45672</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45672</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45672</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45672</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45672</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45672</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45672</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45672</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45672</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45672</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45672</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45672</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45672</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45672</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45672</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45672</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45672</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45672</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45672</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45672</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45672</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45672</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45672</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45672</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45672</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45672</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45672</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45672</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45672</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45672</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45672</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45672</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45672</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45672</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45672</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45672</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45672</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45672</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45672</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45672</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45672</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45672</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45672</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45672</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45672</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45672</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45672</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45672</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45672</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45672</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45672</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45672</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45672</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45672</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45672</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45672</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45672</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45672</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45672</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45672</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45672</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45672</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45672</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45672</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45672</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45672</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45672</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45672</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45672</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45672</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45672</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45672</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45672</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45672</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45672</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45672</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45672</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45672</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45672</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45672</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45672</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45672</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45672</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45672</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45672</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45672</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45672</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45672</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45672</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45672</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45672</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45672</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45672</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45672</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45672</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45672</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45672</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45672</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45672</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45672</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45672</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45672</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45672</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45672</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45672</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45672</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45672</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45672</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45672</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45672</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45672</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45672</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45672</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45672</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45672</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45672</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45672</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45672</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45672</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45672</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45672</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45672</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45672</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45672</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45672</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45672</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45672</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45672</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45672</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45672</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45672</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45672</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45672</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45672</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45672</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45672</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45672</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45672</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45672</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45672</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45672</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45672</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45672</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45672</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45672</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45672</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45672</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45672</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45672</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45672</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45672</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45672</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45672</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45672</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45672</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45672</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45672</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45672</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45672</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45672</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45672</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45672</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45672</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45672</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45672</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45672</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45672</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45672</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45672</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45672</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45672</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45672</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45672</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45672</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45672</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45672</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45672</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45672</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45672</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45672</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45672</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45672</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45672</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45672</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45672</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45672</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45672</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45672</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45672</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45672</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45672</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45672</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45672</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45672</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45672</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45672</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45672</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45672</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45672</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45672</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45672</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45672</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45672</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45672</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45672</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45672</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45672</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45672</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45672</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45672</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45672</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45672</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45672</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45672</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45672</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45672</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45672</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45672</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45672</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45672</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45672</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45672</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45672</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45672</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45672</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45672</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45672</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45672</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45672</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45672</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45672</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45672</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45672</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45672</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45672</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45672</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45672</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45672</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45672</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45672</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45672</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45672</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45672</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45672</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45672</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45672</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45672</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45672</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45672</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45672</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45672</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45672</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45672</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45672</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45672</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45672</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45672</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45672</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45672</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45672</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45672</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45672</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45672</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45672</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45672</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45672</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45672</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45672</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45672</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45672</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45672</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45672</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45672</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45672</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45672</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45672</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45672</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45672</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45672</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45672</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45672</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45672</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45672</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45672</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45672</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45672</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45672</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45672</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45672</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45672</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45672</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45672</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45672</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45672</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45672</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45672</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45672</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45672</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45672</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45672</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45672</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45672</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45672</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45672</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45672</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45672</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45672</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45672</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45672</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45672</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45672</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45672</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45672</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45672</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45672</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45672</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45672</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45672</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45672</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45672</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45672</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45672</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45672</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45672</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45672</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45672</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45672</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45672</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45672</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45672</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45672</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45672</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45672</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45672</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45672</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45672</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45672</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45672</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45672</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45672</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45672</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45672</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45672</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45672</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45672</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45672</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45672</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45672</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45672</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45672</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45672</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45672</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45672</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45672</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45672</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45672</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45672</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45672</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45672</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45672</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45672</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45672</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45672</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45672</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45672</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45672</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45672</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45672</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45672</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45672</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45672</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45672</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45672</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45672</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45672</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45672</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45672</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45672</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45672</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45672</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45672</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45672</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45672</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45672</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45672</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45672</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45672</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45672</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45672</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45672</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45672</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45672</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45672</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45672</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45672</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45672</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45672</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45672</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45672</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45672</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45672</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45672</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45672</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45672</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45672</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45672</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45672</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45672</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45672</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45672</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45672</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45672</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45672</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45672</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45672</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45672</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45672</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45672</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45672</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45672</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45672</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45672</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45672</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45672</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45672</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45672</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45672</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45672</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45672</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45672</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45672</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45672</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45672</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45672</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45672</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45672</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45672</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45672</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45672</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45672</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45672</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45672</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45672</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45672</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45672</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45672</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45672</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45672</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45672</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45672</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45672</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45672</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45672</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45672</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45672</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45672</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45672</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45672</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45672</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45672</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45672</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45672</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45672</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45672</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45672</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45672</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45672</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45672</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45672</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45672</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45672</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45672</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45672</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45672</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45672</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45672</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45672</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45672</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45672</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45672</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45672</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45672</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45672</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45672</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45672</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45672</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45672</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45672</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45672</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45672</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45672</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45672</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45672</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45672</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45672</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45672</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45672</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45672</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45672</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45672</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45672</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45672</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45672</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45672</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45672</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45672</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45672</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45672</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45672</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45672</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45672</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45672</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45672</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45672</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45672</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45672</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45672</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45672</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45672</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45672</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45672</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45672</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45672</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45672</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45672</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45672</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45672</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45672</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45672</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45672</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45672</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45672</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45672</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45672</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45672</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45672</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45672</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45672</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45672</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45672</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45672</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45672</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45672</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45672</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45672</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45672</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45672</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45672</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45672</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45672</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45672</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45672</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45672</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45672</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45672</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45672</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45672</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45672</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45672</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45672</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45672</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45672</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45672</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45672</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45672</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45672</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45672</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45672</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45672</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45672</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45672</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45672</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45672</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45672</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45672</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45672</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45672</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45672</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45672</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45672</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45672</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45672</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45672</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45672</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45672</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45672</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45672</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45672</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45672</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45672</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45672</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45672</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45672</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45672</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45672</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45672</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45672</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45672</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45672</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45672</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45672</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45672</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45672</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45672</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45672</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45672</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45672</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45672</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45672</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45672</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45672</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45672</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45672</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45672</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45672</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45672</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45672</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45672</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45672</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45672</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45672</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45672</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45672</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45672</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45672</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45672</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45672</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45672</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45672</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45672</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45672</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45672</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45672</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45672</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45672</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45672</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45672</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45672</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45672</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45672</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45672</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45672</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45672</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45672</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45672</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45672</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45672</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45672</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45672</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45672</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45672</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45672</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45672</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45672</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45672</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45672</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45672</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45672</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45672</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45672</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45672</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45672</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45672</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45672</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45672</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45672</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45672</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45672</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45672</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45672</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45672</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45672</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45672</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45672</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45672</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45672</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45672</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45672</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45672</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45672</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45672</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45672</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45672</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45672</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45672</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45672</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45672</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45672</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45672</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45672</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45672</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45672</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45672</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45672</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45672</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45672</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45672</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45672</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45672</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45672</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45672</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45672</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45672</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45672</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45672</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45672</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45672</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45672</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45672</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39255-2023</t>
        </is>
      </c>
      <c r="B2769" s="1" t="n">
        <v>45166</v>
      </c>
      <c r="C2769" s="1" t="n">
        <v>45672</v>
      </c>
      <c r="D2769" t="inlineStr">
        <is>
          <t>STOCKHOLMS LÄN</t>
        </is>
      </c>
      <c r="E2769" t="inlineStr">
        <is>
          <t>NORRTÄLJE</t>
        </is>
      </c>
      <c r="G2769" t="n">
        <v>14.2</v>
      </c>
      <c r="H2769" t="n">
        <v>0</v>
      </c>
      <c r="I2769" t="n">
        <v>0</v>
      </c>
      <c r="J2769" t="n">
        <v>0</v>
      </c>
      <c r="K2769" t="n">
        <v>0</v>
      </c>
      <c r="L2769" t="n">
        <v>0</v>
      </c>
      <c r="M2769" t="n">
        <v>0</v>
      </c>
      <c r="N2769" t="n">
        <v>0</v>
      </c>
      <c r="O2769" t="n">
        <v>0</v>
      </c>
      <c r="P2769" t="n">
        <v>0</v>
      </c>
      <c r="Q2769" t="n">
        <v>0</v>
      </c>
      <c r="R2769" s="2" t="inlineStr"/>
    </row>
    <row r="2770" ht="15" customHeight="1">
      <c r="A2770" t="inlineStr">
        <is>
          <t>A 39394-2023</t>
        </is>
      </c>
      <c r="B2770" s="1" t="n">
        <v>45166</v>
      </c>
      <c r="C2770" s="1" t="n">
        <v>45672</v>
      </c>
      <c r="D2770" t="inlineStr">
        <is>
          <t>STOCKHOLMS LÄN</t>
        </is>
      </c>
      <c r="E2770" t="inlineStr">
        <is>
          <t>ÖSTERÅKER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39398-2023</t>
        </is>
      </c>
      <c r="B2771" s="1" t="n">
        <v>45166</v>
      </c>
      <c r="C2771" s="1" t="n">
        <v>45672</v>
      </c>
      <c r="D2771" t="inlineStr">
        <is>
          <t>STOCKHOLMS LÄN</t>
        </is>
      </c>
      <c r="E2771" t="inlineStr">
        <is>
          <t>ÖSTERÅKER</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39295-2023</t>
        </is>
      </c>
      <c r="B2772" s="1" t="n">
        <v>45166</v>
      </c>
      <c r="C2772" s="1" t="n">
        <v>45672</v>
      </c>
      <c r="D2772" t="inlineStr">
        <is>
          <t>STOCKHOLMS LÄN</t>
        </is>
      </c>
      <c r="E2772" t="inlineStr">
        <is>
          <t>SÖDERTÄLJE</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39406-2023</t>
        </is>
      </c>
      <c r="B2773" s="1" t="n">
        <v>45166</v>
      </c>
      <c r="C2773" s="1" t="n">
        <v>45672</v>
      </c>
      <c r="D2773" t="inlineStr">
        <is>
          <t>STOCKHOLMS LÄN</t>
        </is>
      </c>
      <c r="E2773" t="inlineStr">
        <is>
          <t>VALLENTUNA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39281-2023</t>
        </is>
      </c>
      <c r="B2774" s="1" t="n">
        <v>45166</v>
      </c>
      <c r="C2774" s="1" t="n">
        <v>45672</v>
      </c>
      <c r="D2774" t="inlineStr">
        <is>
          <t>STOCKHOLMS LÄN</t>
        </is>
      </c>
      <c r="E2774" t="inlineStr">
        <is>
          <t>VALLENTUNA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39296-2023</t>
        </is>
      </c>
      <c r="B2775" s="1" t="n">
        <v>45166</v>
      </c>
      <c r="C2775" s="1" t="n">
        <v>45672</v>
      </c>
      <c r="D2775" t="inlineStr">
        <is>
          <t>STOCKHOLMS LÄN</t>
        </is>
      </c>
      <c r="E2775" t="inlineStr">
        <is>
          <t>SÖDERTÄLJE</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39763-2023</t>
        </is>
      </c>
      <c r="B2776" s="1" t="n">
        <v>45167</v>
      </c>
      <c r="C2776" s="1" t="n">
        <v>45672</v>
      </c>
      <c r="D2776" t="inlineStr">
        <is>
          <t>STOCKHOLMS LÄN</t>
        </is>
      </c>
      <c r="E2776" t="inlineStr">
        <is>
          <t>BOTKYRKA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39533-2023</t>
        </is>
      </c>
      <c r="B2777" s="1" t="n">
        <v>45167</v>
      </c>
      <c r="C2777" s="1" t="n">
        <v>45672</v>
      </c>
      <c r="D2777" t="inlineStr">
        <is>
          <t>STOCKHOLMS LÄN</t>
        </is>
      </c>
      <c r="E2777" t="inlineStr">
        <is>
          <t>NYKVARN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39539-2023</t>
        </is>
      </c>
      <c r="B2778" s="1" t="n">
        <v>45167</v>
      </c>
      <c r="C2778" s="1" t="n">
        <v>45672</v>
      </c>
      <c r="D2778" t="inlineStr">
        <is>
          <t>STOCKHOLMS LÄN</t>
        </is>
      </c>
      <c r="E2778" t="inlineStr">
        <is>
          <t>NYKVARN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39726-2023</t>
        </is>
      </c>
      <c r="B2779" s="1" t="n">
        <v>45167</v>
      </c>
      <c r="C2779" s="1" t="n">
        <v>45672</v>
      </c>
      <c r="D2779" t="inlineStr">
        <is>
          <t>STOCKHOLMS LÄN</t>
        </is>
      </c>
      <c r="E2779" t="inlineStr">
        <is>
          <t>NYKVARN</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39879-2023</t>
        </is>
      </c>
      <c r="B2780" s="1" t="n">
        <v>45168</v>
      </c>
      <c r="C2780" s="1" t="n">
        <v>45672</v>
      </c>
      <c r="D2780" t="inlineStr">
        <is>
          <t>STOCKHOLMS LÄN</t>
        </is>
      </c>
      <c r="E2780" t="inlineStr">
        <is>
          <t>NORRTÄLJE</t>
        </is>
      </c>
      <c r="F2780" t="inlineStr">
        <is>
          <t>Holmen skog AB</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39905-2023</t>
        </is>
      </c>
      <c r="B2781" s="1" t="n">
        <v>45168</v>
      </c>
      <c r="C2781" s="1" t="n">
        <v>45672</v>
      </c>
      <c r="D2781" t="inlineStr">
        <is>
          <t>STOCKHOLMS LÄN</t>
        </is>
      </c>
      <c r="E2781" t="inlineStr">
        <is>
          <t>NORRTÄLJE</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40030-2023</t>
        </is>
      </c>
      <c r="B2782" s="1" t="n">
        <v>45168</v>
      </c>
      <c r="C2782" s="1" t="n">
        <v>45672</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40168-2023</t>
        </is>
      </c>
      <c r="B2783" s="1" t="n">
        <v>45169</v>
      </c>
      <c r="C2783" s="1" t="n">
        <v>45672</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40139-2023</t>
        </is>
      </c>
      <c r="B2784" s="1" t="n">
        <v>45169</v>
      </c>
      <c r="C2784" s="1" t="n">
        <v>45672</v>
      </c>
      <c r="D2784" t="inlineStr">
        <is>
          <t>STOCKHOLMS LÄN</t>
        </is>
      </c>
      <c r="E2784" t="inlineStr">
        <is>
          <t>NORRTÄLJE</t>
        </is>
      </c>
      <c r="F2784" t="inlineStr">
        <is>
          <t>Kyrkan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40192-2023</t>
        </is>
      </c>
      <c r="B2785" s="1" t="n">
        <v>45169</v>
      </c>
      <c r="C2785" s="1" t="n">
        <v>45672</v>
      </c>
      <c r="D2785" t="inlineStr">
        <is>
          <t>STOCKHOLMS LÄN</t>
        </is>
      </c>
      <c r="E2785" t="inlineStr">
        <is>
          <t>NORRTÄLJE</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40161-2023</t>
        </is>
      </c>
      <c r="B2786" s="1" t="n">
        <v>45169</v>
      </c>
      <c r="C2786" s="1" t="n">
        <v>45672</v>
      </c>
      <c r="D2786" t="inlineStr">
        <is>
          <t>STOCKHOLMS LÄN</t>
        </is>
      </c>
      <c r="E2786" t="inlineStr">
        <is>
          <t>NORRTÄLJE</t>
        </is>
      </c>
      <c r="F2786" t="inlineStr">
        <is>
          <t>Kyrkan</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40190-2023</t>
        </is>
      </c>
      <c r="B2787" s="1" t="n">
        <v>45169</v>
      </c>
      <c r="C2787" s="1" t="n">
        <v>45672</v>
      </c>
      <c r="D2787" t="inlineStr">
        <is>
          <t>STOCKHOLMS LÄN</t>
        </is>
      </c>
      <c r="E2787" t="inlineStr">
        <is>
          <t>NORRTÄLJE</t>
        </is>
      </c>
      <c r="F2787" t="inlineStr">
        <is>
          <t>Kyrkan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40711-2023</t>
        </is>
      </c>
      <c r="B2788" s="1" t="n">
        <v>45169</v>
      </c>
      <c r="C2788" s="1" t="n">
        <v>45672</v>
      </c>
      <c r="D2788" t="inlineStr">
        <is>
          <t>STOCKHOLMS LÄN</t>
        </is>
      </c>
      <c r="E2788" t="inlineStr">
        <is>
          <t>SALEM</t>
        </is>
      </c>
      <c r="F2788" t="inlineStr">
        <is>
          <t>Kommuner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40379-2023</t>
        </is>
      </c>
      <c r="B2789" s="1" t="n">
        <v>45169</v>
      </c>
      <c r="C2789" s="1" t="n">
        <v>45672</v>
      </c>
      <c r="D2789" t="inlineStr">
        <is>
          <t>STOCKHOLMS LÄN</t>
        </is>
      </c>
      <c r="E2789" t="inlineStr">
        <is>
          <t>NORRTÄLJE</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40717-2023</t>
        </is>
      </c>
      <c r="B2790" s="1" t="n">
        <v>45169</v>
      </c>
      <c r="C2790" s="1" t="n">
        <v>45672</v>
      </c>
      <c r="D2790" t="inlineStr">
        <is>
          <t>STOCKHOLMS LÄN</t>
        </is>
      </c>
      <c r="E2790" t="inlineStr">
        <is>
          <t>SALEM</t>
        </is>
      </c>
      <c r="F2790" t="inlineStr">
        <is>
          <t>Kommuner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40338-2023</t>
        </is>
      </c>
      <c r="B2791" s="1" t="n">
        <v>45169</v>
      </c>
      <c r="C2791" s="1" t="n">
        <v>45672</v>
      </c>
      <c r="D2791" t="inlineStr">
        <is>
          <t>STOCKHOLMS LÄN</t>
        </is>
      </c>
      <c r="E2791" t="inlineStr">
        <is>
          <t>SIGTUNA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40597-2023</t>
        </is>
      </c>
      <c r="B2792" s="1" t="n">
        <v>45170</v>
      </c>
      <c r="C2792" s="1" t="n">
        <v>45672</v>
      </c>
      <c r="D2792" t="inlineStr">
        <is>
          <t>STOCKHOLMS LÄN</t>
        </is>
      </c>
      <c r="E2792" t="inlineStr">
        <is>
          <t>VÄRMDÖ</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40603-2023</t>
        </is>
      </c>
      <c r="B2793" s="1" t="n">
        <v>45170</v>
      </c>
      <c r="C2793" s="1" t="n">
        <v>45672</v>
      </c>
      <c r="D2793" t="inlineStr">
        <is>
          <t>STOCKHOLMS LÄN</t>
        </is>
      </c>
      <c r="E2793" t="inlineStr">
        <is>
          <t>SÖDERTÄLJE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41172-2023</t>
        </is>
      </c>
      <c r="B2794" s="1" t="n">
        <v>45170</v>
      </c>
      <c r="C2794" s="1" t="n">
        <v>45672</v>
      </c>
      <c r="D2794" t="inlineStr">
        <is>
          <t>STOCKHOLMS LÄN</t>
        </is>
      </c>
      <c r="E2794" t="inlineStr">
        <is>
          <t>NORRTÄLJE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40995-2023</t>
        </is>
      </c>
      <c r="B2795" s="1" t="n">
        <v>45173</v>
      </c>
      <c r="C2795" s="1" t="n">
        <v>45672</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41049-2023</t>
        </is>
      </c>
      <c r="B2796" s="1" t="n">
        <v>45173</v>
      </c>
      <c r="C2796" s="1" t="n">
        <v>45672</v>
      </c>
      <c r="D2796" t="inlineStr">
        <is>
          <t>STOCKHOLMS LÄN</t>
        </is>
      </c>
      <c r="E2796" t="inlineStr">
        <is>
          <t>NYNÄSHAMN</t>
        </is>
      </c>
      <c r="F2796" t="inlineStr">
        <is>
          <t>Kyrkan</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40978-2023</t>
        </is>
      </c>
      <c r="B2797" s="1" t="n">
        <v>45173</v>
      </c>
      <c r="C2797" s="1" t="n">
        <v>45672</v>
      </c>
      <c r="D2797" t="inlineStr">
        <is>
          <t>STOCKHOLMS LÄN</t>
        </is>
      </c>
      <c r="E2797" t="inlineStr">
        <is>
          <t>BOTKYRKA</t>
        </is>
      </c>
      <c r="G2797" t="n">
        <v>2.1</v>
      </c>
      <c r="H2797" t="n">
        <v>0</v>
      </c>
      <c r="I2797" t="n">
        <v>0</v>
      </c>
      <c r="J2797" t="n">
        <v>0</v>
      </c>
      <c r="K2797" t="n">
        <v>0</v>
      </c>
      <c r="L2797" t="n">
        <v>0</v>
      </c>
      <c r="M2797" t="n">
        <v>0</v>
      </c>
      <c r="N2797" t="n">
        <v>0</v>
      </c>
      <c r="O2797" t="n">
        <v>0</v>
      </c>
      <c r="P2797" t="n">
        <v>0</v>
      </c>
      <c r="Q2797" t="n">
        <v>0</v>
      </c>
      <c r="R2797" s="2" t="inlineStr"/>
      <c r="U2797">
        <f>HYPERLINK("https://klasma.github.io/Logging_0127/knärot/A 40978-2023 karta knärot.png", "A 40978-2023")</f>
        <v/>
      </c>
      <c r="V2797">
        <f>HYPERLINK("https://klasma.github.io/Logging_0127/klagomål/A 40978-2023 FSC-klagomål.docx", "A 40978-2023")</f>
        <v/>
      </c>
      <c r="W2797">
        <f>HYPERLINK("https://klasma.github.io/Logging_0127/klagomålsmail/A 40978-2023 FSC-klagomål mail.docx", "A 40978-2023")</f>
        <v/>
      </c>
      <c r="X2797">
        <f>HYPERLINK("https://klasma.github.io/Logging_0127/tillsyn/A 40978-2023 tillsynsbegäran.docx", "A 40978-2023")</f>
        <v/>
      </c>
      <c r="Y2797">
        <f>HYPERLINK("https://klasma.github.io/Logging_0127/tillsynsmail/A 40978-2023 tillsynsbegäran mail.docx", "A 40978-2023")</f>
        <v/>
      </c>
    </row>
    <row r="2798" ht="15" customHeight="1">
      <c r="A2798" t="inlineStr">
        <is>
          <t>A 41111-2023</t>
        </is>
      </c>
      <c r="B2798" s="1" t="n">
        <v>45173</v>
      </c>
      <c r="C2798" s="1" t="n">
        <v>45672</v>
      </c>
      <c r="D2798" t="inlineStr">
        <is>
          <t>STOCKHOLMS LÄN</t>
        </is>
      </c>
      <c r="E2798" t="inlineStr">
        <is>
          <t>SÖDERTÄLJE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41115-2023</t>
        </is>
      </c>
      <c r="B2799" s="1" t="n">
        <v>45173</v>
      </c>
      <c r="C2799" s="1" t="n">
        <v>45672</v>
      </c>
      <c r="D2799" t="inlineStr">
        <is>
          <t>STOCKHOLMS LÄN</t>
        </is>
      </c>
      <c r="E2799" t="inlineStr">
        <is>
          <t>SÖDERTÄLJE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41113-2023</t>
        </is>
      </c>
      <c r="B2800" s="1" t="n">
        <v>45173</v>
      </c>
      <c r="C2800" s="1" t="n">
        <v>45672</v>
      </c>
      <c r="D2800" t="inlineStr">
        <is>
          <t>STOCKHOLMS LÄN</t>
        </is>
      </c>
      <c r="E2800" t="inlineStr">
        <is>
          <t>SÖDERTÄLJE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41116-2023</t>
        </is>
      </c>
      <c r="B2801" s="1" t="n">
        <v>45173</v>
      </c>
      <c r="C2801" s="1" t="n">
        <v>45672</v>
      </c>
      <c r="D2801" t="inlineStr">
        <is>
          <t>STOCKHOLMS LÄN</t>
        </is>
      </c>
      <c r="E2801" t="inlineStr">
        <is>
          <t>SÖDERTÄLJE</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41141-2023</t>
        </is>
      </c>
      <c r="B2802" s="1" t="n">
        <v>45173</v>
      </c>
      <c r="C2802" s="1" t="n">
        <v>45672</v>
      </c>
      <c r="D2802" t="inlineStr">
        <is>
          <t>STOCKHOLMS LÄN</t>
        </is>
      </c>
      <c r="E2802" t="inlineStr">
        <is>
          <t>SÖDERTÄLJE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41673-2023</t>
        </is>
      </c>
      <c r="B2803" s="1" t="n">
        <v>45173</v>
      </c>
      <c r="C2803" s="1" t="n">
        <v>45672</v>
      </c>
      <c r="D2803" t="inlineStr">
        <is>
          <t>STOCKHOLMS LÄN</t>
        </is>
      </c>
      <c r="E2803" t="inlineStr">
        <is>
          <t>NYNÄSHAMN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41681-2023</t>
        </is>
      </c>
      <c r="B2804" s="1" t="n">
        <v>45173</v>
      </c>
      <c r="C2804" s="1" t="n">
        <v>45672</v>
      </c>
      <c r="D2804" t="inlineStr">
        <is>
          <t>STOCKHOLMS LÄN</t>
        </is>
      </c>
      <c r="E2804" t="inlineStr">
        <is>
          <t>NYKVARN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41677-2023</t>
        </is>
      </c>
      <c r="B2805" s="1" t="n">
        <v>45173</v>
      </c>
      <c r="C2805" s="1" t="n">
        <v>45672</v>
      </c>
      <c r="D2805" t="inlineStr">
        <is>
          <t>STOCKHOLMS LÄN</t>
        </is>
      </c>
      <c r="E2805" t="inlineStr">
        <is>
          <t>NYNÄSHAMN</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41680-2023</t>
        </is>
      </c>
      <c r="B2806" s="1" t="n">
        <v>45173</v>
      </c>
      <c r="C2806" s="1" t="n">
        <v>45672</v>
      </c>
      <c r="D2806" t="inlineStr">
        <is>
          <t>STOCKHOLMS LÄN</t>
        </is>
      </c>
      <c r="E2806" t="inlineStr">
        <is>
          <t>NYNÄSHAMN</t>
        </is>
      </c>
      <c r="G2806" t="n">
        <v>12.3</v>
      </c>
      <c r="H2806" t="n">
        <v>0</v>
      </c>
      <c r="I2806" t="n">
        <v>0</v>
      </c>
      <c r="J2806" t="n">
        <v>0</v>
      </c>
      <c r="K2806" t="n">
        <v>0</v>
      </c>
      <c r="L2806" t="n">
        <v>0</v>
      </c>
      <c r="M2806" t="n">
        <v>0</v>
      </c>
      <c r="N2806" t="n">
        <v>0</v>
      </c>
      <c r="O2806" t="n">
        <v>0</v>
      </c>
      <c r="P2806" t="n">
        <v>0</v>
      </c>
      <c r="Q2806" t="n">
        <v>0</v>
      </c>
      <c r="R2806" s="2" t="inlineStr"/>
    </row>
    <row r="2807" ht="15" customHeight="1">
      <c r="A2807" t="inlineStr">
        <is>
          <t>A 41335-2023</t>
        </is>
      </c>
      <c r="B2807" s="1" t="n">
        <v>45174</v>
      </c>
      <c r="C2807" s="1" t="n">
        <v>45672</v>
      </c>
      <c r="D2807" t="inlineStr">
        <is>
          <t>STOCKHOLMS LÄN</t>
        </is>
      </c>
      <c r="E2807" t="inlineStr">
        <is>
          <t>NORRTÄLJE</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41587-2023</t>
        </is>
      </c>
      <c r="B2808" s="1" t="n">
        <v>45175</v>
      </c>
      <c r="C2808" s="1" t="n">
        <v>45672</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41702-2023</t>
        </is>
      </c>
      <c r="B2809" s="1" t="n">
        <v>45176</v>
      </c>
      <c r="C2809" s="1" t="n">
        <v>45672</v>
      </c>
      <c r="D2809" t="inlineStr">
        <is>
          <t>STOCKHOLMS LÄN</t>
        </is>
      </c>
      <c r="E2809" t="inlineStr">
        <is>
          <t>SIGTUNA</t>
        </is>
      </c>
      <c r="F2809" t="inlineStr">
        <is>
          <t>Allmännings- och besparingsskogar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41716-2023</t>
        </is>
      </c>
      <c r="B2810" s="1" t="n">
        <v>45176</v>
      </c>
      <c r="C2810" s="1" t="n">
        <v>45672</v>
      </c>
      <c r="D2810" t="inlineStr">
        <is>
          <t>STOCKHOLMS LÄN</t>
        </is>
      </c>
      <c r="E2810" t="inlineStr">
        <is>
          <t>NORRTÄLJE</t>
        </is>
      </c>
      <c r="F2810" t="inlineStr">
        <is>
          <t>Kyrkan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41715-2023</t>
        </is>
      </c>
      <c r="B2811" s="1" t="n">
        <v>45176</v>
      </c>
      <c r="C2811" s="1" t="n">
        <v>45672</v>
      </c>
      <c r="D2811" t="inlineStr">
        <is>
          <t>STOCKHOLMS LÄN</t>
        </is>
      </c>
      <c r="E2811" t="inlineStr">
        <is>
          <t>NORRTÄLJE</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41723-2023</t>
        </is>
      </c>
      <c r="B2812" s="1" t="n">
        <v>45176</v>
      </c>
      <c r="C2812" s="1" t="n">
        <v>45672</v>
      </c>
      <c r="D2812" t="inlineStr">
        <is>
          <t>STOCKHOLMS LÄN</t>
        </is>
      </c>
      <c r="E2812" t="inlineStr">
        <is>
          <t>SIGTUNA</t>
        </is>
      </c>
      <c r="F2812" t="inlineStr">
        <is>
          <t>Allmännings- och besparingsskogar</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41880-2023</t>
        </is>
      </c>
      <c r="B2813" s="1" t="n">
        <v>45176</v>
      </c>
      <c r="C2813" s="1" t="n">
        <v>45672</v>
      </c>
      <c r="D2813" t="inlineStr">
        <is>
          <t>STOCKHOLMS LÄN</t>
        </is>
      </c>
      <c r="E2813" t="inlineStr">
        <is>
          <t>NORRTÄLJE</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41952-2023</t>
        </is>
      </c>
      <c r="B2814" s="1" t="n">
        <v>45177</v>
      </c>
      <c r="C2814" s="1" t="n">
        <v>45672</v>
      </c>
      <c r="D2814" t="inlineStr">
        <is>
          <t>STOCKHOLMS LÄN</t>
        </is>
      </c>
      <c r="E2814" t="inlineStr">
        <is>
          <t>SIGTUNA</t>
        </is>
      </c>
      <c r="F2814" t="inlineStr">
        <is>
          <t>Allmännings- och besparingsskogar</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42094-2023</t>
        </is>
      </c>
      <c r="B2815" s="1" t="n">
        <v>45177</v>
      </c>
      <c r="C2815" s="1" t="n">
        <v>45672</v>
      </c>
      <c r="D2815" t="inlineStr">
        <is>
          <t>STOCKHOLMS LÄN</t>
        </is>
      </c>
      <c r="E2815" t="inlineStr">
        <is>
          <t>NORRTÄLJE</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42075-2023</t>
        </is>
      </c>
      <c r="B2816" s="1" t="n">
        <v>45177</v>
      </c>
      <c r="C2816" s="1" t="n">
        <v>45672</v>
      </c>
      <c r="D2816" t="inlineStr">
        <is>
          <t>STOCKHOLMS LÄN</t>
        </is>
      </c>
      <c r="E2816" t="inlineStr">
        <is>
          <t>NORRTÄLJE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42133-2023</t>
        </is>
      </c>
      <c r="B2817" s="1" t="n">
        <v>45177</v>
      </c>
      <c r="C2817" s="1" t="n">
        <v>45672</v>
      </c>
      <c r="D2817" t="inlineStr">
        <is>
          <t>STOCKHOLMS LÄN</t>
        </is>
      </c>
      <c r="E2817" t="inlineStr">
        <is>
          <t>SÖDERTÄLJE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42199-2023</t>
        </is>
      </c>
      <c r="B2818" s="1" t="n">
        <v>45179</v>
      </c>
      <c r="C2818" s="1" t="n">
        <v>45672</v>
      </c>
      <c r="D2818" t="inlineStr">
        <is>
          <t>STOCKHOLMS LÄN</t>
        </is>
      </c>
      <c r="E2818" t="inlineStr">
        <is>
          <t>NORRTÄLJE</t>
        </is>
      </c>
      <c r="F2818" t="inlineStr">
        <is>
          <t>Sveaskog</t>
        </is>
      </c>
      <c r="G2818" t="n">
        <v>8.699999999999999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42200-2023</t>
        </is>
      </c>
      <c r="B2819" s="1" t="n">
        <v>45179</v>
      </c>
      <c r="C2819" s="1" t="n">
        <v>45672</v>
      </c>
      <c r="D2819" t="inlineStr">
        <is>
          <t>STOCKHOLMS LÄN</t>
        </is>
      </c>
      <c r="E2819" t="inlineStr">
        <is>
          <t>NORRTÄLJE</t>
        </is>
      </c>
      <c r="F2819" t="inlineStr">
        <is>
          <t>Sveaskog</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42716-2023</t>
        </is>
      </c>
      <c r="B2820" s="1" t="n">
        <v>45181</v>
      </c>
      <c r="C2820" s="1" t="n">
        <v>45672</v>
      </c>
      <c r="D2820" t="inlineStr">
        <is>
          <t>STOCKHOLMS LÄN</t>
        </is>
      </c>
      <c r="E2820" t="inlineStr">
        <is>
          <t>VALLENTUNA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42727-2023</t>
        </is>
      </c>
      <c r="B2821" s="1" t="n">
        <v>45181</v>
      </c>
      <c r="C2821" s="1" t="n">
        <v>45672</v>
      </c>
      <c r="D2821" t="inlineStr">
        <is>
          <t>STOCKHOLMS LÄN</t>
        </is>
      </c>
      <c r="E2821" t="inlineStr">
        <is>
          <t>VALLENTUNA</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42765-2023</t>
        </is>
      </c>
      <c r="B2822" s="1" t="n">
        <v>45181</v>
      </c>
      <c r="C2822" s="1" t="n">
        <v>45672</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42775-2023</t>
        </is>
      </c>
      <c r="B2823" s="1" t="n">
        <v>45181</v>
      </c>
      <c r="C2823" s="1" t="n">
        <v>45672</v>
      </c>
      <c r="D2823" t="inlineStr">
        <is>
          <t>STOCKHOLMS LÄN</t>
        </is>
      </c>
      <c r="E2823" t="inlineStr">
        <is>
          <t>NORRTÄLJE</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42948-2023</t>
        </is>
      </c>
      <c r="B2824" s="1" t="n">
        <v>45182</v>
      </c>
      <c r="C2824" s="1" t="n">
        <v>45672</v>
      </c>
      <c r="D2824" t="inlineStr">
        <is>
          <t>STOCKHOLMS LÄN</t>
        </is>
      </c>
      <c r="E2824" t="inlineStr">
        <is>
          <t>NORRTÄLJE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42977-2023</t>
        </is>
      </c>
      <c r="B2825" s="1" t="n">
        <v>45182</v>
      </c>
      <c r="C2825" s="1" t="n">
        <v>45672</v>
      </c>
      <c r="D2825" t="inlineStr">
        <is>
          <t>STOCKHOLMS LÄN</t>
        </is>
      </c>
      <c r="E2825" t="inlineStr">
        <is>
          <t>NORRTÄLJE</t>
        </is>
      </c>
      <c r="F2825" t="inlineStr">
        <is>
          <t>Sveaskog</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43036-2023</t>
        </is>
      </c>
      <c r="B2826" s="1" t="n">
        <v>45182</v>
      </c>
      <c r="C2826" s="1" t="n">
        <v>45672</v>
      </c>
      <c r="D2826" t="inlineStr">
        <is>
          <t>STOCKHOLMS LÄN</t>
        </is>
      </c>
      <c r="E2826" t="inlineStr">
        <is>
          <t>SALEM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43140-2023</t>
        </is>
      </c>
      <c r="B2827" s="1" t="n">
        <v>45183</v>
      </c>
      <c r="C2827" s="1" t="n">
        <v>45672</v>
      </c>
      <c r="D2827" t="inlineStr">
        <is>
          <t>STOCKHOLMS LÄN</t>
        </is>
      </c>
      <c r="E2827" t="inlineStr">
        <is>
          <t>NORRTÄLJE</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43207-2023</t>
        </is>
      </c>
      <c r="B2828" s="1" t="n">
        <v>45183</v>
      </c>
      <c r="C2828" s="1" t="n">
        <v>45672</v>
      </c>
      <c r="D2828" t="inlineStr">
        <is>
          <t>STOCKHOLMS LÄN</t>
        </is>
      </c>
      <c r="E2828" t="inlineStr">
        <is>
          <t>NORRTÄLJE</t>
        </is>
      </c>
      <c r="F2828" t="inlineStr">
        <is>
          <t>Kyrkan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43150-2023</t>
        </is>
      </c>
      <c r="B2829" s="1" t="n">
        <v>45183</v>
      </c>
      <c r="C2829" s="1" t="n">
        <v>45672</v>
      </c>
      <c r="D2829" t="inlineStr">
        <is>
          <t>STOCKHOLMS LÄN</t>
        </is>
      </c>
      <c r="E2829" t="inlineStr">
        <is>
          <t>NORRTÄLJE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43170-2023</t>
        </is>
      </c>
      <c r="B2830" s="1" t="n">
        <v>45183</v>
      </c>
      <c r="C2830" s="1" t="n">
        <v>45672</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43193-2023</t>
        </is>
      </c>
      <c r="B2831" s="1" t="n">
        <v>45183</v>
      </c>
      <c r="C2831" s="1" t="n">
        <v>45672</v>
      </c>
      <c r="D2831" t="inlineStr">
        <is>
          <t>STOCKHOLMS LÄN</t>
        </is>
      </c>
      <c r="E2831" t="inlineStr">
        <is>
          <t>NYNÄSHAMN</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43289-2023</t>
        </is>
      </c>
      <c r="B2832" s="1" t="n">
        <v>45183</v>
      </c>
      <c r="C2832" s="1" t="n">
        <v>45672</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43300-2023</t>
        </is>
      </c>
      <c r="B2833" s="1" t="n">
        <v>45183</v>
      </c>
      <c r="C2833" s="1" t="n">
        <v>45672</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43593-2023</t>
        </is>
      </c>
      <c r="B2834" s="1" t="n">
        <v>45184</v>
      </c>
      <c r="C2834" s="1" t="n">
        <v>45672</v>
      </c>
      <c r="D2834" t="inlineStr">
        <is>
          <t>STOCKHOLMS LÄN</t>
        </is>
      </c>
      <c r="E2834" t="inlineStr">
        <is>
          <t>SIGTUNA</t>
        </is>
      </c>
      <c r="F2834" t="inlineStr">
        <is>
          <t>Allmännings- och besparingsskogar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44624-2023</t>
        </is>
      </c>
      <c r="B2835" s="1" t="n">
        <v>45184</v>
      </c>
      <c r="C2835" s="1" t="n">
        <v>45672</v>
      </c>
      <c r="D2835" t="inlineStr">
        <is>
          <t>STOCKHOLMS LÄN</t>
        </is>
      </c>
      <c r="E2835" t="inlineStr">
        <is>
          <t>NYNÄSHAMN</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43638-2023</t>
        </is>
      </c>
      <c r="B2836" s="1" t="n">
        <v>45186</v>
      </c>
      <c r="C2836" s="1" t="n">
        <v>45672</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43684-2023</t>
        </is>
      </c>
      <c r="B2837" s="1" t="n">
        <v>45187</v>
      </c>
      <c r="C2837" s="1" t="n">
        <v>45672</v>
      </c>
      <c r="D2837" t="inlineStr">
        <is>
          <t>STOCKHOLMS LÄN</t>
        </is>
      </c>
      <c r="E2837" t="inlineStr">
        <is>
          <t>NORRTÄLJE</t>
        </is>
      </c>
      <c r="F2837" t="inlineStr">
        <is>
          <t>Holmen skog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43700-2023</t>
        </is>
      </c>
      <c r="B2838" s="1" t="n">
        <v>45187</v>
      </c>
      <c r="C2838" s="1" t="n">
        <v>45672</v>
      </c>
      <c r="D2838" t="inlineStr">
        <is>
          <t>STOCKHOLMS LÄN</t>
        </is>
      </c>
      <c r="E2838" t="inlineStr">
        <is>
          <t>SIGTUNA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43836-2023</t>
        </is>
      </c>
      <c r="B2839" s="1" t="n">
        <v>45187</v>
      </c>
      <c r="C2839" s="1" t="n">
        <v>45672</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43710-2023</t>
        </is>
      </c>
      <c r="B2840" s="1" t="n">
        <v>45187</v>
      </c>
      <c r="C2840" s="1" t="n">
        <v>45672</v>
      </c>
      <c r="D2840" t="inlineStr">
        <is>
          <t>STOCKHOLMS LÄN</t>
        </is>
      </c>
      <c r="E2840" t="inlineStr">
        <is>
          <t>NORRTÄLJE</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44891-2023</t>
        </is>
      </c>
      <c r="B2841" s="1" t="n">
        <v>45187</v>
      </c>
      <c r="C2841" s="1" t="n">
        <v>45672</v>
      </c>
      <c r="D2841" t="inlineStr">
        <is>
          <t>STOCKHOLMS LÄN</t>
        </is>
      </c>
      <c r="E2841" t="inlineStr">
        <is>
          <t>NORRTÄLJE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44885-2023</t>
        </is>
      </c>
      <c r="B2842" s="1" t="n">
        <v>45187</v>
      </c>
      <c r="C2842" s="1" t="n">
        <v>45672</v>
      </c>
      <c r="D2842" t="inlineStr">
        <is>
          <t>STOCKHOLMS LÄN</t>
        </is>
      </c>
      <c r="E2842" t="inlineStr">
        <is>
          <t>NORRTÄLJE</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44075-2023</t>
        </is>
      </c>
      <c r="B2843" s="1" t="n">
        <v>45188</v>
      </c>
      <c r="C2843" s="1" t="n">
        <v>45672</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44154-2023</t>
        </is>
      </c>
      <c r="B2844" s="1" t="n">
        <v>45188</v>
      </c>
      <c r="C2844" s="1" t="n">
        <v>45672</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44619-2023</t>
        </is>
      </c>
      <c r="B2845" s="1" t="n">
        <v>45189</v>
      </c>
      <c r="C2845" s="1" t="n">
        <v>45672</v>
      </c>
      <c r="D2845" t="inlineStr">
        <is>
          <t>STOCKHOLMS LÄN</t>
        </is>
      </c>
      <c r="E2845" t="inlineStr">
        <is>
          <t>NYNÄSHAMN</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44571-2023</t>
        </is>
      </c>
      <c r="B2846" s="1" t="n">
        <v>45189</v>
      </c>
      <c r="C2846" s="1" t="n">
        <v>45672</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44836-2023</t>
        </is>
      </c>
      <c r="B2847" s="1" t="n">
        <v>45190</v>
      </c>
      <c r="C2847" s="1" t="n">
        <v>45672</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45173-2023</t>
        </is>
      </c>
      <c r="B2848" s="1" t="n">
        <v>45191</v>
      </c>
      <c r="C2848" s="1" t="n">
        <v>45672</v>
      </c>
      <c r="D2848" t="inlineStr">
        <is>
          <t>STOCKHOLMS LÄN</t>
        </is>
      </c>
      <c r="E2848" t="inlineStr">
        <is>
          <t>NORRTÄLJE</t>
        </is>
      </c>
      <c r="F2848" t="inlineStr">
        <is>
          <t>Sveaskog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45319-2023</t>
        </is>
      </c>
      <c r="B2849" s="1" t="n">
        <v>45191</v>
      </c>
      <c r="C2849" s="1" t="n">
        <v>45672</v>
      </c>
      <c r="D2849" t="inlineStr">
        <is>
          <t>STOCKHOLMS LÄN</t>
        </is>
      </c>
      <c r="E2849" t="inlineStr">
        <is>
          <t>SIGTUNA</t>
        </is>
      </c>
      <c r="F2849" t="inlineStr">
        <is>
          <t>Allmännings- och besparingsskogar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45174-2023</t>
        </is>
      </c>
      <c r="B2850" s="1" t="n">
        <v>45191</v>
      </c>
      <c r="C2850" s="1" t="n">
        <v>45672</v>
      </c>
      <c r="D2850" t="inlineStr">
        <is>
          <t>STOCKHOLMS LÄN</t>
        </is>
      </c>
      <c r="E2850" t="inlineStr">
        <is>
          <t>NORRTÄLJE</t>
        </is>
      </c>
      <c r="F2850" t="inlineStr">
        <is>
          <t>Sveaskog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46387-2023</t>
        </is>
      </c>
      <c r="B2851" s="1" t="n">
        <v>45193</v>
      </c>
      <c r="C2851" s="1" t="n">
        <v>45672</v>
      </c>
      <c r="D2851" t="inlineStr">
        <is>
          <t>STOCKHOLMS LÄN</t>
        </is>
      </c>
      <c r="E2851" t="inlineStr">
        <is>
          <t>VALLENTUNA</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46370-2023</t>
        </is>
      </c>
      <c r="B2852" s="1" t="n">
        <v>45193</v>
      </c>
      <c r="C2852" s="1" t="n">
        <v>45672</v>
      </c>
      <c r="D2852" t="inlineStr">
        <is>
          <t>STOCKHOLMS LÄN</t>
        </is>
      </c>
      <c r="E2852" t="inlineStr">
        <is>
          <t>VALLENTUNA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46381-2023</t>
        </is>
      </c>
      <c r="B2853" s="1" t="n">
        <v>45193</v>
      </c>
      <c r="C2853" s="1" t="n">
        <v>45672</v>
      </c>
      <c r="D2853" t="inlineStr">
        <is>
          <t>STOCKHOLMS LÄN</t>
        </is>
      </c>
      <c r="E2853" t="inlineStr">
        <is>
          <t>VALLENTUNA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45499-2023</t>
        </is>
      </c>
      <c r="B2854" s="1" t="n">
        <v>45194</v>
      </c>
      <c r="C2854" s="1" t="n">
        <v>45672</v>
      </c>
      <c r="D2854" t="inlineStr">
        <is>
          <t>STOCKHOLMS LÄN</t>
        </is>
      </c>
      <c r="E2854" t="inlineStr">
        <is>
          <t>VALLENTUNA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45496-2023</t>
        </is>
      </c>
      <c r="B2855" s="1" t="n">
        <v>45194</v>
      </c>
      <c r="C2855" s="1" t="n">
        <v>45672</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46942-2023</t>
        </is>
      </c>
      <c r="B2856" s="1" t="n">
        <v>45195</v>
      </c>
      <c r="C2856" s="1" t="n">
        <v>45672</v>
      </c>
      <c r="D2856" t="inlineStr">
        <is>
          <t>STOCKHOLMS LÄN</t>
        </is>
      </c>
      <c r="E2856" t="inlineStr">
        <is>
          <t>BOTKYRKA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46161-2023</t>
        </is>
      </c>
      <c r="B2857" s="1" t="n">
        <v>45196</v>
      </c>
      <c r="C2857" s="1" t="n">
        <v>45672</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46155-2023</t>
        </is>
      </c>
      <c r="B2858" s="1" t="n">
        <v>45196</v>
      </c>
      <c r="C2858" s="1" t="n">
        <v>45672</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47128-2023</t>
        </is>
      </c>
      <c r="B2859" s="1" t="n">
        <v>45196</v>
      </c>
      <c r="C2859" s="1" t="n">
        <v>45672</v>
      </c>
      <c r="D2859" t="inlineStr">
        <is>
          <t>STOCKHOLMS LÄN</t>
        </is>
      </c>
      <c r="E2859" t="inlineStr">
        <is>
          <t>NYNÄSHAMN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47013-2023</t>
        </is>
      </c>
      <c r="B2860" s="1" t="n">
        <v>45196</v>
      </c>
      <c r="C2860" s="1" t="n">
        <v>45672</v>
      </c>
      <c r="D2860" t="inlineStr">
        <is>
          <t>STOCKHOLMS LÄN</t>
        </is>
      </c>
      <c r="E2860" t="inlineStr">
        <is>
          <t>NYNÄSHAMN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47093-2023</t>
        </is>
      </c>
      <c r="B2861" s="1" t="n">
        <v>45196</v>
      </c>
      <c r="C2861" s="1" t="n">
        <v>45672</v>
      </c>
      <c r="D2861" t="inlineStr">
        <is>
          <t>STOCKHOLMS LÄN</t>
        </is>
      </c>
      <c r="E2861" t="inlineStr">
        <is>
          <t>NYNÄSHAMN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47115-2023</t>
        </is>
      </c>
      <c r="B2862" s="1" t="n">
        <v>45196</v>
      </c>
      <c r="C2862" s="1" t="n">
        <v>45672</v>
      </c>
      <c r="D2862" t="inlineStr">
        <is>
          <t>STOCKHOLMS LÄN</t>
        </is>
      </c>
      <c r="E2862" t="inlineStr">
        <is>
          <t>NYNÄSHAMN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47001-2023</t>
        </is>
      </c>
      <c r="B2863" s="1" t="n">
        <v>45196</v>
      </c>
      <c r="C2863" s="1" t="n">
        <v>45672</v>
      </c>
      <c r="D2863" t="inlineStr">
        <is>
          <t>STOCKHOLMS LÄN</t>
        </is>
      </c>
      <c r="E2863" t="inlineStr">
        <is>
          <t>NYNÄSHAMN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47089-2023</t>
        </is>
      </c>
      <c r="B2864" s="1" t="n">
        <v>45196</v>
      </c>
      <c r="C2864" s="1" t="n">
        <v>45672</v>
      </c>
      <c r="D2864" t="inlineStr">
        <is>
          <t>STOCKHOLMS LÄN</t>
        </is>
      </c>
      <c r="E2864" t="inlineStr">
        <is>
          <t>NYNÄSHAMN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46438-2023</t>
        </is>
      </c>
      <c r="B2865" s="1" t="n">
        <v>45197</v>
      </c>
      <c r="C2865" s="1" t="n">
        <v>45672</v>
      </c>
      <c r="D2865" t="inlineStr">
        <is>
          <t>STOCKHOLMS LÄN</t>
        </is>
      </c>
      <c r="E2865" t="inlineStr">
        <is>
          <t>UPPLANDS-BRO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46451-2023</t>
        </is>
      </c>
      <c r="B2866" s="1" t="n">
        <v>45197</v>
      </c>
      <c r="C2866" s="1" t="n">
        <v>45672</v>
      </c>
      <c r="D2866" t="inlineStr">
        <is>
          <t>STOCKHOLMS LÄN</t>
        </is>
      </c>
      <c r="E2866" t="inlineStr">
        <is>
          <t>UPPLANDS-BRO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46348-2023</t>
        </is>
      </c>
      <c r="B2867" s="1" t="n">
        <v>45197</v>
      </c>
      <c r="C2867" s="1" t="n">
        <v>45672</v>
      </c>
      <c r="D2867" t="inlineStr">
        <is>
          <t>STOCKHOLMS LÄN</t>
        </is>
      </c>
      <c r="E2867" t="inlineStr">
        <is>
          <t>SALEM</t>
        </is>
      </c>
      <c r="F2867" t="inlineStr">
        <is>
          <t>Kommuner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46443-2023</t>
        </is>
      </c>
      <c r="B2868" s="1" t="n">
        <v>45197</v>
      </c>
      <c r="C2868" s="1" t="n">
        <v>45672</v>
      </c>
      <c r="D2868" t="inlineStr">
        <is>
          <t>STOCKHOLMS LÄN</t>
        </is>
      </c>
      <c r="E2868" t="inlineStr">
        <is>
          <t>UPPLANDS-BRO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47576-2023</t>
        </is>
      </c>
      <c r="B2869" s="1" t="n">
        <v>45197</v>
      </c>
      <c r="C2869" s="1" t="n">
        <v>45672</v>
      </c>
      <c r="D2869" t="inlineStr">
        <is>
          <t>STOCKHOLMS LÄN</t>
        </is>
      </c>
      <c r="E2869" t="inlineStr">
        <is>
          <t>SÖDERTÄLJE</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46621-2023</t>
        </is>
      </c>
      <c r="B2870" s="1" t="n">
        <v>45198</v>
      </c>
      <c r="C2870" s="1" t="n">
        <v>45672</v>
      </c>
      <c r="D2870" t="inlineStr">
        <is>
          <t>STOCKHOLMS LÄN</t>
        </is>
      </c>
      <c r="E2870" t="inlineStr">
        <is>
          <t>NORRTÄLJE</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46757-2023</t>
        </is>
      </c>
      <c r="B2871" s="1" t="n">
        <v>45198</v>
      </c>
      <c r="C2871" s="1" t="n">
        <v>45672</v>
      </c>
      <c r="D2871" t="inlineStr">
        <is>
          <t>STOCKHOLMS LÄN</t>
        </is>
      </c>
      <c r="E2871" t="inlineStr">
        <is>
          <t>SIGTUNA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47714-2023</t>
        </is>
      </c>
      <c r="B2872" s="1" t="n">
        <v>45198</v>
      </c>
      <c r="C2872" s="1" t="n">
        <v>45672</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46919-2023</t>
        </is>
      </c>
      <c r="B2873" s="1" t="n">
        <v>45201</v>
      </c>
      <c r="C2873" s="1" t="n">
        <v>45672</v>
      </c>
      <c r="D2873" t="inlineStr">
        <is>
          <t>STOCKHOLMS LÄN</t>
        </is>
      </c>
      <c r="E2873" t="inlineStr">
        <is>
          <t>SALEM</t>
        </is>
      </c>
      <c r="F2873" t="inlineStr">
        <is>
          <t>Kommuner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47204-2023</t>
        </is>
      </c>
      <c r="B2874" s="1" t="n">
        <v>45202</v>
      </c>
      <c r="C2874" s="1" t="n">
        <v>45672</v>
      </c>
      <c r="D2874" t="inlineStr">
        <is>
          <t>STOCKHOLMS LÄN</t>
        </is>
      </c>
      <c r="E2874" t="inlineStr">
        <is>
          <t>SIGTUNA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47419-2023</t>
        </is>
      </c>
      <c r="B2875" s="1" t="n">
        <v>45202</v>
      </c>
      <c r="C2875" s="1" t="n">
        <v>45672</v>
      </c>
      <c r="D2875" t="inlineStr">
        <is>
          <t>STOCKHOLMS LÄN</t>
        </is>
      </c>
      <c r="E2875" t="inlineStr">
        <is>
          <t>NORRTÄLJE</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47431-2023</t>
        </is>
      </c>
      <c r="B2876" s="1" t="n">
        <v>45202</v>
      </c>
      <c r="C2876" s="1" t="n">
        <v>45672</v>
      </c>
      <c r="D2876" t="inlineStr">
        <is>
          <t>STOCKHOLMS LÄN</t>
        </is>
      </c>
      <c r="E2876" t="inlineStr">
        <is>
          <t>NORRTÄLJE</t>
        </is>
      </c>
      <c r="F2876" t="inlineStr">
        <is>
          <t>Naturvårdsverket</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47325-2023</t>
        </is>
      </c>
      <c r="B2877" s="1" t="n">
        <v>45202</v>
      </c>
      <c r="C2877" s="1" t="n">
        <v>45672</v>
      </c>
      <c r="D2877" t="inlineStr">
        <is>
          <t>STOCKHOLMS LÄN</t>
        </is>
      </c>
      <c r="E2877" t="inlineStr">
        <is>
          <t>NORRTÄLJE</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47433-2023</t>
        </is>
      </c>
      <c r="B2878" s="1" t="n">
        <v>45202</v>
      </c>
      <c r="C2878" s="1" t="n">
        <v>45672</v>
      </c>
      <c r="D2878" t="inlineStr">
        <is>
          <t>STOCKHOLMS LÄN</t>
        </is>
      </c>
      <c r="E2878" t="inlineStr">
        <is>
          <t>NORRTÄLJE</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47388-2023</t>
        </is>
      </c>
      <c r="B2879" s="1" t="n">
        <v>45202</v>
      </c>
      <c r="C2879" s="1" t="n">
        <v>45672</v>
      </c>
      <c r="D2879" t="inlineStr">
        <is>
          <t>STOCKHOLMS LÄN</t>
        </is>
      </c>
      <c r="E2879" t="inlineStr">
        <is>
          <t>NORRTÄLJE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47430-2023</t>
        </is>
      </c>
      <c r="B2880" s="1" t="n">
        <v>45202</v>
      </c>
      <c r="C2880" s="1" t="n">
        <v>45672</v>
      </c>
      <c r="D2880" t="inlineStr">
        <is>
          <t>STOCKHOLMS LÄN</t>
        </is>
      </c>
      <c r="E2880" t="inlineStr">
        <is>
          <t>NORRTÄLJE</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49775-2023</t>
        </is>
      </c>
      <c r="B2881" s="1" t="n">
        <v>45202</v>
      </c>
      <c r="C2881" s="1" t="n">
        <v>45672</v>
      </c>
      <c r="D2881" t="inlineStr">
        <is>
          <t>STOCKHOLMS LÄN</t>
        </is>
      </c>
      <c r="E2881" t="inlineStr">
        <is>
          <t>NORRTÄLJE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48578-2023</t>
        </is>
      </c>
      <c r="B2882" s="1" t="n">
        <v>45202</v>
      </c>
      <c r="C2882" s="1" t="n">
        <v>45672</v>
      </c>
      <c r="D2882" t="inlineStr">
        <is>
          <t>STOCKHOLMS LÄN</t>
        </is>
      </c>
      <c r="E2882" t="inlineStr">
        <is>
          <t>NORRTÄLJE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49774-2023</t>
        </is>
      </c>
      <c r="B2883" s="1" t="n">
        <v>45202</v>
      </c>
      <c r="C2883" s="1" t="n">
        <v>45672</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47672-2023</t>
        </is>
      </c>
      <c r="B2884" s="1" t="n">
        <v>45203</v>
      </c>
      <c r="C2884" s="1" t="n">
        <v>45672</v>
      </c>
      <c r="D2884" t="inlineStr">
        <is>
          <t>STOCKHOLMS LÄN</t>
        </is>
      </c>
      <c r="E2884" t="inlineStr">
        <is>
          <t>NORRTÄLJE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47694-2023</t>
        </is>
      </c>
      <c r="B2885" s="1" t="n">
        <v>45203</v>
      </c>
      <c r="C2885" s="1" t="n">
        <v>45672</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47708-2023</t>
        </is>
      </c>
      <c r="B2886" s="1" t="n">
        <v>45203</v>
      </c>
      <c r="C2886" s="1" t="n">
        <v>45672</v>
      </c>
      <c r="D2886" t="inlineStr">
        <is>
          <t>STOCKHOLMS LÄN</t>
        </is>
      </c>
      <c r="E2886" t="inlineStr">
        <is>
          <t>NORRTÄLJE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47602-2023</t>
        </is>
      </c>
      <c r="B2887" s="1" t="n">
        <v>45203</v>
      </c>
      <c r="C2887" s="1" t="n">
        <v>45672</v>
      </c>
      <c r="D2887" t="inlineStr">
        <is>
          <t>STOCKHOLMS LÄN</t>
        </is>
      </c>
      <c r="E2887" t="inlineStr">
        <is>
          <t>UPPLANDS VÄSBY</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47758-2023</t>
        </is>
      </c>
      <c r="B2888" s="1" t="n">
        <v>45203</v>
      </c>
      <c r="C2888" s="1" t="n">
        <v>45672</v>
      </c>
      <c r="D2888" t="inlineStr">
        <is>
          <t>STOCKHOLMS LÄN</t>
        </is>
      </c>
      <c r="E2888" t="inlineStr">
        <is>
          <t>NORRTÄLJE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47699-2023</t>
        </is>
      </c>
      <c r="B2889" s="1" t="n">
        <v>45203</v>
      </c>
      <c r="C2889" s="1" t="n">
        <v>45672</v>
      </c>
      <c r="D2889" t="inlineStr">
        <is>
          <t>STOCKHOLMS LÄN</t>
        </is>
      </c>
      <c r="E2889" t="inlineStr">
        <is>
          <t>NORRTÄLJE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47735-2023</t>
        </is>
      </c>
      <c r="B2890" s="1" t="n">
        <v>45203</v>
      </c>
      <c r="C2890" s="1" t="n">
        <v>45672</v>
      </c>
      <c r="D2890" t="inlineStr">
        <is>
          <t>STOCKHOLMS LÄN</t>
        </is>
      </c>
      <c r="E2890" t="inlineStr">
        <is>
          <t>NORRTÄLJE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49160-2023</t>
        </is>
      </c>
      <c r="B2891" s="1" t="n">
        <v>45204</v>
      </c>
      <c r="C2891" s="1" t="n">
        <v>45672</v>
      </c>
      <c r="D2891" t="inlineStr">
        <is>
          <t>STOCKHOLMS LÄN</t>
        </is>
      </c>
      <c r="E2891" t="inlineStr">
        <is>
          <t>UPPLANDS-BRO</t>
        </is>
      </c>
      <c r="F2891" t="inlineStr">
        <is>
          <t>Allmännings- och besparingsskogar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48167-2023</t>
        </is>
      </c>
      <c r="B2892" s="1" t="n">
        <v>45205</v>
      </c>
      <c r="C2892" s="1" t="n">
        <v>45672</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48180-2023</t>
        </is>
      </c>
      <c r="B2893" s="1" t="n">
        <v>45205</v>
      </c>
      <c r="C2893" s="1" t="n">
        <v>45672</v>
      </c>
      <c r="D2893" t="inlineStr">
        <is>
          <t>STOCKHOLMS LÄN</t>
        </is>
      </c>
      <c r="E2893" t="inlineStr">
        <is>
          <t>NORRTÄLJE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48185-2023</t>
        </is>
      </c>
      <c r="B2894" s="1" t="n">
        <v>45205</v>
      </c>
      <c r="C2894" s="1" t="n">
        <v>45672</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48302-2023</t>
        </is>
      </c>
      <c r="B2895" s="1" t="n">
        <v>45205</v>
      </c>
      <c r="C2895" s="1" t="n">
        <v>45672</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48333-2023</t>
        </is>
      </c>
      <c r="B2896" s="1" t="n">
        <v>45205</v>
      </c>
      <c r="C2896" s="1" t="n">
        <v>45672</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49530-2023</t>
        </is>
      </c>
      <c r="B2897" s="1" t="n">
        <v>45205</v>
      </c>
      <c r="C2897" s="1" t="n">
        <v>45672</v>
      </c>
      <c r="D2897" t="inlineStr">
        <is>
          <t>STOCKHOLMS LÄN</t>
        </is>
      </c>
      <c r="E2897" t="inlineStr">
        <is>
          <t>VALLENTUNA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49577-2023</t>
        </is>
      </c>
      <c r="B2898" s="1" t="n">
        <v>45205</v>
      </c>
      <c r="C2898" s="1" t="n">
        <v>45672</v>
      </c>
      <c r="D2898" t="inlineStr">
        <is>
          <t>STOCKHOLMS LÄN</t>
        </is>
      </c>
      <c r="E2898" t="inlineStr">
        <is>
          <t>VALLENTUNA</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49597-2023</t>
        </is>
      </c>
      <c r="B2899" s="1" t="n">
        <v>45205</v>
      </c>
      <c r="C2899" s="1" t="n">
        <v>45672</v>
      </c>
      <c r="D2899" t="inlineStr">
        <is>
          <t>STOCKHOLMS LÄN</t>
        </is>
      </c>
      <c r="E2899" t="inlineStr">
        <is>
          <t>VALLENTUNA</t>
        </is>
      </c>
      <c r="G2899" t="n">
        <v>16.4</v>
      </c>
      <c r="H2899" t="n">
        <v>0</v>
      </c>
      <c r="I2899" t="n">
        <v>0</v>
      </c>
      <c r="J2899" t="n">
        <v>0</v>
      </c>
      <c r="K2899" t="n">
        <v>0</v>
      </c>
      <c r="L2899" t="n">
        <v>0</v>
      </c>
      <c r="M2899" t="n">
        <v>0</v>
      </c>
      <c r="N2899" t="n">
        <v>0</v>
      </c>
      <c r="O2899" t="n">
        <v>0</v>
      </c>
      <c r="P2899" t="n">
        <v>0</v>
      </c>
      <c r="Q2899" t="n">
        <v>0</v>
      </c>
      <c r="R2899" s="2" t="inlineStr"/>
    </row>
    <row r="2900" ht="15" customHeight="1">
      <c r="A2900" t="inlineStr">
        <is>
          <t>A 48541-2023</t>
        </is>
      </c>
      <c r="B2900" s="1" t="n">
        <v>45208</v>
      </c>
      <c r="C2900" s="1" t="n">
        <v>45672</v>
      </c>
      <c r="D2900" t="inlineStr">
        <is>
          <t>STOCKHOLMS LÄN</t>
        </is>
      </c>
      <c r="E2900" t="inlineStr">
        <is>
          <t>NORRTÄLJE</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48552-2023</t>
        </is>
      </c>
      <c r="B2901" s="1" t="n">
        <v>45208</v>
      </c>
      <c r="C2901" s="1" t="n">
        <v>45672</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48587-2023</t>
        </is>
      </c>
      <c r="B2902" s="1" t="n">
        <v>45208</v>
      </c>
      <c r="C2902" s="1" t="n">
        <v>45672</v>
      </c>
      <c r="D2902" t="inlineStr">
        <is>
          <t>STOCKHOLMS LÄN</t>
        </is>
      </c>
      <c r="E2902" t="inlineStr">
        <is>
          <t>NORRTÄLJE</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48633-2023</t>
        </is>
      </c>
      <c r="B2903" s="1" t="n">
        <v>45208</v>
      </c>
      <c r="C2903" s="1" t="n">
        <v>45672</v>
      </c>
      <c r="D2903" t="inlineStr">
        <is>
          <t>STOCKHOLMS LÄN</t>
        </is>
      </c>
      <c r="E2903" t="inlineStr">
        <is>
          <t>NORRTÄLJE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48641-2023</t>
        </is>
      </c>
      <c r="B2904" s="1" t="n">
        <v>45208</v>
      </c>
      <c r="C2904" s="1" t="n">
        <v>45672</v>
      </c>
      <c r="D2904" t="inlineStr">
        <is>
          <t>STOCKHOLMS LÄN</t>
        </is>
      </c>
      <c r="E2904" t="inlineStr">
        <is>
          <t>NORRTÄLJE</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48686-2023</t>
        </is>
      </c>
      <c r="B2905" s="1" t="n">
        <v>45208</v>
      </c>
      <c r="C2905" s="1" t="n">
        <v>45672</v>
      </c>
      <c r="D2905" t="inlineStr">
        <is>
          <t>STOCKHOLMS LÄN</t>
        </is>
      </c>
      <c r="E2905" t="inlineStr">
        <is>
          <t>NORRTÄLJE</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48629-2023</t>
        </is>
      </c>
      <c r="B2906" s="1" t="n">
        <v>45208</v>
      </c>
      <c r="C2906" s="1" t="n">
        <v>45672</v>
      </c>
      <c r="D2906" t="inlineStr">
        <is>
          <t>STOCKHOLMS LÄN</t>
        </is>
      </c>
      <c r="E2906" t="inlineStr">
        <is>
          <t>NORRTÄLJE</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48668-2023</t>
        </is>
      </c>
      <c r="B2907" s="1" t="n">
        <v>45208</v>
      </c>
      <c r="C2907" s="1" t="n">
        <v>45672</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48685-2023</t>
        </is>
      </c>
      <c r="B2908" s="1" t="n">
        <v>45208</v>
      </c>
      <c r="C2908" s="1" t="n">
        <v>45672</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48691-2023</t>
        </is>
      </c>
      <c r="B2909" s="1" t="n">
        <v>45208</v>
      </c>
      <c r="C2909" s="1" t="n">
        <v>45672</v>
      </c>
      <c r="D2909" t="inlineStr">
        <is>
          <t>STOCKHOLMS LÄN</t>
        </is>
      </c>
      <c r="E2909" t="inlineStr">
        <is>
          <t>NORRTÄLJE</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48701-2023</t>
        </is>
      </c>
      <c r="B2910" s="1" t="n">
        <v>45208</v>
      </c>
      <c r="C2910" s="1" t="n">
        <v>45672</v>
      </c>
      <c r="D2910" t="inlineStr">
        <is>
          <t>STOCKHOLMS LÄN</t>
        </is>
      </c>
      <c r="E2910" t="inlineStr">
        <is>
          <t>NORRTÄLJE</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48716-2023</t>
        </is>
      </c>
      <c r="B2911" s="1" t="n">
        <v>45208</v>
      </c>
      <c r="C2911" s="1" t="n">
        <v>45672</v>
      </c>
      <c r="D2911" t="inlineStr">
        <is>
          <t>STOCKHOLMS LÄN</t>
        </is>
      </c>
      <c r="E2911" t="inlineStr">
        <is>
          <t>NORRTÄLJE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48709-2023</t>
        </is>
      </c>
      <c r="B2912" s="1" t="n">
        <v>45208</v>
      </c>
      <c r="C2912" s="1" t="n">
        <v>45672</v>
      </c>
      <c r="D2912" t="inlineStr">
        <is>
          <t>STOCKHOLMS LÄN</t>
        </is>
      </c>
      <c r="E2912" t="inlineStr">
        <is>
          <t>NORRTÄLJE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48722-2023</t>
        </is>
      </c>
      <c r="B2913" s="1" t="n">
        <v>45208</v>
      </c>
      <c r="C2913" s="1" t="n">
        <v>45672</v>
      </c>
      <c r="D2913" t="inlineStr">
        <is>
          <t>STOCKHOLMS LÄN</t>
        </is>
      </c>
      <c r="E2913" t="inlineStr">
        <is>
          <t>NORRTÄLJE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48726-2023</t>
        </is>
      </c>
      <c r="B2914" s="1" t="n">
        <v>45208</v>
      </c>
      <c r="C2914" s="1" t="n">
        <v>45672</v>
      </c>
      <c r="D2914" t="inlineStr">
        <is>
          <t>STOCKHOLMS LÄN</t>
        </is>
      </c>
      <c r="E2914" t="inlineStr">
        <is>
          <t>NORRTÄLJE</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50184-2023</t>
        </is>
      </c>
      <c r="B2915" s="1" t="n">
        <v>45208</v>
      </c>
      <c r="C2915" s="1" t="n">
        <v>45672</v>
      </c>
      <c r="D2915" t="inlineStr">
        <is>
          <t>STOCKHOLMS LÄN</t>
        </is>
      </c>
      <c r="E2915" t="inlineStr">
        <is>
          <t>EKERÖ</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48839-2023</t>
        </is>
      </c>
      <c r="B2916" s="1" t="n">
        <v>45209</v>
      </c>
      <c r="C2916" s="1" t="n">
        <v>45672</v>
      </c>
      <c r="D2916" t="inlineStr">
        <is>
          <t>STOCKHOLMS LÄN</t>
        </is>
      </c>
      <c r="E2916" t="inlineStr">
        <is>
          <t>EKERÖ</t>
        </is>
      </c>
      <c r="F2916" t="inlineStr">
        <is>
          <t>Kyrkan</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48978-2023</t>
        </is>
      </c>
      <c r="B2917" s="1" t="n">
        <v>45209</v>
      </c>
      <c r="C2917" s="1" t="n">
        <v>45672</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50306-2023</t>
        </is>
      </c>
      <c r="B2918" s="1" t="n">
        <v>45209</v>
      </c>
      <c r="C2918" s="1" t="n">
        <v>45672</v>
      </c>
      <c r="D2918" t="inlineStr">
        <is>
          <t>STOCKHOLMS LÄN</t>
        </is>
      </c>
      <c r="E2918" t="inlineStr">
        <is>
          <t>HANINGE</t>
        </is>
      </c>
      <c r="G2918" t="n">
        <v>2.3</v>
      </c>
      <c r="H2918" t="n">
        <v>0</v>
      </c>
      <c r="I2918" t="n">
        <v>0</v>
      </c>
      <c r="J2918" t="n">
        <v>0</v>
      </c>
      <c r="K2918" t="n">
        <v>0</v>
      </c>
      <c r="L2918" t="n">
        <v>0</v>
      </c>
      <c r="M2918" t="n">
        <v>0</v>
      </c>
      <c r="N2918" t="n">
        <v>0</v>
      </c>
      <c r="O2918" t="n">
        <v>0</v>
      </c>
      <c r="P2918" t="n">
        <v>0</v>
      </c>
      <c r="Q2918" t="n">
        <v>0</v>
      </c>
      <c r="R2918" s="2" t="inlineStr"/>
      <c r="U2918">
        <f>HYPERLINK("https://klasma.github.io/Logging_0136/knärot/A 50306-2023 karta knärot.png", "A 50306-2023")</f>
        <v/>
      </c>
      <c r="V2918">
        <f>HYPERLINK("https://klasma.github.io/Logging_0136/klagomål/A 50306-2023 FSC-klagomål.docx", "A 50306-2023")</f>
        <v/>
      </c>
      <c r="W2918">
        <f>HYPERLINK("https://klasma.github.io/Logging_0136/klagomålsmail/A 50306-2023 FSC-klagomål mail.docx", "A 50306-2023")</f>
        <v/>
      </c>
      <c r="X2918">
        <f>HYPERLINK("https://klasma.github.io/Logging_0136/tillsyn/A 50306-2023 tillsynsbegäran.docx", "A 50306-2023")</f>
        <v/>
      </c>
      <c r="Y2918">
        <f>HYPERLINK("https://klasma.github.io/Logging_0136/tillsynsmail/A 50306-2023 tillsynsbegäran mail.docx", "A 50306-2023")</f>
        <v/>
      </c>
    </row>
    <row r="2919" ht="15" customHeight="1">
      <c r="A2919" t="inlineStr">
        <is>
          <t>A 49169-2023</t>
        </is>
      </c>
      <c r="B2919" s="1" t="n">
        <v>45210</v>
      </c>
      <c r="C2919" s="1" t="n">
        <v>45672</v>
      </c>
      <c r="D2919" t="inlineStr">
        <is>
          <t>STOCKHOLMS LÄN</t>
        </is>
      </c>
      <c r="E2919" t="inlineStr">
        <is>
          <t>NORRTÄLJE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49176-2023</t>
        </is>
      </c>
      <c r="B2920" s="1" t="n">
        <v>45210</v>
      </c>
      <c r="C2920" s="1" t="n">
        <v>45672</v>
      </c>
      <c r="D2920" t="inlineStr">
        <is>
          <t>STOCKHOLMS LÄN</t>
        </is>
      </c>
      <c r="E2920" t="inlineStr">
        <is>
          <t>NORRTÄLJE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49253-2023</t>
        </is>
      </c>
      <c r="B2921" s="1" t="n">
        <v>45210</v>
      </c>
      <c r="C2921" s="1" t="n">
        <v>45672</v>
      </c>
      <c r="D2921" t="inlineStr">
        <is>
          <t>STOCKHOLMS LÄN</t>
        </is>
      </c>
      <c r="E2921" t="inlineStr">
        <is>
          <t>NYNÄSHAMN</t>
        </is>
      </c>
      <c r="F2921" t="inlineStr">
        <is>
          <t>Kyrkan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49224-2023</t>
        </is>
      </c>
      <c r="B2922" s="1" t="n">
        <v>45210</v>
      </c>
      <c r="C2922" s="1" t="n">
        <v>45672</v>
      </c>
      <c r="D2922" t="inlineStr">
        <is>
          <t>STOCKHOLMS LÄN</t>
        </is>
      </c>
      <c r="E2922" t="inlineStr">
        <is>
          <t>NORRTÄLJE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49388-2023</t>
        </is>
      </c>
      <c r="B2923" s="1" t="n">
        <v>45211</v>
      </c>
      <c r="C2923" s="1" t="n">
        <v>45672</v>
      </c>
      <c r="D2923" t="inlineStr">
        <is>
          <t>STOCKHOLMS LÄN</t>
        </is>
      </c>
      <c r="E2923" t="inlineStr">
        <is>
          <t>ÖSTERÅKER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49589-2023</t>
        </is>
      </c>
      <c r="B2924" s="1" t="n">
        <v>45211</v>
      </c>
      <c r="C2924" s="1" t="n">
        <v>45672</v>
      </c>
      <c r="D2924" t="inlineStr">
        <is>
          <t>STOCKHOLMS LÄN</t>
        </is>
      </c>
      <c r="E2924" t="inlineStr">
        <is>
          <t>SIGTUNA</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49591-2023</t>
        </is>
      </c>
      <c r="B2925" s="1" t="n">
        <v>45211</v>
      </c>
      <c r="C2925" s="1" t="n">
        <v>45672</v>
      </c>
      <c r="D2925" t="inlineStr">
        <is>
          <t>STOCKHOLMS LÄN</t>
        </is>
      </c>
      <c r="E2925" t="inlineStr">
        <is>
          <t>SIGTUNA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49395-2023</t>
        </is>
      </c>
      <c r="B2926" s="1" t="n">
        <v>45211</v>
      </c>
      <c r="C2926" s="1" t="n">
        <v>45672</v>
      </c>
      <c r="D2926" t="inlineStr">
        <is>
          <t>STOCKHOLMS LÄN</t>
        </is>
      </c>
      <c r="E2926" t="inlineStr">
        <is>
          <t>SÖDERTÄLJE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49592-2023</t>
        </is>
      </c>
      <c r="B2927" s="1" t="n">
        <v>45211</v>
      </c>
      <c r="C2927" s="1" t="n">
        <v>45672</v>
      </c>
      <c r="D2927" t="inlineStr">
        <is>
          <t>STOCKHOLMS LÄN</t>
        </is>
      </c>
      <c r="E2927" t="inlineStr">
        <is>
          <t>SIGTUNA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49696-2023</t>
        </is>
      </c>
      <c r="B2928" s="1" t="n">
        <v>45212</v>
      </c>
      <c r="C2928" s="1" t="n">
        <v>45672</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49700-2023</t>
        </is>
      </c>
      <c r="B2929" s="1" t="n">
        <v>45212</v>
      </c>
      <c r="C2929" s="1" t="n">
        <v>45672</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49694-2023</t>
        </is>
      </c>
      <c r="B2930" s="1" t="n">
        <v>45212</v>
      </c>
      <c r="C2930" s="1" t="n">
        <v>45672</v>
      </c>
      <c r="D2930" t="inlineStr">
        <is>
          <t>STOCKHOLMS LÄN</t>
        </is>
      </c>
      <c r="E2930" t="inlineStr">
        <is>
          <t>NORRTÄLJE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50020-2023</t>
        </is>
      </c>
      <c r="B2931" s="1" t="n">
        <v>45215</v>
      </c>
      <c r="C2931" s="1" t="n">
        <v>45672</v>
      </c>
      <c r="D2931" t="inlineStr">
        <is>
          <t>STOCKHOLMS LÄN</t>
        </is>
      </c>
      <c r="E2931" t="inlineStr">
        <is>
          <t>NYKVARN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50143-2023</t>
        </is>
      </c>
      <c r="B2932" s="1" t="n">
        <v>45215</v>
      </c>
      <c r="C2932" s="1" t="n">
        <v>45672</v>
      </c>
      <c r="D2932" t="inlineStr">
        <is>
          <t>STOCKHOLMS LÄN</t>
        </is>
      </c>
      <c r="E2932" t="inlineStr">
        <is>
          <t>NORRTÄLJE</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49999-2023</t>
        </is>
      </c>
      <c r="B2933" s="1" t="n">
        <v>45215</v>
      </c>
      <c r="C2933" s="1" t="n">
        <v>45672</v>
      </c>
      <c r="D2933" t="inlineStr">
        <is>
          <t>STOCKHOLMS LÄN</t>
        </is>
      </c>
      <c r="E2933" t="inlineStr">
        <is>
          <t>NYKVARN</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50027-2023</t>
        </is>
      </c>
      <c r="B2934" s="1" t="n">
        <v>45215</v>
      </c>
      <c r="C2934" s="1" t="n">
        <v>45672</v>
      </c>
      <c r="D2934" t="inlineStr">
        <is>
          <t>STOCKHOLMS LÄN</t>
        </is>
      </c>
      <c r="E2934" t="inlineStr">
        <is>
          <t>NYKVARN</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50031-2023</t>
        </is>
      </c>
      <c r="B2935" s="1" t="n">
        <v>45215</v>
      </c>
      <c r="C2935" s="1" t="n">
        <v>45672</v>
      </c>
      <c r="D2935" t="inlineStr">
        <is>
          <t>STOCKHOLMS LÄN</t>
        </is>
      </c>
      <c r="E2935" t="inlineStr">
        <is>
          <t>NYKVARN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50107-2023</t>
        </is>
      </c>
      <c r="B2936" s="1" t="n">
        <v>45215</v>
      </c>
      <c r="C2936" s="1" t="n">
        <v>45672</v>
      </c>
      <c r="D2936" t="inlineStr">
        <is>
          <t>STOCKHOLMS LÄN</t>
        </is>
      </c>
      <c r="E2936" t="inlineStr">
        <is>
          <t>NORRTÄLJE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50033-2023</t>
        </is>
      </c>
      <c r="B2937" s="1" t="n">
        <v>45215</v>
      </c>
      <c r="C2937" s="1" t="n">
        <v>45672</v>
      </c>
      <c r="D2937" t="inlineStr">
        <is>
          <t>STOCKHOLMS LÄN</t>
        </is>
      </c>
      <c r="E2937" t="inlineStr">
        <is>
          <t>NORRTÄLJE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50037-2023</t>
        </is>
      </c>
      <c r="B2938" s="1" t="n">
        <v>45215</v>
      </c>
      <c r="C2938" s="1" t="n">
        <v>45672</v>
      </c>
      <c r="D2938" t="inlineStr">
        <is>
          <t>STOCKHOLMS LÄN</t>
        </is>
      </c>
      <c r="E2938" t="inlineStr">
        <is>
          <t>NYKVARN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50136-2023</t>
        </is>
      </c>
      <c r="B2939" s="1" t="n">
        <v>45215</v>
      </c>
      <c r="C2939" s="1" t="n">
        <v>45672</v>
      </c>
      <c r="D2939" t="inlineStr">
        <is>
          <t>STOCKHOLMS LÄN</t>
        </is>
      </c>
      <c r="E2939" t="inlineStr">
        <is>
          <t>NORRTÄLJE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50150-2023</t>
        </is>
      </c>
      <c r="B2940" s="1" t="n">
        <v>45215</v>
      </c>
      <c r="C2940" s="1" t="n">
        <v>45672</v>
      </c>
      <c r="D2940" t="inlineStr">
        <is>
          <t>STOCKHOLMS LÄN</t>
        </is>
      </c>
      <c r="E2940" t="inlineStr">
        <is>
          <t>NORRTÄLJE</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51587-2023</t>
        </is>
      </c>
      <c r="B2941" s="1" t="n">
        <v>45215</v>
      </c>
      <c r="C2941" s="1" t="n">
        <v>45672</v>
      </c>
      <c r="D2941" t="inlineStr">
        <is>
          <t>STOCKHOLMS LÄN</t>
        </is>
      </c>
      <c r="E2941" t="inlineStr">
        <is>
          <t>UPPLANDS-BRO</t>
        </is>
      </c>
      <c r="F2941" t="inlineStr">
        <is>
          <t>Allmännings- och besparingsskogar</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50294-2023</t>
        </is>
      </c>
      <c r="B2942" s="1" t="n">
        <v>45216</v>
      </c>
      <c r="C2942" s="1" t="n">
        <v>45672</v>
      </c>
      <c r="D2942" t="inlineStr">
        <is>
          <t>STOCKHOLMS LÄN</t>
        </is>
      </c>
      <c r="E2942" t="inlineStr">
        <is>
          <t>UPPLANDS-BRO</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50289-2023</t>
        </is>
      </c>
      <c r="B2943" s="1" t="n">
        <v>45216</v>
      </c>
      <c r="C2943" s="1" t="n">
        <v>45672</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51931-2023</t>
        </is>
      </c>
      <c r="B2944" s="1" t="n">
        <v>45216</v>
      </c>
      <c r="C2944" s="1" t="n">
        <v>45672</v>
      </c>
      <c r="D2944" t="inlineStr">
        <is>
          <t>STOCKHOLMS LÄN</t>
        </is>
      </c>
      <c r="E2944" t="inlineStr">
        <is>
          <t>SÖDERTÄLJE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50436-2023</t>
        </is>
      </c>
      <c r="B2945" s="1" t="n">
        <v>45216</v>
      </c>
      <c r="C2945" s="1" t="n">
        <v>45672</v>
      </c>
      <c r="D2945" t="inlineStr">
        <is>
          <t>STOCKHOLMS LÄN</t>
        </is>
      </c>
      <c r="E2945" t="inlineStr">
        <is>
          <t>NORRTÄLJE</t>
        </is>
      </c>
      <c r="G2945" t="n">
        <v>12.1</v>
      </c>
      <c r="H2945" t="n">
        <v>0</v>
      </c>
      <c r="I2945" t="n">
        <v>0</v>
      </c>
      <c r="J2945" t="n">
        <v>0</v>
      </c>
      <c r="K2945" t="n">
        <v>0</v>
      </c>
      <c r="L2945" t="n">
        <v>0</v>
      </c>
      <c r="M2945" t="n">
        <v>0</v>
      </c>
      <c r="N2945" t="n">
        <v>0</v>
      </c>
      <c r="O2945" t="n">
        <v>0</v>
      </c>
      <c r="P2945" t="n">
        <v>0</v>
      </c>
      <c r="Q2945" t="n">
        <v>0</v>
      </c>
      <c r="R2945" s="2" t="inlineStr"/>
    </row>
    <row r="2946" ht="15" customHeight="1">
      <c r="A2946" t="inlineStr">
        <is>
          <t>A 50690-2023</t>
        </is>
      </c>
      <c r="B2946" s="1" t="n">
        <v>45217</v>
      </c>
      <c r="C2946" s="1" t="n">
        <v>45672</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50588-2023</t>
        </is>
      </c>
      <c r="B2947" s="1" t="n">
        <v>45217</v>
      </c>
      <c r="C2947" s="1" t="n">
        <v>45672</v>
      </c>
      <c r="D2947" t="inlineStr">
        <is>
          <t>STOCKHOLMS LÄN</t>
        </is>
      </c>
      <c r="E2947" t="inlineStr">
        <is>
          <t>VALLENTUNA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51049-2023</t>
        </is>
      </c>
      <c r="B2948" s="1" t="n">
        <v>45218</v>
      </c>
      <c r="C2948" s="1" t="n">
        <v>45672</v>
      </c>
      <c r="D2948" t="inlineStr">
        <is>
          <t>STOCKHOLMS LÄN</t>
        </is>
      </c>
      <c r="E2948" t="inlineStr">
        <is>
          <t>NORRTÄLJE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51063-2023</t>
        </is>
      </c>
      <c r="B2949" s="1" t="n">
        <v>45218</v>
      </c>
      <c r="C2949" s="1" t="n">
        <v>45672</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51087-2023</t>
        </is>
      </c>
      <c r="B2950" s="1" t="n">
        <v>45218</v>
      </c>
      <c r="C2950" s="1" t="n">
        <v>45672</v>
      </c>
      <c r="D2950" t="inlineStr">
        <is>
          <t>STOCKHOLMS LÄN</t>
        </is>
      </c>
      <c r="E2950" t="inlineStr">
        <is>
          <t>SÖDERTÄLJE</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50880-2023</t>
        </is>
      </c>
      <c r="B2951" s="1" t="n">
        <v>45218</v>
      </c>
      <c r="C2951" s="1" t="n">
        <v>45672</v>
      </c>
      <c r="D2951" t="inlineStr">
        <is>
          <t>STOCKHOLMS LÄN</t>
        </is>
      </c>
      <c r="E2951" t="inlineStr">
        <is>
          <t>NORRTÄLJE</t>
        </is>
      </c>
      <c r="G2951" t="n">
        <v>10.4</v>
      </c>
      <c r="H2951" t="n">
        <v>0</v>
      </c>
      <c r="I2951" t="n">
        <v>0</v>
      </c>
      <c r="J2951" t="n">
        <v>0</v>
      </c>
      <c r="K2951" t="n">
        <v>0</v>
      </c>
      <c r="L2951" t="n">
        <v>0</v>
      </c>
      <c r="M2951" t="n">
        <v>0</v>
      </c>
      <c r="N2951" t="n">
        <v>0</v>
      </c>
      <c r="O2951" t="n">
        <v>0</v>
      </c>
      <c r="P2951" t="n">
        <v>0</v>
      </c>
      <c r="Q2951" t="n">
        <v>0</v>
      </c>
      <c r="R2951" s="2" t="inlineStr"/>
    </row>
    <row r="2952" ht="15" customHeight="1">
      <c r="A2952" t="inlineStr">
        <is>
          <t>A 51046-2023</t>
        </is>
      </c>
      <c r="B2952" s="1" t="n">
        <v>45218</v>
      </c>
      <c r="C2952" s="1" t="n">
        <v>45672</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51043-2023</t>
        </is>
      </c>
      <c r="B2953" s="1" t="n">
        <v>45218</v>
      </c>
      <c r="C2953" s="1" t="n">
        <v>45672</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51061-2023</t>
        </is>
      </c>
      <c r="B2954" s="1" t="n">
        <v>45218</v>
      </c>
      <c r="C2954" s="1" t="n">
        <v>45672</v>
      </c>
      <c r="D2954" t="inlineStr">
        <is>
          <t>STOCKHOLMS LÄN</t>
        </is>
      </c>
      <c r="E2954" t="inlineStr">
        <is>
          <t>NORRTÄLJE</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51325-2023</t>
        </is>
      </c>
      <c r="B2955" s="1" t="n">
        <v>45219</v>
      </c>
      <c r="C2955" s="1" t="n">
        <v>45672</v>
      </c>
      <c r="D2955" t="inlineStr">
        <is>
          <t>STOCKHOLMS LÄN</t>
        </is>
      </c>
      <c r="E2955" t="inlineStr">
        <is>
          <t>NORRTÄLJE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51312-2023</t>
        </is>
      </c>
      <c r="B2956" s="1" t="n">
        <v>45219</v>
      </c>
      <c r="C2956" s="1" t="n">
        <v>45672</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51720-2023</t>
        </is>
      </c>
      <c r="B2957" s="1" t="n">
        <v>45222</v>
      </c>
      <c r="C2957" s="1" t="n">
        <v>45672</v>
      </c>
      <c r="D2957" t="inlineStr">
        <is>
          <t>STOCKHOLMS LÄN</t>
        </is>
      </c>
      <c r="E2957" t="inlineStr">
        <is>
          <t>SALEM</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51674-2023</t>
        </is>
      </c>
      <c r="B2958" s="1" t="n">
        <v>45222</v>
      </c>
      <c r="C2958" s="1" t="n">
        <v>45672</v>
      </c>
      <c r="D2958" t="inlineStr">
        <is>
          <t>STOCKHOLMS LÄN</t>
        </is>
      </c>
      <c r="E2958" t="inlineStr">
        <is>
          <t>SÖDERTÄLJE</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51597-2023</t>
        </is>
      </c>
      <c r="B2959" s="1" t="n">
        <v>45222</v>
      </c>
      <c r="C2959" s="1" t="n">
        <v>45672</v>
      </c>
      <c r="D2959" t="inlineStr">
        <is>
          <t>STOCKHOLMS LÄN</t>
        </is>
      </c>
      <c r="E2959" t="inlineStr">
        <is>
          <t>NORRTÄLJE</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51657-2023</t>
        </is>
      </c>
      <c r="B2960" s="1" t="n">
        <v>45222</v>
      </c>
      <c r="C2960" s="1" t="n">
        <v>45672</v>
      </c>
      <c r="D2960" t="inlineStr">
        <is>
          <t>STOCKHOLMS LÄN</t>
        </is>
      </c>
      <c r="E2960" t="inlineStr">
        <is>
          <t>NORRTÄLJE</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51770-2023</t>
        </is>
      </c>
      <c r="B2961" s="1" t="n">
        <v>45222</v>
      </c>
      <c r="C2961" s="1" t="n">
        <v>45672</v>
      </c>
      <c r="D2961" t="inlineStr">
        <is>
          <t>STOCKHOLMS LÄN</t>
        </is>
      </c>
      <c r="E2961" t="inlineStr">
        <is>
          <t>SIGTUNA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51986-2023</t>
        </is>
      </c>
      <c r="B2962" s="1" t="n">
        <v>45223</v>
      </c>
      <c r="C2962" s="1" t="n">
        <v>45672</v>
      </c>
      <c r="D2962" t="inlineStr">
        <is>
          <t>STOCKHOLMS LÄN</t>
        </is>
      </c>
      <c r="E2962" t="inlineStr">
        <is>
          <t>NYKVARN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51903-2023</t>
        </is>
      </c>
      <c r="B2963" s="1" t="n">
        <v>45223</v>
      </c>
      <c r="C2963" s="1" t="n">
        <v>45672</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52003-2023</t>
        </is>
      </c>
      <c r="B2964" s="1" t="n">
        <v>45223</v>
      </c>
      <c r="C2964" s="1" t="n">
        <v>45672</v>
      </c>
      <c r="D2964" t="inlineStr">
        <is>
          <t>STOCKHOLMS LÄN</t>
        </is>
      </c>
      <c r="E2964" t="inlineStr">
        <is>
          <t>NYKVARN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52095-2023</t>
        </is>
      </c>
      <c r="B2965" s="1" t="n">
        <v>45223</v>
      </c>
      <c r="C2965" s="1" t="n">
        <v>45672</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51978-2023</t>
        </is>
      </c>
      <c r="B2966" s="1" t="n">
        <v>45223</v>
      </c>
      <c r="C2966" s="1" t="n">
        <v>45672</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52020-2023</t>
        </is>
      </c>
      <c r="B2967" s="1" t="n">
        <v>45223</v>
      </c>
      <c r="C2967" s="1" t="n">
        <v>45672</v>
      </c>
      <c r="D2967" t="inlineStr">
        <is>
          <t>STOCKHOLMS LÄN</t>
        </is>
      </c>
      <c r="E2967" t="inlineStr">
        <is>
          <t>NYKVARN</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51997-2023</t>
        </is>
      </c>
      <c r="B2968" s="1" t="n">
        <v>45223</v>
      </c>
      <c r="C2968" s="1" t="n">
        <v>45672</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52001-2023</t>
        </is>
      </c>
      <c r="B2969" s="1" t="n">
        <v>45223</v>
      </c>
      <c r="C2969" s="1" t="n">
        <v>45672</v>
      </c>
      <c r="D2969" t="inlineStr">
        <is>
          <t>STOCKHOLMS LÄN</t>
        </is>
      </c>
      <c r="E2969" t="inlineStr">
        <is>
          <t>NORRTÄLJE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52096-2023</t>
        </is>
      </c>
      <c r="B2970" s="1" t="n">
        <v>45223</v>
      </c>
      <c r="C2970" s="1" t="n">
        <v>45672</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53362-2023</t>
        </is>
      </c>
      <c r="B2971" s="1" t="n">
        <v>45223</v>
      </c>
      <c r="C2971" s="1" t="n">
        <v>45672</v>
      </c>
      <c r="D2971" t="inlineStr">
        <is>
          <t>STOCKHOLMS LÄN</t>
        </is>
      </c>
      <c r="E2971" t="inlineStr">
        <is>
          <t>NORRTÄLJE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53372-2023</t>
        </is>
      </c>
      <c r="B2972" s="1" t="n">
        <v>45223</v>
      </c>
      <c r="C2972" s="1" t="n">
        <v>45672</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52221-2023</t>
        </is>
      </c>
      <c r="B2973" s="1" t="n">
        <v>45224</v>
      </c>
      <c r="C2973" s="1" t="n">
        <v>45672</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53561-2023</t>
        </is>
      </c>
      <c r="B2974" s="1" t="n">
        <v>45224</v>
      </c>
      <c r="C2974" s="1" t="n">
        <v>45672</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53556-2023</t>
        </is>
      </c>
      <c r="B2975" s="1" t="n">
        <v>45224</v>
      </c>
      <c r="C2975" s="1" t="n">
        <v>45672</v>
      </c>
      <c r="D2975" t="inlineStr">
        <is>
          <t>STOCKHOLMS LÄN</t>
        </is>
      </c>
      <c r="E2975" t="inlineStr">
        <is>
          <t>NORRTÄLJE</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52570-2023</t>
        </is>
      </c>
      <c r="B2976" s="1" t="n">
        <v>45225</v>
      </c>
      <c r="C2976" s="1" t="n">
        <v>45672</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52562-2023</t>
        </is>
      </c>
      <c r="B2977" s="1" t="n">
        <v>45225</v>
      </c>
      <c r="C2977" s="1" t="n">
        <v>45672</v>
      </c>
      <c r="D2977" t="inlineStr">
        <is>
          <t>STOCKHOLMS LÄN</t>
        </is>
      </c>
      <c r="E2977" t="inlineStr">
        <is>
          <t>VALLENTUNA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52542-2023</t>
        </is>
      </c>
      <c r="B2978" s="1" t="n">
        <v>45225</v>
      </c>
      <c r="C2978" s="1" t="n">
        <v>45672</v>
      </c>
      <c r="D2978" t="inlineStr">
        <is>
          <t>STOCKHOLMS LÄN</t>
        </is>
      </c>
      <c r="E2978" t="inlineStr">
        <is>
          <t>VALLENTUNA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52559-2023</t>
        </is>
      </c>
      <c r="B2979" s="1" t="n">
        <v>45225</v>
      </c>
      <c r="C2979" s="1" t="n">
        <v>45672</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52619-2023</t>
        </is>
      </c>
      <c r="B2980" s="1" t="n">
        <v>45225</v>
      </c>
      <c r="C2980" s="1" t="n">
        <v>45672</v>
      </c>
      <c r="D2980" t="inlineStr">
        <is>
          <t>STOCKHOLMS LÄN</t>
        </is>
      </c>
      <c r="E2980" t="inlineStr">
        <is>
          <t>NORRTÄLJE</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54222-2023</t>
        </is>
      </c>
      <c r="B2981" s="1" t="n">
        <v>45225</v>
      </c>
      <c r="C2981" s="1" t="n">
        <v>45672</v>
      </c>
      <c r="D2981" t="inlineStr">
        <is>
          <t>STOCKHOLMS LÄN</t>
        </is>
      </c>
      <c r="E2981" t="inlineStr">
        <is>
          <t>UPPLANDS-BRO</t>
        </is>
      </c>
      <c r="F2981" t="inlineStr">
        <is>
          <t>Övriga statliga verk och myndigheter</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52815-2023</t>
        </is>
      </c>
      <c r="B2982" s="1" t="n">
        <v>45226</v>
      </c>
      <c r="C2982" s="1" t="n">
        <v>45672</v>
      </c>
      <c r="D2982" t="inlineStr">
        <is>
          <t>STOCKHOLMS LÄN</t>
        </is>
      </c>
      <c r="E2982" t="inlineStr">
        <is>
          <t>SÖDERTÄLJE</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52875-2023</t>
        </is>
      </c>
      <c r="B2983" s="1" t="n">
        <v>45226</v>
      </c>
      <c r="C2983" s="1" t="n">
        <v>45672</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52899-2023</t>
        </is>
      </c>
      <c r="B2984" s="1" t="n">
        <v>45226</v>
      </c>
      <c r="C2984" s="1" t="n">
        <v>45672</v>
      </c>
      <c r="D2984" t="inlineStr">
        <is>
          <t>STOCKHOLMS LÄN</t>
        </is>
      </c>
      <c r="E2984" t="inlineStr">
        <is>
          <t>NORRTÄLJE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52814-2023</t>
        </is>
      </c>
      <c r="B2985" s="1" t="n">
        <v>45226</v>
      </c>
      <c r="C2985" s="1" t="n">
        <v>45672</v>
      </c>
      <c r="D2985" t="inlineStr">
        <is>
          <t>STOCKHOLMS LÄN</t>
        </is>
      </c>
      <c r="E2985" t="inlineStr">
        <is>
          <t>SÖDERTÄLJE</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52989-2023</t>
        </is>
      </c>
      <c r="B2986" s="1" t="n">
        <v>45226</v>
      </c>
      <c r="C2986" s="1" t="n">
        <v>45672</v>
      </c>
      <c r="D2986" t="inlineStr">
        <is>
          <t>STOCKHOLMS LÄN</t>
        </is>
      </c>
      <c r="E2986" t="inlineStr">
        <is>
          <t>VALLENTUNA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53232-2023</t>
        </is>
      </c>
      <c r="B2987" s="1" t="n">
        <v>45229</v>
      </c>
      <c r="C2987" s="1" t="n">
        <v>45672</v>
      </c>
      <c r="D2987" t="inlineStr">
        <is>
          <t>STOCKHOLMS LÄN</t>
        </is>
      </c>
      <c r="E2987" t="inlineStr">
        <is>
          <t>SÖDERTÄLJE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53337-2023</t>
        </is>
      </c>
      <c r="B2988" s="1" t="n">
        <v>45229</v>
      </c>
      <c r="C2988" s="1" t="n">
        <v>45672</v>
      </c>
      <c r="D2988" t="inlineStr">
        <is>
          <t>STOCKHOLMS LÄN</t>
        </is>
      </c>
      <c r="E2988" t="inlineStr">
        <is>
          <t>NYKVARN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53307-2023</t>
        </is>
      </c>
      <c r="B2989" s="1" t="n">
        <v>45229</v>
      </c>
      <c r="C2989" s="1" t="n">
        <v>45672</v>
      </c>
      <c r="D2989" t="inlineStr">
        <is>
          <t>STOCKHOLMS LÄN</t>
        </is>
      </c>
      <c r="E2989" t="inlineStr">
        <is>
          <t>NYKVARN</t>
        </is>
      </c>
      <c r="F2989" t="inlineStr">
        <is>
          <t>Kyrkan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53563-2023</t>
        </is>
      </c>
      <c r="B2990" s="1" t="n">
        <v>45230</v>
      </c>
      <c r="C2990" s="1" t="n">
        <v>45672</v>
      </c>
      <c r="D2990" t="inlineStr">
        <is>
          <t>STOCKHOLMS LÄN</t>
        </is>
      </c>
      <c r="E2990" t="inlineStr">
        <is>
          <t>NORRTÄLJE</t>
        </is>
      </c>
      <c r="G2990" t="n">
        <v>17.2</v>
      </c>
      <c r="H2990" t="n">
        <v>0</v>
      </c>
      <c r="I2990" t="n">
        <v>0</v>
      </c>
      <c r="J2990" t="n">
        <v>0</v>
      </c>
      <c r="K2990" t="n">
        <v>0</v>
      </c>
      <c r="L2990" t="n">
        <v>0</v>
      </c>
      <c r="M2990" t="n">
        <v>0</v>
      </c>
      <c r="N2990" t="n">
        <v>0</v>
      </c>
      <c r="O2990" t="n">
        <v>0</v>
      </c>
      <c r="P2990" t="n">
        <v>0</v>
      </c>
      <c r="Q2990" t="n">
        <v>0</v>
      </c>
      <c r="R2990" s="2" t="inlineStr"/>
    </row>
    <row r="2991" ht="15" customHeight="1">
      <c r="A2991" t="inlineStr">
        <is>
          <t>A 53581-2023</t>
        </is>
      </c>
      <c r="B2991" s="1" t="n">
        <v>45230</v>
      </c>
      <c r="C2991" s="1" t="n">
        <v>45672</v>
      </c>
      <c r="D2991" t="inlineStr">
        <is>
          <t>STOCKHOLMS LÄN</t>
        </is>
      </c>
      <c r="E2991" t="inlineStr">
        <is>
          <t>VALLENTUNA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53718-2023</t>
        </is>
      </c>
      <c r="B2992" s="1" t="n">
        <v>45230</v>
      </c>
      <c r="C2992" s="1" t="n">
        <v>45672</v>
      </c>
      <c r="D2992" t="inlineStr">
        <is>
          <t>STOCKHOLMS LÄN</t>
        </is>
      </c>
      <c r="E2992" t="inlineStr">
        <is>
          <t>NORRTÄLJE</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53840-2023</t>
        </is>
      </c>
      <c r="B2993" s="1" t="n">
        <v>45231</v>
      </c>
      <c r="C2993" s="1" t="n">
        <v>45672</v>
      </c>
      <c r="D2993" t="inlineStr">
        <is>
          <t>STOCKHOLMS LÄN</t>
        </is>
      </c>
      <c r="E2993" t="inlineStr">
        <is>
          <t>UPPLANDS-BRO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53787-2023</t>
        </is>
      </c>
      <c r="B2994" s="1" t="n">
        <v>45231</v>
      </c>
      <c r="C2994" s="1" t="n">
        <v>45672</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53836-2023</t>
        </is>
      </c>
      <c r="B2995" s="1" t="n">
        <v>45231</v>
      </c>
      <c r="C2995" s="1" t="n">
        <v>45672</v>
      </c>
      <c r="D2995" t="inlineStr">
        <is>
          <t>STOCKHOLMS LÄN</t>
        </is>
      </c>
      <c r="E2995" t="inlineStr">
        <is>
          <t>UPPLANDS-BRO</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53792-2023</t>
        </is>
      </c>
      <c r="B2996" s="1" t="n">
        <v>45231</v>
      </c>
      <c r="C2996" s="1" t="n">
        <v>45672</v>
      </c>
      <c r="D2996" t="inlineStr">
        <is>
          <t>STOCKHOLMS LÄN</t>
        </is>
      </c>
      <c r="E2996" t="inlineStr">
        <is>
          <t>NORRTÄLJE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55518-2023</t>
        </is>
      </c>
      <c r="B2997" s="1" t="n">
        <v>45231</v>
      </c>
      <c r="C2997" s="1" t="n">
        <v>45672</v>
      </c>
      <c r="D2997" t="inlineStr">
        <is>
          <t>STOCKHOLMS LÄN</t>
        </is>
      </c>
      <c r="E2997" t="inlineStr">
        <is>
          <t>NORRTÄLJE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53832-2023</t>
        </is>
      </c>
      <c r="B2998" s="1" t="n">
        <v>45231</v>
      </c>
      <c r="C2998" s="1" t="n">
        <v>45672</v>
      </c>
      <c r="D2998" t="inlineStr">
        <is>
          <t>STOCKHOLMS LÄN</t>
        </is>
      </c>
      <c r="E2998" t="inlineStr">
        <is>
          <t>UPPLANDS-BRO</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55533-2023</t>
        </is>
      </c>
      <c r="B2999" s="1" t="n">
        <v>45231</v>
      </c>
      <c r="C2999" s="1" t="n">
        <v>45672</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54259-2023</t>
        </is>
      </c>
      <c r="B3000" s="1" t="n">
        <v>45232</v>
      </c>
      <c r="C3000" s="1" t="n">
        <v>45672</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55586-2023</t>
        </is>
      </c>
      <c r="B3001" s="1" t="n">
        <v>45232</v>
      </c>
      <c r="C3001" s="1" t="n">
        <v>45672</v>
      </c>
      <c r="D3001" t="inlineStr">
        <is>
          <t>STOCKHOLMS LÄN</t>
        </is>
      </c>
      <c r="E3001" t="inlineStr">
        <is>
          <t>UPPLANDS-BRO</t>
        </is>
      </c>
      <c r="F3001" t="inlineStr">
        <is>
          <t>Övriga statliga verk och myndigheter</t>
        </is>
      </c>
      <c r="G3001" t="n">
        <v>38.9</v>
      </c>
      <c r="H3001" t="n">
        <v>0</v>
      </c>
      <c r="I3001" t="n">
        <v>0</v>
      </c>
      <c r="J3001" t="n">
        <v>0</v>
      </c>
      <c r="K3001" t="n">
        <v>0</v>
      </c>
      <c r="L3001" t="n">
        <v>0</v>
      </c>
      <c r="M3001" t="n">
        <v>0</v>
      </c>
      <c r="N3001" t="n">
        <v>0</v>
      </c>
      <c r="O3001" t="n">
        <v>0</v>
      </c>
      <c r="P3001" t="n">
        <v>0</v>
      </c>
      <c r="Q3001" t="n">
        <v>0</v>
      </c>
      <c r="R3001" s="2" t="inlineStr"/>
    </row>
    <row r="3002" ht="15" customHeight="1">
      <c r="A3002" t="inlineStr">
        <is>
          <t>A 54583-2023</t>
        </is>
      </c>
      <c r="B3002" s="1" t="n">
        <v>45233</v>
      </c>
      <c r="C3002" s="1" t="n">
        <v>45672</v>
      </c>
      <c r="D3002" t="inlineStr">
        <is>
          <t>STOCKHOLMS LÄN</t>
        </is>
      </c>
      <c r="E3002" t="inlineStr">
        <is>
          <t>NYKVARN</t>
        </is>
      </c>
      <c r="F3002" t="inlineStr">
        <is>
          <t>Kommuner</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54546-2023</t>
        </is>
      </c>
      <c r="B3003" s="1" t="n">
        <v>45233</v>
      </c>
      <c r="C3003" s="1" t="n">
        <v>45672</v>
      </c>
      <c r="D3003" t="inlineStr">
        <is>
          <t>STOCKHOLMS LÄN</t>
        </is>
      </c>
      <c r="E3003" t="inlineStr">
        <is>
          <t>NORRTÄLJE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54670-2023</t>
        </is>
      </c>
      <c r="B3004" s="1" t="n">
        <v>45235</v>
      </c>
      <c r="C3004" s="1" t="n">
        <v>45672</v>
      </c>
      <c r="D3004" t="inlineStr">
        <is>
          <t>STOCKHOLMS LÄN</t>
        </is>
      </c>
      <c r="E3004" t="inlineStr">
        <is>
          <t>NYKVARN</t>
        </is>
      </c>
      <c r="F3004" t="inlineStr">
        <is>
          <t>Kommuner</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54776-2023</t>
        </is>
      </c>
      <c r="B3005" s="1" t="n">
        <v>45236</v>
      </c>
      <c r="C3005" s="1" t="n">
        <v>45672</v>
      </c>
      <c r="D3005" t="inlineStr">
        <is>
          <t>STOCKHOLMS LÄN</t>
        </is>
      </c>
      <c r="E3005" t="inlineStr">
        <is>
          <t>NORRTÄLJE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55038-2023</t>
        </is>
      </c>
      <c r="B3006" s="1" t="n">
        <v>45237</v>
      </c>
      <c r="C3006" s="1" t="n">
        <v>45672</v>
      </c>
      <c r="D3006" t="inlineStr">
        <is>
          <t>STOCKHOLMS LÄN</t>
        </is>
      </c>
      <c r="E3006" t="inlineStr">
        <is>
          <t>NORRTÄLJE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55243-2023</t>
        </is>
      </c>
      <c r="B3007" s="1" t="n">
        <v>45237</v>
      </c>
      <c r="C3007" s="1" t="n">
        <v>45672</v>
      </c>
      <c r="D3007" t="inlineStr">
        <is>
          <t>STOCKHOLMS LÄN</t>
        </is>
      </c>
      <c r="E3007" t="inlineStr">
        <is>
          <t>NORRTÄLJE</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56392-2023</t>
        </is>
      </c>
      <c r="B3008" s="1" t="n">
        <v>45237</v>
      </c>
      <c r="C3008" s="1" t="n">
        <v>45672</v>
      </c>
      <c r="D3008" t="inlineStr">
        <is>
          <t>STOCKHOLMS LÄN</t>
        </is>
      </c>
      <c r="E3008" t="inlineStr">
        <is>
          <t>HANINGE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55369-2023</t>
        </is>
      </c>
      <c r="B3009" s="1" t="n">
        <v>45238</v>
      </c>
      <c r="C3009" s="1" t="n">
        <v>45672</v>
      </c>
      <c r="D3009" t="inlineStr">
        <is>
          <t>STOCKHOLMS LÄN</t>
        </is>
      </c>
      <c r="E3009" t="inlineStr">
        <is>
          <t>NORRTÄLJE</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55755-2023</t>
        </is>
      </c>
      <c r="B3010" s="1" t="n">
        <v>45239</v>
      </c>
      <c r="C3010" s="1" t="n">
        <v>45672</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55845-2023</t>
        </is>
      </c>
      <c r="B3011" s="1" t="n">
        <v>45239</v>
      </c>
      <c r="C3011" s="1" t="n">
        <v>45672</v>
      </c>
      <c r="D3011" t="inlineStr">
        <is>
          <t>STOCKHOLMS LÄN</t>
        </is>
      </c>
      <c r="E3011" t="inlineStr">
        <is>
          <t>VALLENTUNA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55871-2023</t>
        </is>
      </c>
      <c r="B3012" s="1" t="n">
        <v>45239</v>
      </c>
      <c r="C3012" s="1" t="n">
        <v>45672</v>
      </c>
      <c r="D3012" t="inlineStr">
        <is>
          <t>STOCKHOLMS LÄN</t>
        </is>
      </c>
      <c r="E3012" t="inlineStr">
        <is>
          <t>NYNÄSHAMN</t>
        </is>
      </c>
      <c r="F3012" t="inlineStr">
        <is>
          <t>Kommuner</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55940-2023</t>
        </is>
      </c>
      <c r="B3013" s="1" t="n">
        <v>45240</v>
      </c>
      <c r="C3013" s="1" t="n">
        <v>45672</v>
      </c>
      <c r="D3013" t="inlineStr">
        <is>
          <t>STOCKHOLMS LÄN</t>
        </is>
      </c>
      <c r="E3013" t="inlineStr">
        <is>
          <t>SÖDERTÄLJE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55941-2023</t>
        </is>
      </c>
      <c r="B3014" s="1" t="n">
        <v>45240</v>
      </c>
      <c r="C3014" s="1" t="n">
        <v>45672</v>
      </c>
      <c r="D3014" t="inlineStr">
        <is>
          <t>STOCKHOLMS LÄN</t>
        </is>
      </c>
      <c r="E3014" t="inlineStr">
        <is>
          <t>SÖDERTÄLJE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56358-2023</t>
        </is>
      </c>
      <c r="B3015" s="1" t="n">
        <v>45243</v>
      </c>
      <c r="C3015" s="1" t="n">
        <v>45672</v>
      </c>
      <c r="D3015" t="inlineStr">
        <is>
          <t>STOCKHOLMS LÄN</t>
        </is>
      </c>
      <c r="E3015" t="inlineStr">
        <is>
          <t>SÖDERTÄLJE</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56344-2023</t>
        </is>
      </c>
      <c r="B3016" s="1" t="n">
        <v>45243</v>
      </c>
      <c r="C3016" s="1" t="n">
        <v>45672</v>
      </c>
      <c r="D3016" t="inlineStr">
        <is>
          <t>STOCKHOLMS LÄN</t>
        </is>
      </c>
      <c r="E3016" t="inlineStr">
        <is>
          <t>SÖDERTÄLJE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56349-2023</t>
        </is>
      </c>
      <c r="B3017" s="1" t="n">
        <v>45243</v>
      </c>
      <c r="C3017" s="1" t="n">
        <v>45672</v>
      </c>
      <c r="D3017" t="inlineStr">
        <is>
          <t>STOCKHOLMS LÄN</t>
        </is>
      </c>
      <c r="E3017" t="inlineStr">
        <is>
          <t>SÖDERTÄLJE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56354-2023</t>
        </is>
      </c>
      <c r="B3018" s="1" t="n">
        <v>45243</v>
      </c>
      <c r="C3018" s="1" t="n">
        <v>45672</v>
      </c>
      <c r="D3018" t="inlineStr">
        <is>
          <t>STOCKHOLMS LÄN</t>
        </is>
      </c>
      <c r="E3018" t="inlineStr">
        <is>
          <t>SÖDERTÄLJE</t>
        </is>
      </c>
      <c r="G3018" t="n">
        <v>11.4</v>
      </c>
      <c r="H3018" t="n">
        <v>0</v>
      </c>
      <c r="I3018" t="n">
        <v>0</v>
      </c>
      <c r="J3018" t="n">
        <v>0</v>
      </c>
      <c r="K3018" t="n">
        <v>0</v>
      </c>
      <c r="L3018" t="n">
        <v>0</v>
      </c>
      <c r="M3018" t="n">
        <v>0</v>
      </c>
      <c r="N3018" t="n">
        <v>0</v>
      </c>
      <c r="O3018" t="n">
        <v>0</v>
      </c>
      <c r="P3018" t="n">
        <v>0</v>
      </c>
      <c r="Q3018" t="n">
        <v>0</v>
      </c>
      <c r="R3018" s="2" t="inlineStr"/>
    </row>
    <row r="3019" ht="15" customHeight="1">
      <c r="A3019" t="inlineStr">
        <is>
          <t>A 56596-2023</t>
        </is>
      </c>
      <c r="B3019" s="1" t="n">
        <v>45243</v>
      </c>
      <c r="C3019" s="1" t="n">
        <v>45672</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56373-2023</t>
        </is>
      </c>
      <c r="B3020" s="1" t="n">
        <v>45243</v>
      </c>
      <c r="C3020" s="1" t="n">
        <v>45672</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56428-2023</t>
        </is>
      </c>
      <c r="B3021" s="1" t="n">
        <v>45243</v>
      </c>
      <c r="C3021" s="1" t="n">
        <v>45672</v>
      </c>
      <c r="D3021" t="inlineStr">
        <is>
          <t>STOCKHOLMS LÄN</t>
        </is>
      </c>
      <c r="E3021" t="inlineStr">
        <is>
          <t>NORRTÄLJE</t>
        </is>
      </c>
      <c r="F3021" t="inlineStr">
        <is>
          <t>Kyrkan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56439-2023</t>
        </is>
      </c>
      <c r="B3022" s="1" t="n">
        <v>45243</v>
      </c>
      <c r="C3022" s="1" t="n">
        <v>45672</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56445-2023</t>
        </is>
      </c>
      <c r="B3023" s="1" t="n">
        <v>45243</v>
      </c>
      <c r="C3023" s="1" t="n">
        <v>45672</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56577-2023</t>
        </is>
      </c>
      <c r="B3024" s="1" t="n">
        <v>45243</v>
      </c>
      <c r="C3024" s="1" t="n">
        <v>45672</v>
      </c>
      <c r="D3024" t="inlineStr">
        <is>
          <t>STOCKHOLMS LÄN</t>
        </is>
      </c>
      <c r="E3024" t="inlineStr">
        <is>
          <t>NORRTÄLJE</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56639-2023</t>
        </is>
      </c>
      <c r="B3025" s="1" t="n">
        <v>45243</v>
      </c>
      <c r="C3025" s="1" t="n">
        <v>45672</v>
      </c>
      <c r="D3025" t="inlineStr">
        <is>
          <t>STOCKHOLMS LÄN</t>
        </is>
      </c>
      <c r="E3025" t="inlineStr">
        <is>
          <t>NYKVARN</t>
        </is>
      </c>
      <c r="F3025" t="inlineStr">
        <is>
          <t>Kommuner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56593-2023</t>
        </is>
      </c>
      <c r="B3026" s="1" t="n">
        <v>45243</v>
      </c>
      <c r="C3026" s="1" t="n">
        <v>45672</v>
      </c>
      <c r="D3026" t="inlineStr">
        <is>
          <t>STOCKHOLMS LÄN</t>
        </is>
      </c>
      <c r="E3026" t="inlineStr">
        <is>
          <t>NORRTÄLJE</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56762-2023</t>
        </is>
      </c>
      <c r="B3027" s="1" t="n">
        <v>45244</v>
      </c>
      <c r="C3027" s="1" t="n">
        <v>45672</v>
      </c>
      <c r="D3027" t="inlineStr">
        <is>
          <t>STOCKHOLMS LÄN</t>
        </is>
      </c>
      <c r="E3027" t="inlineStr">
        <is>
          <t>SÖDERTÄLJE</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56885-2023</t>
        </is>
      </c>
      <c r="B3028" s="1" t="n">
        <v>45244</v>
      </c>
      <c r="C3028" s="1" t="n">
        <v>45672</v>
      </c>
      <c r="D3028" t="inlineStr">
        <is>
          <t>STOCKHOLMS LÄN</t>
        </is>
      </c>
      <c r="E3028" t="inlineStr">
        <is>
          <t>BOTKYRKA</t>
        </is>
      </c>
      <c r="F3028" t="inlineStr">
        <is>
          <t>Övriga Aktiebolag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56900-2023</t>
        </is>
      </c>
      <c r="B3029" s="1" t="n">
        <v>45244</v>
      </c>
      <c r="C3029" s="1" t="n">
        <v>45672</v>
      </c>
      <c r="D3029" t="inlineStr">
        <is>
          <t>STOCKHOLMS LÄN</t>
        </is>
      </c>
      <c r="E3029" t="inlineStr">
        <is>
          <t>BOTKYRKA</t>
        </is>
      </c>
      <c r="F3029" t="inlineStr">
        <is>
          <t>Övriga Aktiebolag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56819-2023</t>
        </is>
      </c>
      <c r="B3030" s="1" t="n">
        <v>45244</v>
      </c>
      <c r="C3030" s="1" t="n">
        <v>45672</v>
      </c>
      <c r="D3030" t="inlineStr">
        <is>
          <t>STOCKHOLMS LÄN</t>
        </is>
      </c>
      <c r="E3030" t="inlineStr">
        <is>
          <t>NORRTÄLJE</t>
        </is>
      </c>
      <c r="G3030" t="n">
        <v>13.6</v>
      </c>
      <c r="H3030" t="n">
        <v>0</v>
      </c>
      <c r="I3030" t="n">
        <v>0</v>
      </c>
      <c r="J3030" t="n">
        <v>0</v>
      </c>
      <c r="K3030" t="n">
        <v>0</v>
      </c>
      <c r="L3030" t="n">
        <v>0</v>
      </c>
      <c r="M3030" t="n">
        <v>0</v>
      </c>
      <c r="N3030" t="n">
        <v>0</v>
      </c>
      <c r="O3030" t="n">
        <v>0</v>
      </c>
      <c r="P3030" t="n">
        <v>0</v>
      </c>
      <c r="Q3030" t="n">
        <v>0</v>
      </c>
      <c r="R3030" s="2" t="inlineStr"/>
    </row>
    <row r="3031" ht="15" customHeight="1">
      <c r="A3031" t="inlineStr">
        <is>
          <t>A 56966-2023</t>
        </is>
      </c>
      <c r="B3031" s="1" t="n">
        <v>45244</v>
      </c>
      <c r="C3031" s="1" t="n">
        <v>45672</v>
      </c>
      <c r="D3031" t="inlineStr">
        <is>
          <t>STOCKHOLMS LÄN</t>
        </is>
      </c>
      <c r="E3031" t="inlineStr">
        <is>
          <t>SALEM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58261-2023</t>
        </is>
      </c>
      <c r="B3032" s="1" t="n">
        <v>45245</v>
      </c>
      <c r="C3032" s="1" t="n">
        <v>45672</v>
      </c>
      <c r="D3032" t="inlineStr">
        <is>
          <t>STOCKHOLMS LÄN</t>
        </is>
      </c>
      <c r="E3032" t="inlineStr">
        <is>
          <t>NORRTÄLJE</t>
        </is>
      </c>
      <c r="G3032" t="n">
        <v>53.5</v>
      </c>
      <c r="H3032" t="n">
        <v>0</v>
      </c>
      <c r="I3032" t="n">
        <v>0</v>
      </c>
      <c r="J3032" t="n">
        <v>0</v>
      </c>
      <c r="K3032" t="n">
        <v>0</v>
      </c>
      <c r="L3032" t="n">
        <v>0</v>
      </c>
      <c r="M3032" t="n">
        <v>0</v>
      </c>
      <c r="N3032" t="n">
        <v>0</v>
      </c>
      <c r="O3032" t="n">
        <v>0</v>
      </c>
      <c r="P3032" t="n">
        <v>0</v>
      </c>
      <c r="Q3032" t="n">
        <v>0</v>
      </c>
      <c r="R3032" s="2" t="inlineStr"/>
    </row>
    <row r="3033" ht="15" customHeight="1">
      <c r="A3033" t="inlineStr">
        <is>
          <t>A 58209-2023</t>
        </is>
      </c>
      <c r="B3033" s="1" t="n">
        <v>45245</v>
      </c>
      <c r="C3033" s="1" t="n">
        <v>45672</v>
      </c>
      <c r="D3033" t="inlineStr">
        <is>
          <t>STOCKHOLMS LÄN</t>
        </is>
      </c>
      <c r="E3033" t="inlineStr">
        <is>
          <t>NORRTÄLJE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58227-2023</t>
        </is>
      </c>
      <c r="B3034" s="1" t="n">
        <v>45245</v>
      </c>
      <c r="C3034" s="1" t="n">
        <v>45672</v>
      </c>
      <c r="D3034" t="inlineStr">
        <is>
          <t>STOCKHOLMS LÄN</t>
        </is>
      </c>
      <c r="E3034" t="inlineStr">
        <is>
          <t>NORRTÄLJE</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58291-2023</t>
        </is>
      </c>
      <c r="B3035" s="1" t="n">
        <v>45245</v>
      </c>
      <c r="C3035" s="1" t="n">
        <v>45672</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58277-2023</t>
        </is>
      </c>
      <c r="B3036" s="1" t="n">
        <v>45245</v>
      </c>
      <c r="C3036" s="1" t="n">
        <v>45672</v>
      </c>
      <c r="D3036" t="inlineStr">
        <is>
          <t>STOCKHOLMS LÄN</t>
        </is>
      </c>
      <c r="E3036" t="inlineStr">
        <is>
          <t>NORRTÄLJE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58213-2023</t>
        </is>
      </c>
      <c r="B3037" s="1" t="n">
        <v>45245</v>
      </c>
      <c r="C3037" s="1" t="n">
        <v>45672</v>
      </c>
      <c r="D3037" t="inlineStr">
        <is>
          <t>STOCKHOLMS LÄN</t>
        </is>
      </c>
      <c r="E3037" t="inlineStr">
        <is>
          <t>NORRTÄLJE</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58311-2023</t>
        </is>
      </c>
      <c r="B3038" s="1" t="n">
        <v>45245</v>
      </c>
      <c r="C3038" s="1" t="n">
        <v>45672</v>
      </c>
      <c r="D3038" t="inlineStr">
        <is>
          <t>STOCKHOLMS LÄN</t>
        </is>
      </c>
      <c r="E3038" t="inlineStr">
        <is>
          <t>NORRTÄLJE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58300-2023</t>
        </is>
      </c>
      <c r="B3039" s="1" t="n">
        <v>45245</v>
      </c>
      <c r="C3039" s="1" t="n">
        <v>45672</v>
      </c>
      <c r="D3039" t="inlineStr">
        <is>
          <t>STOCKHOLMS LÄN</t>
        </is>
      </c>
      <c r="E3039" t="inlineStr">
        <is>
          <t>NORRTÄLJE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58260-2023</t>
        </is>
      </c>
      <c r="B3040" s="1" t="n">
        <v>45245</v>
      </c>
      <c r="C3040" s="1" t="n">
        <v>45672</v>
      </c>
      <c r="D3040" t="inlineStr">
        <is>
          <t>STOCKHOLMS LÄN</t>
        </is>
      </c>
      <c r="E3040" t="inlineStr">
        <is>
          <t>NORRTÄLJE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58297-2023</t>
        </is>
      </c>
      <c r="B3041" s="1" t="n">
        <v>45245</v>
      </c>
      <c r="C3041" s="1" t="n">
        <v>45672</v>
      </c>
      <c r="D3041" t="inlineStr">
        <is>
          <t>STOCKHOLMS LÄN</t>
        </is>
      </c>
      <c r="E3041" t="inlineStr">
        <is>
          <t>NORRTÄLJE</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58306-2023</t>
        </is>
      </c>
      <c r="B3042" s="1" t="n">
        <v>45245</v>
      </c>
      <c r="C3042" s="1" t="n">
        <v>45672</v>
      </c>
      <c r="D3042" t="inlineStr">
        <is>
          <t>STOCKHOLMS LÄN</t>
        </is>
      </c>
      <c r="E3042" t="inlineStr">
        <is>
          <t>NORRTÄLJE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58404-2023</t>
        </is>
      </c>
      <c r="B3043" s="1" t="n">
        <v>45245</v>
      </c>
      <c r="C3043" s="1" t="n">
        <v>45672</v>
      </c>
      <c r="D3043" t="inlineStr">
        <is>
          <t>STOCKHOLMS LÄN</t>
        </is>
      </c>
      <c r="E3043" t="inlineStr">
        <is>
          <t>NORRTÄLJE</t>
        </is>
      </c>
      <c r="G3043" t="n">
        <v>53.5</v>
      </c>
      <c r="H3043" t="n">
        <v>0</v>
      </c>
      <c r="I3043" t="n">
        <v>0</v>
      </c>
      <c r="J3043" t="n">
        <v>0</v>
      </c>
      <c r="K3043" t="n">
        <v>0</v>
      </c>
      <c r="L3043" t="n">
        <v>0</v>
      </c>
      <c r="M3043" t="n">
        <v>0</v>
      </c>
      <c r="N3043" t="n">
        <v>0</v>
      </c>
      <c r="O3043" t="n">
        <v>0</v>
      </c>
      <c r="P3043" t="n">
        <v>0</v>
      </c>
      <c r="Q3043" t="n">
        <v>0</v>
      </c>
      <c r="R3043" s="2" t="inlineStr"/>
    </row>
    <row r="3044" ht="15" customHeight="1">
      <c r="A3044" t="inlineStr">
        <is>
          <t>A 57512-2023</t>
        </is>
      </c>
      <c r="B3044" s="1" t="n">
        <v>45246</v>
      </c>
      <c r="C3044" s="1" t="n">
        <v>45672</v>
      </c>
      <c r="D3044" t="inlineStr">
        <is>
          <t>STOCKHOLMS LÄN</t>
        </is>
      </c>
      <c r="E3044" t="inlineStr">
        <is>
          <t>SÖDERTÄLJE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58675-2023</t>
        </is>
      </c>
      <c r="B3045" s="1" t="n">
        <v>45247</v>
      </c>
      <c r="C3045" s="1" t="n">
        <v>45672</v>
      </c>
      <c r="D3045" t="inlineStr">
        <is>
          <t>STOCKHOLMS LÄN</t>
        </is>
      </c>
      <c r="E3045" t="inlineStr">
        <is>
          <t>SIGTUNA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58191-2023</t>
        </is>
      </c>
      <c r="B3046" s="1" t="n">
        <v>45250</v>
      </c>
      <c r="C3046" s="1" t="n">
        <v>45672</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58186-2023</t>
        </is>
      </c>
      <c r="B3047" s="1" t="n">
        <v>45250</v>
      </c>
      <c r="C3047" s="1" t="n">
        <v>45672</v>
      </c>
      <c r="D3047" t="inlineStr">
        <is>
          <t>STOCKHOLMS LÄN</t>
        </is>
      </c>
      <c r="E3047" t="inlineStr">
        <is>
          <t>NORRTÄLJE</t>
        </is>
      </c>
      <c r="F3047" t="inlineStr">
        <is>
          <t>Kyrkan</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58140-2023</t>
        </is>
      </c>
      <c r="B3048" s="1" t="n">
        <v>45250</v>
      </c>
      <c r="C3048" s="1" t="n">
        <v>45672</v>
      </c>
      <c r="D3048" t="inlineStr">
        <is>
          <t>STOCKHOLMS LÄN</t>
        </is>
      </c>
      <c r="E3048" t="inlineStr">
        <is>
          <t>SÖDERTÄLJE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58981-2023</t>
        </is>
      </c>
      <c r="B3049" s="1" t="n">
        <v>45250</v>
      </c>
      <c r="C3049" s="1" t="n">
        <v>45672</v>
      </c>
      <c r="D3049" t="inlineStr">
        <is>
          <t>STOCKHOLMS LÄN</t>
        </is>
      </c>
      <c r="E3049" t="inlineStr">
        <is>
          <t>NORRTÄLJE</t>
        </is>
      </c>
      <c r="F3049" t="inlineStr">
        <is>
          <t>Övriga statliga verk och myndigheter</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58589-2023</t>
        </is>
      </c>
      <c r="B3050" s="1" t="n">
        <v>45251</v>
      </c>
      <c r="C3050" s="1" t="n">
        <v>45672</v>
      </c>
      <c r="D3050" t="inlineStr">
        <is>
          <t>STOCKHOLMS LÄN</t>
        </is>
      </c>
      <c r="E3050" t="inlineStr">
        <is>
          <t>HANINGE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58592-2023</t>
        </is>
      </c>
      <c r="B3051" s="1" t="n">
        <v>45251</v>
      </c>
      <c r="C3051" s="1" t="n">
        <v>45672</v>
      </c>
      <c r="D3051" t="inlineStr">
        <is>
          <t>STOCKHOLMS LÄN</t>
        </is>
      </c>
      <c r="E3051" t="inlineStr">
        <is>
          <t>SALEM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58601-2023</t>
        </is>
      </c>
      <c r="B3052" s="1" t="n">
        <v>45251</v>
      </c>
      <c r="C3052" s="1" t="n">
        <v>45672</v>
      </c>
      <c r="D3052" t="inlineStr">
        <is>
          <t>STOCKHOLMS LÄN</t>
        </is>
      </c>
      <c r="E3052" t="inlineStr">
        <is>
          <t>NORRTÄLJE</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58605-2023</t>
        </is>
      </c>
      <c r="B3053" s="1" t="n">
        <v>45251</v>
      </c>
      <c r="C3053" s="1" t="n">
        <v>45672</v>
      </c>
      <c r="D3053" t="inlineStr">
        <is>
          <t>STOCKHOLMS LÄN</t>
        </is>
      </c>
      <c r="E3053" t="inlineStr">
        <is>
          <t>HANINGE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58649-2023</t>
        </is>
      </c>
      <c r="B3054" s="1" t="n">
        <v>45251</v>
      </c>
      <c r="C3054" s="1" t="n">
        <v>45672</v>
      </c>
      <c r="D3054" t="inlineStr">
        <is>
          <t>STOCKHOLMS LÄN</t>
        </is>
      </c>
      <c r="E3054" t="inlineStr">
        <is>
          <t>SIGTUNA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58599-2023</t>
        </is>
      </c>
      <c r="B3055" s="1" t="n">
        <v>45251</v>
      </c>
      <c r="C3055" s="1" t="n">
        <v>45672</v>
      </c>
      <c r="D3055" t="inlineStr">
        <is>
          <t>STOCKHOLMS LÄN</t>
        </is>
      </c>
      <c r="E3055" t="inlineStr">
        <is>
          <t>HANINGE</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58620-2023</t>
        </is>
      </c>
      <c r="B3056" s="1" t="n">
        <v>45251</v>
      </c>
      <c r="C3056" s="1" t="n">
        <v>45672</v>
      </c>
      <c r="D3056" t="inlineStr">
        <is>
          <t>STOCKHOLMS LÄN</t>
        </is>
      </c>
      <c r="E3056" t="inlineStr">
        <is>
          <t>SIGTUNA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58619-2023</t>
        </is>
      </c>
      <c r="B3057" s="1" t="n">
        <v>45251</v>
      </c>
      <c r="C3057" s="1" t="n">
        <v>45672</v>
      </c>
      <c r="D3057" t="inlineStr">
        <is>
          <t>STOCKHOLMS LÄN</t>
        </is>
      </c>
      <c r="E3057" t="inlineStr">
        <is>
          <t>SIGTUNA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58647-2023</t>
        </is>
      </c>
      <c r="B3058" s="1" t="n">
        <v>45251</v>
      </c>
      <c r="C3058" s="1" t="n">
        <v>45672</v>
      </c>
      <c r="D3058" t="inlineStr">
        <is>
          <t>STOCKHOLMS LÄN</t>
        </is>
      </c>
      <c r="E3058" t="inlineStr">
        <is>
          <t>SIGTUNA</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59310-2023</t>
        </is>
      </c>
      <c r="B3059" s="1" t="n">
        <v>45253</v>
      </c>
      <c r="C3059" s="1" t="n">
        <v>45672</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59326-2023</t>
        </is>
      </c>
      <c r="B3060" s="1" t="n">
        <v>45253</v>
      </c>
      <c r="C3060" s="1" t="n">
        <v>45672</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59212-2023</t>
        </is>
      </c>
      <c r="B3061" s="1" t="n">
        <v>45253</v>
      </c>
      <c r="C3061" s="1" t="n">
        <v>45672</v>
      </c>
      <c r="D3061" t="inlineStr">
        <is>
          <t>STOCKHOLMS LÄN</t>
        </is>
      </c>
      <c r="E3061" t="inlineStr">
        <is>
          <t>NORRTÄLJE</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59276-2023</t>
        </is>
      </c>
      <c r="B3062" s="1" t="n">
        <v>45253</v>
      </c>
      <c r="C3062" s="1" t="n">
        <v>45672</v>
      </c>
      <c r="D3062" t="inlineStr">
        <is>
          <t>STOCKHOLMS LÄN</t>
        </is>
      </c>
      <c r="E3062" t="inlineStr">
        <is>
          <t>NORRTÄLJE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59468-2023</t>
        </is>
      </c>
      <c r="B3063" s="1" t="n">
        <v>45254</v>
      </c>
      <c r="C3063" s="1" t="n">
        <v>45672</v>
      </c>
      <c r="D3063" t="inlineStr">
        <is>
          <t>STOCKHOLMS LÄN</t>
        </is>
      </c>
      <c r="E3063" t="inlineStr">
        <is>
          <t>NORRTÄLJE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59499-2023</t>
        </is>
      </c>
      <c r="B3064" s="1" t="n">
        <v>45254</v>
      </c>
      <c r="C3064" s="1" t="n">
        <v>45672</v>
      </c>
      <c r="D3064" t="inlineStr">
        <is>
          <t>STOCKHOLMS LÄN</t>
        </is>
      </c>
      <c r="E3064" t="inlineStr">
        <is>
          <t>NORRTÄLJE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59504-2023</t>
        </is>
      </c>
      <c r="B3065" s="1" t="n">
        <v>45254</v>
      </c>
      <c r="C3065" s="1" t="n">
        <v>45672</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59676-2023</t>
        </is>
      </c>
      <c r="B3066" s="1" t="n">
        <v>45255</v>
      </c>
      <c r="C3066" s="1" t="n">
        <v>45672</v>
      </c>
      <c r="D3066" t="inlineStr">
        <is>
          <t>STOCKHOLMS LÄN</t>
        </is>
      </c>
      <c r="E3066" t="inlineStr">
        <is>
          <t>NORRTÄLJE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59904-2023</t>
        </is>
      </c>
      <c r="B3067" s="1" t="n">
        <v>45257</v>
      </c>
      <c r="C3067" s="1" t="n">
        <v>45672</v>
      </c>
      <c r="D3067" t="inlineStr">
        <is>
          <t>STOCKHOLMS LÄN</t>
        </is>
      </c>
      <c r="E3067" t="inlineStr">
        <is>
          <t>NORRTÄLJE</t>
        </is>
      </c>
      <c r="G3067" t="n">
        <v>17.4</v>
      </c>
      <c r="H3067" t="n">
        <v>0</v>
      </c>
      <c r="I3067" t="n">
        <v>0</v>
      </c>
      <c r="J3067" t="n">
        <v>0</v>
      </c>
      <c r="K3067" t="n">
        <v>0</v>
      </c>
      <c r="L3067" t="n">
        <v>0</v>
      </c>
      <c r="M3067" t="n">
        <v>0</v>
      </c>
      <c r="N3067" t="n">
        <v>0</v>
      </c>
      <c r="O3067" t="n">
        <v>0</v>
      </c>
      <c r="P3067" t="n">
        <v>0</v>
      </c>
      <c r="Q3067" t="n">
        <v>0</v>
      </c>
      <c r="R3067" s="2" t="inlineStr"/>
    </row>
    <row r="3068" ht="15" customHeight="1">
      <c r="A3068" t="inlineStr">
        <is>
          <t>A 59906-2023</t>
        </is>
      </c>
      <c r="B3068" s="1" t="n">
        <v>45257</v>
      </c>
      <c r="C3068" s="1" t="n">
        <v>45672</v>
      </c>
      <c r="D3068" t="inlineStr">
        <is>
          <t>STOCKHOLMS LÄN</t>
        </is>
      </c>
      <c r="E3068" t="inlineStr">
        <is>
          <t>NORRTÄLJE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59948-2023</t>
        </is>
      </c>
      <c r="B3069" s="1" t="n">
        <v>45257</v>
      </c>
      <c r="C3069" s="1" t="n">
        <v>45672</v>
      </c>
      <c r="D3069" t="inlineStr">
        <is>
          <t>STOCKHOLMS LÄN</t>
        </is>
      </c>
      <c r="E3069" t="inlineStr">
        <is>
          <t>SIGTUNA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59957-2023</t>
        </is>
      </c>
      <c r="B3070" s="1" t="n">
        <v>45257</v>
      </c>
      <c r="C3070" s="1" t="n">
        <v>45672</v>
      </c>
      <c r="D3070" t="inlineStr">
        <is>
          <t>STOCKHOLMS LÄN</t>
        </is>
      </c>
      <c r="E3070" t="inlineStr">
        <is>
          <t>SIGTUNA</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59958-2023</t>
        </is>
      </c>
      <c r="B3071" s="1" t="n">
        <v>45257</v>
      </c>
      <c r="C3071" s="1" t="n">
        <v>45672</v>
      </c>
      <c r="D3071" t="inlineStr">
        <is>
          <t>STOCKHOLMS LÄN</t>
        </is>
      </c>
      <c r="E3071" t="inlineStr">
        <is>
          <t>SIGTUNA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60050-2023</t>
        </is>
      </c>
      <c r="B3072" s="1" t="n">
        <v>45257</v>
      </c>
      <c r="C3072" s="1" t="n">
        <v>45672</v>
      </c>
      <c r="D3072" t="inlineStr">
        <is>
          <t>STOCKHOLMS LÄN</t>
        </is>
      </c>
      <c r="E3072" t="inlineStr">
        <is>
          <t>NYNÄSHAMN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60053-2023</t>
        </is>
      </c>
      <c r="B3073" s="1" t="n">
        <v>45257</v>
      </c>
      <c r="C3073" s="1" t="n">
        <v>45672</v>
      </c>
      <c r="D3073" t="inlineStr">
        <is>
          <t>STOCKHOLMS LÄN</t>
        </is>
      </c>
      <c r="E3073" t="inlineStr">
        <is>
          <t>NYNÄSHAMN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59946-2023</t>
        </is>
      </c>
      <c r="B3074" s="1" t="n">
        <v>45257</v>
      </c>
      <c r="C3074" s="1" t="n">
        <v>45672</v>
      </c>
      <c r="D3074" t="inlineStr">
        <is>
          <t>STOCKHOLMS LÄN</t>
        </is>
      </c>
      <c r="E3074" t="inlineStr">
        <is>
          <t>SIGTUNA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59992-2023</t>
        </is>
      </c>
      <c r="B3075" s="1" t="n">
        <v>45257</v>
      </c>
      <c r="C3075" s="1" t="n">
        <v>45672</v>
      </c>
      <c r="D3075" t="inlineStr">
        <is>
          <t>STOCKHOLMS LÄN</t>
        </is>
      </c>
      <c r="E3075" t="inlineStr">
        <is>
          <t>NORRTÄLJE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60224-2023</t>
        </is>
      </c>
      <c r="B3076" s="1" t="n">
        <v>45257</v>
      </c>
      <c r="C3076" s="1" t="n">
        <v>45672</v>
      </c>
      <c r="D3076" t="inlineStr">
        <is>
          <t>STOCKHOLMS LÄN</t>
        </is>
      </c>
      <c r="E3076" t="inlineStr">
        <is>
          <t>NORRTÄLJE</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60063-2023</t>
        </is>
      </c>
      <c r="B3077" s="1" t="n">
        <v>45258</v>
      </c>
      <c r="C3077" s="1" t="n">
        <v>45672</v>
      </c>
      <c r="D3077" t="inlineStr">
        <is>
          <t>STOCKHOLMS LÄN</t>
        </is>
      </c>
      <c r="E3077" t="inlineStr">
        <is>
          <t>BOTKYRKA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60075-2023</t>
        </is>
      </c>
      <c r="B3078" s="1" t="n">
        <v>45258</v>
      </c>
      <c r="C3078" s="1" t="n">
        <v>45672</v>
      </c>
      <c r="D3078" t="inlineStr">
        <is>
          <t>STOCKHOLMS LÄN</t>
        </is>
      </c>
      <c r="E3078" t="inlineStr">
        <is>
          <t>BOTKYRKA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60155-2023</t>
        </is>
      </c>
      <c r="B3079" s="1" t="n">
        <v>45258</v>
      </c>
      <c r="C3079" s="1" t="n">
        <v>45672</v>
      </c>
      <c r="D3079" t="inlineStr">
        <is>
          <t>STOCKHOLMS LÄN</t>
        </is>
      </c>
      <c r="E3079" t="inlineStr">
        <is>
          <t>SIGTUNA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60223-2023</t>
        </is>
      </c>
      <c r="B3080" s="1" t="n">
        <v>45258</v>
      </c>
      <c r="C3080" s="1" t="n">
        <v>45672</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60229-2023</t>
        </is>
      </c>
      <c r="B3081" s="1" t="n">
        <v>45258</v>
      </c>
      <c r="C3081" s="1" t="n">
        <v>45672</v>
      </c>
      <c r="D3081" t="inlineStr">
        <is>
          <t>STOCKHOLMS LÄN</t>
        </is>
      </c>
      <c r="E3081" t="inlineStr">
        <is>
          <t>HANINGE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60225-2023</t>
        </is>
      </c>
      <c r="B3082" s="1" t="n">
        <v>45258</v>
      </c>
      <c r="C3082" s="1" t="n">
        <v>45672</v>
      </c>
      <c r="D3082" t="inlineStr">
        <is>
          <t>STOCKHOLMS LÄN</t>
        </is>
      </c>
      <c r="E3082" t="inlineStr">
        <is>
          <t>HANINGE</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60234-2023</t>
        </is>
      </c>
      <c r="B3083" s="1" t="n">
        <v>45258</v>
      </c>
      <c r="C3083" s="1" t="n">
        <v>45672</v>
      </c>
      <c r="D3083" t="inlineStr">
        <is>
          <t>STOCKHOLMS LÄN</t>
        </is>
      </c>
      <c r="E3083" t="inlineStr">
        <is>
          <t>HANINGE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60211-2023</t>
        </is>
      </c>
      <c r="B3084" s="1" t="n">
        <v>45258</v>
      </c>
      <c r="C3084" s="1" t="n">
        <v>45672</v>
      </c>
      <c r="D3084" t="inlineStr">
        <is>
          <t>STOCKHOLMS LÄN</t>
        </is>
      </c>
      <c r="E3084" t="inlineStr">
        <is>
          <t>HANINGE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60220-2023</t>
        </is>
      </c>
      <c r="B3085" s="1" t="n">
        <v>45258</v>
      </c>
      <c r="C3085" s="1" t="n">
        <v>45672</v>
      </c>
      <c r="D3085" t="inlineStr">
        <is>
          <t>STOCKHOLMS LÄN</t>
        </is>
      </c>
      <c r="E3085" t="inlineStr">
        <is>
          <t>HANINGE</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60073-2023</t>
        </is>
      </c>
      <c r="B3086" s="1" t="n">
        <v>45258</v>
      </c>
      <c r="C3086" s="1" t="n">
        <v>45672</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60159-2023</t>
        </is>
      </c>
      <c r="B3087" s="1" t="n">
        <v>45258</v>
      </c>
      <c r="C3087" s="1" t="n">
        <v>45672</v>
      </c>
      <c r="D3087" t="inlineStr">
        <is>
          <t>STOCKHOLMS LÄN</t>
        </is>
      </c>
      <c r="E3087" t="inlineStr">
        <is>
          <t>SIGTUNA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60297-2023</t>
        </is>
      </c>
      <c r="B3088" s="1" t="n">
        <v>45258</v>
      </c>
      <c r="C3088" s="1" t="n">
        <v>45672</v>
      </c>
      <c r="D3088" t="inlineStr">
        <is>
          <t>STOCKHOLMS LÄN</t>
        </is>
      </c>
      <c r="E3088" t="inlineStr">
        <is>
          <t>ÖSTERÅKER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60294-2023</t>
        </is>
      </c>
      <c r="B3089" s="1" t="n">
        <v>45258</v>
      </c>
      <c r="C3089" s="1" t="n">
        <v>45672</v>
      </c>
      <c r="D3089" t="inlineStr">
        <is>
          <t>STOCKHOLMS LÄN</t>
        </is>
      </c>
      <c r="E3089" t="inlineStr">
        <is>
          <t>HANINGE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60282-2023</t>
        </is>
      </c>
      <c r="B3090" s="1" t="n">
        <v>45258</v>
      </c>
      <c r="C3090" s="1" t="n">
        <v>45672</v>
      </c>
      <c r="D3090" t="inlineStr">
        <is>
          <t>STOCKHOLMS LÄN</t>
        </is>
      </c>
      <c r="E3090" t="inlineStr">
        <is>
          <t>HANINGE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60492-2023</t>
        </is>
      </c>
      <c r="B3091" s="1" t="n">
        <v>45259</v>
      </c>
      <c r="C3091" s="1" t="n">
        <v>45672</v>
      </c>
      <c r="D3091" t="inlineStr">
        <is>
          <t>STOCKHOLMS LÄN</t>
        </is>
      </c>
      <c r="E3091" t="inlineStr">
        <is>
          <t>NORRTÄLJE</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60529-2023</t>
        </is>
      </c>
      <c r="B3092" s="1" t="n">
        <v>45259</v>
      </c>
      <c r="C3092" s="1" t="n">
        <v>45672</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60821-2023</t>
        </is>
      </c>
      <c r="B3093" s="1" t="n">
        <v>45259</v>
      </c>
      <c r="C3093" s="1" t="n">
        <v>45672</v>
      </c>
      <c r="D3093" t="inlineStr">
        <is>
          <t>STOCKHOLMS LÄN</t>
        </is>
      </c>
      <c r="E3093" t="inlineStr">
        <is>
          <t>VALLENTUNA</t>
        </is>
      </c>
      <c r="G3093" t="n">
        <v>11.8</v>
      </c>
      <c r="H3093" t="n">
        <v>0</v>
      </c>
      <c r="I3093" t="n">
        <v>0</v>
      </c>
      <c r="J3093" t="n">
        <v>0</v>
      </c>
      <c r="K3093" t="n">
        <v>0</v>
      </c>
      <c r="L3093" t="n">
        <v>0</v>
      </c>
      <c r="M3093" t="n">
        <v>0</v>
      </c>
      <c r="N3093" t="n">
        <v>0</v>
      </c>
      <c r="O3093" t="n">
        <v>0</v>
      </c>
      <c r="P3093" t="n">
        <v>0</v>
      </c>
      <c r="Q3093" t="n">
        <v>0</v>
      </c>
      <c r="R3093" s="2" t="inlineStr"/>
    </row>
    <row r="3094" ht="15" customHeight="1">
      <c r="A3094" t="inlineStr">
        <is>
          <t>A 60627-2023</t>
        </is>
      </c>
      <c r="B3094" s="1" t="n">
        <v>45259</v>
      </c>
      <c r="C3094" s="1" t="n">
        <v>45672</v>
      </c>
      <c r="D3094" t="inlineStr">
        <is>
          <t>STOCKHOLMS LÄN</t>
        </is>
      </c>
      <c r="E3094" t="inlineStr">
        <is>
          <t>NYNÄSHAMN</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60818-2023</t>
        </is>
      </c>
      <c r="B3095" s="1" t="n">
        <v>45259</v>
      </c>
      <c r="C3095" s="1" t="n">
        <v>45672</v>
      </c>
      <c r="D3095" t="inlineStr">
        <is>
          <t>STOCKHOLMS LÄN</t>
        </is>
      </c>
      <c r="E3095" t="inlineStr">
        <is>
          <t>VALLENTUNA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60822-2023</t>
        </is>
      </c>
      <c r="B3096" s="1" t="n">
        <v>45259</v>
      </c>
      <c r="C3096" s="1" t="n">
        <v>45672</v>
      </c>
      <c r="D3096" t="inlineStr">
        <is>
          <t>STOCKHOLMS LÄN</t>
        </is>
      </c>
      <c r="E3096" t="inlineStr">
        <is>
          <t>NORRTÄLJE</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60654-2023</t>
        </is>
      </c>
      <c r="B3097" s="1" t="n">
        <v>45260</v>
      </c>
      <c r="C3097" s="1" t="n">
        <v>45672</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60640-2023</t>
        </is>
      </c>
      <c r="B3098" s="1" t="n">
        <v>45260</v>
      </c>
      <c r="C3098" s="1" t="n">
        <v>45672</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60672-2023</t>
        </is>
      </c>
      <c r="B3099" s="1" t="n">
        <v>45260</v>
      </c>
      <c r="C3099" s="1" t="n">
        <v>45672</v>
      </c>
      <c r="D3099" t="inlineStr">
        <is>
          <t>STOCKHOLMS LÄN</t>
        </is>
      </c>
      <c r="E3099" t="inlineStr">
        <is>
          <t>NORRTÄLJE</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60795-2023</t>
        </is>
      </c>
      <c r="B3100" s="1" t="n">
        <v>45260</v>
      </c>
      <c r="C3100" s="1" t="n">
        <v>45672</v>
      </c>
      <c r="D3100" t="inlineStr">
        <is>
          <t>STOCKHOLMS LÄN</t>
        </is>
      </c>
      <c r="E3100" t="inlineStr">
        <is>
          <t>VALLENTUNA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60823-2023</t>
        </is>
      </c>
      <c r="B3101" s="1" t="n">
        <v>45260</v>
      </c>
      <c r="C3101" s="1" t="n">
        <v>45672</v>
      </c>
      <c r="D3101" t="inlineStr">
        <is>
          <t>STOCKHOLMS LÄN</t>
        </is>
      </c>
      <c r="E3101" t="inlineStr">
        <is>
          <t>NORRTÄLJE</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60656-2023</t>
        </is>
      </c>
      <c r="B3102" s="1" t="n">
        <v>45260</v>
      </c>
      <c r="C3102" s="1" t="n">
        <v>45672</v>
      </c>
      <c r="D3102" t="inlineStr">
        <is>
          <t>STOCKHOLMS LÄN</t>
        </is>
      </c>
      <c r="E3102" t="inlineStr">
        <is>
          <t>NORRTÄLJE</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60765-2023</t>
        </is>
      </c>
      <c r="B3103" s="1" t="n">
        <v>45260</v>
      </c>
      <c r="C3103" s="1" t="n">
        <v>45672</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61027-2023</t>
        </is>
      </c>
      <c r="B3104" s="1" t="n">
        <v>45261</v>
      </c>
      <c r="C3104" s="1" t="n">
        <v>45672</v>
      </c>
      <c r="D3104" t="inlineStr">
        <is>
          <t>STOCKHOLMS LÄN</t>
        </is>
      </c>
      <c r="E3104" t="inlineStr">
        <is>
          <t>VALLENTUNA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60927-2023</t>
        </is>
      </c>
      <c r="B3105" s="1" t="n">
        <v>45261</v>
      </c>
      <c r="C3105" s="1" t="n">
        <v>45672</v>
      </c>
      <c r="D3105" t="inlineStr">
        <is>
          <t>STOCKHOLMS LÄN</t>
        </is>
      </c>
      <c r="E3105" t="inlineStr">
        <is>
          <t>SIGTUNA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60935-2023</t>
        </is>
      </c>
      <c r="B3106" s="1" t="n">
        <v>45261</v>
      </c>
      <c r="C3106" s="1" t="n">
        <v>45672</v>
      </c>
      <c r="D3106" t="inlineStr">
        <is>
          <t>STOCKHOLMS LÄN</t>
        </is>
      </c>
      <c r="E3106" t="inlineStr">
        <is>
          <t>SIGTUNA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60932-2023</t>
        </is>
      </c>
      <c r="B3107" s="1" t="n">
        <v>45261</v>
      </c>
      <c r="C3107" s="1" t="n">
        <v>45672</v>
      </c>
      <c r="D3107" t="inlineStr">
        <is>
          <t>STOCKHOLMS LÄN</t>
        </is>
      </c>
      <c r="E3107" t="inlineStr">
        <is>
          <t>SIGTUNA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60922-2023</t>
        </is>
      </c>
      <c r="B3108" s="1" t="n">
        <v>45261</v>
      </c>
      <c r="C3108" s="1" t="n">
        <v>45672</v>
      </c>
      <c r="D3108" t="inlineStr">
        <is>
          <t>STOCKHOLMS LÄN</t>
        </is>
      </c>
      <c r="E3108" t="inlineStr">
        <is>
          <t>SIGTUNA</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60934-2023</t>
        </is>
      </c>
      <c r="B3109" s="1" t="n">
        <v>45261</v>
      </c>
      <c r="C3109" s="1" t="n">
        <v>45672</v>
      </c>
      <c r="D3109" t="inlineStr">
        <is>
          <t>STOCKHOLMS LÄN</t>
        </is>
      </c>
      <c r="E3109" t="inlineStr">
        <is>
          <t>SIGTUNA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61113-2023</t>
        </is>
      </c>
      <c r="B3110" s="1" t="n">
        <v>45261</v>
      </c>
      <c r="C3110" s="1" t="n">
        <v>45672</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62013-2023</t>
        </is>
      </c>
      <c r="B3111" s="1" t="n">
        <v>45266</v>
      </c>
      <c r="C3111" s="1" t="n">
        <v>45672</v>
      </c>
      <c r="D3111" t="inlineStr">
        <is>
          <t>STOCKHOLMS LÄN</t>
        </is>
      </c>
      <c r="E3111" t="inlineStr">
        <is>
          <t>NYNÄSHAMN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62038-2023</t>
        </is>
      </c>
      <c r="B3112" s="1" t="n">
        <v>45266</v>
      </c>
      <c r="C3112" s="1" t="n">
        <v>45672</v>
      </c>
      <c r="D3112" t="inlineStr">
        <is>
          <t>STOCKHOLMS LÄN</t>
        </is>
      </c>
      <c r="E3112" t="inlineStr">
        <is>
          <t>NYNÄSHAMN</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62010-2023</t>
        </is>
      </c>
      <c r="B3113" s="1" t="n">
        <v>45266</v>
      </c>
      <c r="C3113" s="1" t="n">
        <v>45672</v>
      </c>
      <c r="D3113" t="inlineStr">
        <is>
          <t>STOCKHOLMS LÄN</t>
        </is>
      </c>
      <c r="E3113" t="inlineStr">
        <is>
          <t>SIGTUNA</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62422-2023</t>
        </is>
      </c>
      <c r="B3114" s="1" t="n">
        <v>45266</v>
      </c>
      <c r="C3114" s="1" t="n">
        <v>45672</v>
      </c>
      <c r="D3114" t="inlineStr">
        <is>
          <t>STOCKHOLMS LÄN</t>
        </is>
      </c>
      <c r="E3114" t="inlineStr">
        <is>
          <t>VALLENTUNA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62311-2023</t>
        </is>
      </c>
      <c r="B3115" s="1" t="n">
        <v>45266</v>
      </c>
      <c r="C3115" s="1" t="n">
        <v>45672</v>
      </c>
      <c r="D3115" t="inlineStr">
        <is>
          <t>STOCKHOLMS LÄN</t>
        </is>
      </c>
      <c r="E3115" t="inlineStr">
        <is>
          <t>SÖDERTÄLJE</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62320-2023</t>
        </is>
      </c>
      <c r="B3116" s="1" t="n">
        <v>45267</v>
      </c>
      <c r="C3116" s="1" t="n">
        <v>45672</v>
      </c>
      <c r="D3116" t="inlineStr">
        <is>
          <t>STOCKHOLMS LÄN</t>
        </is>
      </c>
      <c r="E3116" t="inlineStr">
        <is>
          <t>SÖDERTÄLJE</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62644-2023</t>
        </is>
      </c>
      <c r="B3117" s="1" t="n">
        <v>45271</v>
      </c>
      <c r="C3117" s="1" t="n">
        <v>45672</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62998-2023</t>
        </is>
      </c>
      <c r="B3118" s="1" t="n">
        <v>45272</v>
      </c>
      <c r="C3118" s="1" t="n">
        <v>45672</v>
      </c>
      <c r="D3118" t="inlineStr">
        <is>
          <t>STOCKHOLMS LÄN</t>
        </is>
      </c>
      <c r="E3118" t="inlineStr">
        <is>
          <t>NORRTÄLJE</t>
        </is>
      </c>
      <c r="G3118" t="n">
        <v>16.3</v>
      </c>
      <c r="H3118" t="n">
        <v>0</v>
      </c>
      <c r="I3118" t="n">
        <v>0</v>
      </c>
      <c r="J3118" t="n">
        <v>0</v>
      </c>
      <c r="K3118" t="n">
        <v>0</v>
      </c>
      <c r="L3118" t="n">
        <v>0</v>
      </c>
      <c r="M3118" t="n">
        <v>0</v>
      </c>
      <c r="N3118" t="n">
        <v>0</v>
      </c>
      <c r="O3118" t="n">
        <v>0</v>
      </c>
      <c r="P3118" t="n">
        <v>0</v>
      </c>
      <c r="Q3118" t="n">
        <v>0</v>
      </c>
      <c r="R3118" s="2" t="inlineStr"/>
    </row>
    <row r="3119" ht="15" customHeight="1">
      <c r="A3119" t="inlineStr">
        <is>
          <t>A 62878-2023</t>
        </is>
      </c>
      <c r="B3119" s="1" t="n">
        <v>45272</v>
      </c>
      <c r="C3119" s="1" t="n">
        <v>45672</v>
      </c>
      <c r="D3119" t="inlineStr">
        <is>
          <t>STOCKHOLMS LÄN</t>
        </is>
      </c>
      <c r="E3119" t="inlineStr">
        <is>
          <t>NYNÄSHAMN</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63015-2023</t>
        </is>
      </c>
      <c r="B3120" s="1" t="n">
        <v>45272</v>
      </c>
      <c r="C3120" s="1" t="n">
        <v>45672</v>
      </c>
      <c r="D3120" t="inlineStr">
        <is>
          <t>STOCKHOLMS LÄN</t>
        </is>
      </c>
      <c r="E3120" t="inlineStr">
        <is>
          <t>NORRTÄLJE</t>
        </is>
      </c>
      <c r="G3120" t="n">
        <v>13.1</v>
      </c>
      <c r="H3120" t="n">
        <v>0</v>
      </c>
      <c r="I3120" t="n">
        <v>0</v>
      </c>
      <c r="J3120" t="n">
        <v>0</v>
      </c>
      <c r="K3120" t="n">
        <v>0</v>
      </c>
      <c r="L3120" t="n">
        <v>0</v>
      </c>
      <c r="M3120" t="n">
        <v>0</v>
      </c>
      <c r="N3120" t="n">
        <v>0</v>
      </c>
      <c r="O3120" t="n">
        <v>0</v>
      </c>
      <c r="P3120" t="n">
        <v>0</v>
      </c>
      <c r="Q3120" t="n">
        <v>0</v>
      </c>
      <c r="R3120" s="2" t="inlineStr"/>
    </row>
    <row r="3121" ht="15" customHeight="1">
      <c r="A3121" t="inlineStr">
        <is>
          <t>A 62971-2023</t>
        </is>
      </c>
      <c r="B3121" s="1" t="n">
        <v>45272</v>
      </c>
      <c r="C3121" s="1" t="n">
        <v>45672</v>
      </c>
      <c r="D3121" t="inlineStr">
        <is>
          <t>STOCKHOLMS LÄN</t>
        </is>
      </c>
      <c r="E3121" t="inlineStr">
        <is>
          <t>NORRTÄLJE</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63013-2023</t>
        </is>
      </c>
      <c r="B3122" s="1" t="n">
        <v>45272</v>
      </c>
      <c r="C3122" s="1" t="n">
        <v>45672</v>
      </c>
      <c r="D3122" t="inlineStr">
        <is>
          <t>STOCKHOLMS LÄN</t>
        </is>
      </c>
      <c r="E3122" t="inlineStr">
        <is>
          <t>NORRTÄLJE</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63071-2023</t>
        </is>
      </c>
      <c r="B3123" s="1" t="n">
        <v>45272</v>
      </c>
      <c r="C3123" s="1" t="n">
        <v>45672</v>
      </c>
      <c r="D3123" t="inlineStr">
        <is>
          <t>STOCKHOLMS LÄN</t>
        </is>
      </c>
      <c r="E3123" t="inlineStr">
        <is>
          <t>BOTKYRKA</t>
        </is>
      </c>
      <c r="F3123" t="inlineStr">
        <is>
          <t>Kommuner</t>
        </is>
      </c>
      <c r="G3123" t="n">
        <v>12.4</v>
      </c>
      <c r="H3123" t="n">
        <v>0</v>
      </c>
      <c r="I3123" t="n">
        <v>0</v>
      </c>
      <c r="J3123" t="n">
        <v>0</v>
      </c>
      <c r="K3123" t="n">
        <v>0</v>
      </c>
      <c r="L3123" t="n">
        <v>0</v>
      </c>
      <c r="M3123" t="n">
        <v>0</v>
      </c>
      <c r="N3123" t="n">
        <v>0</v>
      </c>
      <c r="O3123" t="n">
        <v>0</v>
      </c>
      <c r="P3123" t="n">
        <v>0</v>
      </c>
      <c r="Q3123" t="n">
        <v>0</v>
      </c>
      <c r="R3123" s="2" t="inlineStr"/>
    </row>
    <row r="3124" ht="15" customHeight="1">
      <c r="A3124" t="inlineStr">
        <is>
          <t>A 63161-2023</t>
        </is>
      </c>
      <c r="B3124" s="1" t="n">
        <v>45273</v>
      </c>
      <c r="C3124" s="1" t="n">
        <v>45672</v>
      </c>
      <c r="D3124" t="inlineStr">
        <is>
          <t>STOCKHOLMS LÄN</t>
        </is>
      </c>
      <c r="E3124" t="inlineStr">
        <is>
          <t>NORRTÄLJE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63472-2023</t>
        </is>
      </c>
      <c r="B3125" s="1" t="n">
        <v>45273</v>
      </c>
      <c r="C3125" s="1" t="n">
        <v>45672</v>
      </c>
      <c r="D3125" t="inlineStr">
        <is>
          <t>STOCKHOLMS LÄN</t>
        </is>
      </c>
      <c r="E3125" t="inlineStr">
        <is>
          <t>VALLENTUNA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63400-2023</t>
        </is>
      </c>
      <c r="B3126" s="1" t="n">
        <v>45274</v>
      </c>
      <c r="C3126" s="1" t="n">
        <v>45672</v>
      </c>
      <c r="D3126" t="inlineStr">
        <is>
          <t>STOCKHOLMS LÄN</t>
        </is>
      </c>
      <c r="E3126" t="inlineStr">
        <is>
          <t>NYKVARN</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63463-2023</t>
        </is>
      </c>
      <c r="B3127" s="1" t="n">
        <v>45274</v>
      </c>
      <c r="C3127" s="1" t="n">
        <v>45672</v>
      </c>
      <c r="D3127" t="inlineStr">
        <is>
          <t>STOCKHOLMS LÄN</t>
        </is>
      </c>
      <c r="E3127" t="inlineStr">
        <is>
          <t>NYNÄSHAMN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63586-2023</t>
        </is>
      </c>
      <c r="B3128" s="1" t="n">
        <v>45275</v>
      </c>
      <c r="C3128" s="1" t="n">
        <v>45672</v>
      </c>
      <c r="D3128" t="inlineStr">
        <is>
          <t>STOCKHOLMS LÄN</t>
        </is>
      </c>
      <c r="E3128" t="inlineStr">
        <is>
          <t>NYKVARN</t>
        </is>
      </c>
      <c r="F3128" t="inlineStr">
        <is>
          <t>Kommuner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63655-2023</t>
        </is>
      </c>
      <c r="B3129" s="1" t="n">
        <v>45275</v>
      </c>
      <c r="C3129" s="1" t="n">
        <v>45672</v>
      </c>
      <c r="D3129" t="inlineStr">
        <is>
          <t>STOCKHOLMS LÄN</t>
        </is>
      </c>
      <c r="E3129" t="inlineStr">
        <is>
          <t>NORRTÄLJE</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63592-2023</t>
        </is>
      </c>
      <c r="B3130" s="1" t="n">
        <v>45275</v>
      </c>
      <c r="C3130" s="1" t="n">
        <v>45672</v>
      </c>
      <c r="D3130" t="inlineStr">
        <is>
          <t>STOCKHOLMS LÄN</t>
        </is>
      </c>
      <c r="E3130" t="inlineStr">
        <is>
          <t>NYKVARN</t>
        </is>
      </c>
      <c r="F3130" t="inlineStr">
        <is>
          <t>Kommuner</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64075-2023</t>
        </is>
      </c>
      <c r="B3131" s="1" t="n">
        <v>45279</v>
      </c>
      <c r="C3131" s="1" t="n">
        <v>45672</v>
      </c>
      <c r="D3131" t="inlineStr">
        <is>
          <t>STOCKHOLMS LÄN</t>
        </is>
      </c>
      <c r="E3131" t="inlineStr">
        <is>
          <t>HANINGE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64107-2023</t>
        </is>
      </c>
      <c r="B3132" s="1" t="n">
        <v>45279</v>
      </c>
      <c r="C3132" s="1" t="n">
        <v>45672</v>
      </c>
      <c r="D3132" t="inlineStr">
        <is>
          <t>STOCKHOLMS LÄN</t>
        </is>
      </c>
      <c r="E3132" t="inlineStr">
        <is>
          <t>UPPLANDS-BRO</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64105-2023</t>
        </is>
      </c>
      <c r="B3133" s="1" t="n">
        <v>45279</v>
      </c>
      <c r="C3133" s="1" t="n">
        <v>45672</v>
      </c>
      <c r="D3133" t="inlineStr">
        <is>
          <t>STOCKHOLMS LÄN</t>
        </is>
      </c>
      <c r="E3133" t="inlineStr">
        <is>
          <t>UPPLANDS-BRO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64113-2023</t>
        </is>
      </c>
      <c r="B3134" s="1" t="n">
        <v>45279</v>
      </c>
      <c r="C3134" s="1" t="n">
        <v>45672</v>
      </c>
      <c r="D3134" t="inlineStr">
        <is>
          <t>STOCKHOLMS LÄN</t>
        </is>
      </c>
      <c r="E3134" t="inlineStr">
        <is>
          <t>UPPLANDS-BRO</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64110-2023</t>
        </is>
      </c>
      <c r="B3135" s="1" t="n">
        <v>45279</v>
      </c>
      <c r="C3135" s="1" t="n">
        <v>45672</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64114-2023</t>
        </is>
      </c>
      <c r="B3136" s="1" t="n">
        <v>45279</v>
      </c>
      <c r="C3136" s="1" t="n">
        <v>45672</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64275-2023</t>
        </is>
      </c>
      <c r="B3137" s="1" t="n">
        <v>45280</v>
      </c>
      <c r="C3137" s="1" t="n">
        <v>45672</v>
      </c>
      <c r="D3137" t="inlineStr">
        <is>
          <t>STOCKHOLMS LÄN</t>
        </is>
      </c>
      <c r="E3137" t="inlineStr">
        <is>
          <t>VALLENTUNA</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64426-2023</t>
        </is>
      </c>
      <c r="B3138" s="1" t="n">
        <v>45280</v>
      </c>
      <c r="C3138" s="1" t="n">
        <v>45672</v>
      </c>
      <c r="D3138" t="inlineStr">
        <is>
          <t>STOCKHOLMS LÄN</t>
        </is>
      </c>
      <c r="E3138" t="inlineStr">
        <is>
          <t>NYNÄSHAMN</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64411-2023</t>
        </is>
      </c>
      <c r="B3139" s="1" t="n">
        <v>45280</v>
      </c>
      <c r="C3139" s="1" t="n">
        <v>45672</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64431-2023</t>
        </is>
      </c>
      <c r="B3140" s="1" t="n">
        <v>45280</v>
      </c>
      <c r="C3140" s="1" t="n">
        <v>45672</v>
      </c>
      <c r="D3140" t="inlineStr">
        <is>
          <t>STOCKHOLMS LÄN</t>
        </is>
      </c>
      <c r="E3140" t="inlineStr">
        <is>
          <t>UPPLANDS VÄSBY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64439-2023</t>
        </is>
      </c>
      <c r="B3141" s="1" t="n">
        <v>45280</v>
      </c>
      <c r="C3141" s="1" t="n">
        <v>45672</v>
      </c>
      <c r="D3141" t="inlineStr">
        <is>
          <t>STOCKHOLMS LÄN</t>
        </is>
      </c>
      <c r="E3141" t="inlineStr">
        <is>
          <t>UPPLANDS VÄSBY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64443-2023</t>
        </is>
      </c>
      <c r="B3142" s="1" t="n">
        <v>45280</v>
      </c>
      <c r="C3142" s="1" t="n">
        <v>45672</v>
      </c>
      <c r="D3142" t="inlineStr">
        <is>
          <t>STOCKHOLMS LÄN</t>
        </is>
      </c>
      <c r="E3142" t="inlineStr">
        <is>
          <t>UPPLANDS VÄSBY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64444-2023</t>
        </is>
      </c>
      <c r="B3143" s="1" t="n">
        <v>45280</v>
      </c>
      <c r="C3143" s="1" t="n">
        <v>45672</v>
      </c>
      <c r="D3143" t="inlineStr">
        <is>
          <t>STOCKHOLMS LÄN</t>
        </is>
      </c>
      <c r="E3143" t="inlineStr">
        <is>
          <t>UPPLANDS VÄSBY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64452-2023</t>
        </is>
      </c>
      <c r="B3144" s="1" t="n">
        <v>45280</v>
      </c>
      <c r="C3144" s="1" t="n">
        <v>45672</v>
      </c>
      <c r="D3144" t="inlineStr">
        <is>
          <t>STOCKHOLMS LÄN</t>
        </is>
      </c>
      <c r="E3144" t="inlineStr">
        <is>
          <t>NYNÄSHAMN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64494-2023</t>
        </is>
      </c>
      <c r="B3145" s="1" t="n">
        <v>45280</v>
      </c>
      <c r="C3145" s="1" t="n">
        <v>45672</v>
      </c>
      <c r="D3145" t="inlineStr">
        <is>
          <t>STOCKHOLMS LÄN</t>
        </is>
      </c>
      <c r="E3145" t="inlineStr">
        <is>
          <t>NYNÄSHAMN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64451-2023</t>
        </is>
      </c>
      <c r="B3146" s="1" t="n">
        <v>45280</v>
      </c>
      <c r="C3146" s="1" t="n">
        <v>45672</v>
      </c>
      <c r="D3146" t="inlineStr">
        <is>
          <t>STOCKHOLMS LÄN</t>
        </is>
      </c>
      <c r="E3146" t="inlineStr">
        <is>
          <t>NYNÄSHAMN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64445-2023</t>
        </is>
      </c>
      <c r="B3147" s="1" t="n">
        <v>45280</v>
      </c>
      <c r="C3147" s="1" t="n">
        <v>45672</v>
      </c>
      <c r="D3147" t="inlineStr">
        <is>
          <t>STOCKHOLMS LÄN</t>
        </is>
      </c>
      <c r="E3147" t="inlineStr">
        <is>
          <t>UPPLANDS VÄSBY</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64544-2023</t>
        </is>
      </c>
      <c r="B3148" s="1" t="n">
        <v>45281</v>
      </c>
      <c r="C3148" s="1" t="n">
        <v>45672</v>
      </c>
      <c r="D3148" t="inlineStr">
        <is>
          <t>STOCKHOLMS LÄN</t>
        </is>
      </c>
      <c r="E3148" t="inlineStr">
        <is>
          <t>BOTKYRKA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64568-2023</t>
        </is>
      </c>
      <c r="B3149" s="1" t="n">
        <v>45281</v>
      </c>
      <c r="C3149" s="1" t="n">
        <v>45672</v>
      </c>
      <c r="D3149" t="inlineStr">
        <is>
          <t>STOCKHOLMS LÄN</t>
        </is>
      </c>
      <c r="E3149" t="inlineStr">
        <is>
          <t>HANINGE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64902-2023</t>
        </is>
      </c>
      <c r="B3150" s="1" t="n">
        <v>45282</v>
      </c>
      <c r="C3150" s="1" t="n">
        <v>45672</v>
      </c>
      <c r="D3150" t="inlineStr">
        <is>
          <t>STOCKHOLMS LÄN</t>
        </is>
      </c>
      <c r="E3150" t="inlineStr">
        <is>
          <t>NORRTÄLJE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64899-2023</t>
        </is>
      </c>
      <c r="B3151" s="1" t="n">
        <v>45282</v>
      </c>
      <c r="C3151" s="1" t="n">
        <v>45672</v>
      </c>
      <c r="D3151" t="inlineStr">
        <is>
          <t>STOCKHOLMS LÄN</t>
        </is>
      </c>
      <c r="E3151" t="inlineStr">
        <is>
          <t>NORRTÄLJE</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9-2024</t>
        </is>
      </c>
      <c r="B3152" s="1" t="n">
        <v>45293</v>
      </c>
      <c r="C3152" s="1" t="n">
        <v>45672</v>
      </c>
      <c r="D3152" t="inlineStr">
        <is>
          <t>STOCKHOLMS LÄN</t>
        </is>
      </c>
      <c r="E3152" t="inlineStr">
        <is>
          <t>NORRTÄLJE</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13-2024</t>
        </is>
      </c>
      <c r="B3153" s="1" t="n">
        <v>45293</v>
      </c>
      <c r="C3153" s="1" t="n">
        <v>45672</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11-2024</t>
        </is>
      </c>
      <c r="B3154" s="1" t="n">
        <v>45293</v>
      </c>
      <c r="C3154" s="1" t="n">
        <v>45672</v>
      </c>
      <c r="D3154" t="inlineStr">
        <is>
          <t>STOCKHOLMS LÄN</t>
        </is>
      </c>
      <c r="E3154" t="inlineStr">
        <is>
          <t>NORRTÄLJE</t>
        </is>
      </c>
      <c r="F3154" t="inlineStr">
        <is>
          <t>Sveaskog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19-2024</t>
        </is>
      </c>
      <c r="B3155" s="1" t="n">
        <v>45293</v>
      </c>
      <c r="C3155" s="1" t="n">
        <v>45672</v>
      </c>
      <c r="D3155" t="inlineStr">
        <is>
          <t>STOCKHOLMS LÄN</t>
        </is>
      </c>
      <c r="E3155" t="inlineStr">
        <is>
          <t>NORRTÄLJE</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22-2024</t>
        </is>
      </c>
      <c r="B3156" s="1" t="n">
        <v>45293</v>
      </c>
      <c r="C3156" s="1" t="n">
        <v>45672</v>
      </c>
      <c r="D3156" t="inlineStr">
        <is>
          <t>STOCKHOLMS LÄN</t>
        </is>
      </c>
      <c r="E3156" t="inlineStr">
        <is>
          <t>SÖDERTÄLJE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81-2024</t>
        </is>
      </c>
      <c r="B3157" s="1" t="n">
        <v>45293</v>
      </c>
      <c r="C3157" s="1" t="n">
        <v>45672</v>
      </c>
      <c r="D3157" t="inlineStr">
        <is>
          <t>STOCKHOLMS LÄN</t>
        </is>
      </c>
      <c r="E3157" t="inlineStr">
        <is>
          <t>SÖDERTÄLJE</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95-2024</t>
        </is>
      </c>
      <c r="B3158" s="1" t="n">
        <v>45293</v>
      </c>
      <c r="C3158" s="1" t="n">
        <v>45672</v>
      </c>
      <c r="D3158" t="inlineStr">
        <is>
          <t>STOCKHOLMS LÄN</t>
        </is>
      </c>
      <c r="E3158" t="inlineStr">
        <is>
          <t>SÖDERTÄLJE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92-2024</t>
        </is>
      </c>
      <c r="B3159" s="1" t="n">
        <v>45293</v>
      </c>
      <c r="C3159" s="1" t="n">
        <v>45672</v>
      </c>
      <c r="D3159" t="inlineStr">
        <is>
          <t>STOCKHOLMS LÄN</t>
        </is>
      </c>
      <c r="E3159" t="inlineStr">
        <is>
          <t>SÖDERTÄLJE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329-2024</t>
        </is>
      </c>
      <c r="B3160" s="1" t="n">
        <v>45295</v>
      </c>
      <c r="C3160" s="1" t="n">
        <v>45672</v>
      </c>
      <c r="D3160" t="inlineStr">
        <is>
          <t>STOCKHOLMS LÄN</t>
        </is>
      </c>
      <c r="E3160" t="inlineStr">
        <is>
          <t>NORRTÄLJE</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487-2024</t>
        </is>
      </c>
      <c r="B3161" s="1" t="n">
        <v>45298</v>
      </c>
      <c r="C3161" s="1" t="n">
        <v>45672</v>
      </c>
      <c r="D3161" t="inlineStr">
        <is>
          <t>STOCKHOLMS LÄN</t>
        </is>
      </c>
      <c r="E3161" t="inlineStr">
        <is>
          <t>SÖDERTÄLJE</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498-2024</t>
        </is>
      </c>
      <c r="B3162" s="1" t="n">
        <v>45299</v>
      </c>
      <c r="C3162" s="1" t="n">
        <v>45672</v>
      </c>
      <c r="D3162" t="inlineStr">
        <is>
          <t>STOCKHOLMS LÄN</t>
        </is>
      </c>
      <c r="E3162" t="inlineStr">
        <is>
          <t>NORRTÄLJE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577-2024</t>
        </is>
      </c>
      <c r="B3163" s="1" t="n">
        <v>45299</v>
      </c>
      <c r="C3163" s="1" t="n">
        <v>45672</v>
      </c>
      <c r="D3163" t="inlineStr">
        <is>
          <t>STOCKHOLMS LÄN</t>
        </is>
      </c>
      <c r="E3163" t="inlineStr">
        <is>
          <t>NORRTÄLJE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845-2024</t>
        </is>
      </c>
      <c r="B3164" s="1" t="n">
        <v>45300</v>
      </c>
      <c r="C3164" s="1" t="n">
        <v>45672</v>
      </c>
      <c r="D3164" t="inlineStr">
        <is>
          <t>STOCKHOLMS LÄN</t>
        </is>
      </c>
      <c r="E3164" t="inlineStr">
        <is>
          <t>ÖSTERÅKER</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735-2024</t>
        </is>
      </c>
      <c r="B3165" s="1" t="n">
        <v>45300</v>
      </c>
      <c r="C3165" s="1" t="n">
        <v>45672</v>
      </c>
      <c r="D3165" t="inlineStr">
        <is>
          <t>STOCKHOLMS LÄN</t>
        </is>
      </c>
      <c r="E3165" t="inlineStr">
        <is>
          <t>VALLENTUNA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1139-2024</t>
        </is>
      </c>
      <c r="B3166" s="1" t="n">
        <v>45302</v>
      </c>
      <c r="C3166" s="1" t="n">
        <v>45672</v>
      </c>
      <c r="D3166" t="inlineStr">
        <is>
          <t>STOCKHOLMS LÄN</t>
        </is>
      </c>
      <c r="E3166" t="inlineStr">
        <is>
          <t>HANINGE</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1180-2024</t>
        </is>
      </c>
      <c r="B3167" s="1" t="n">
        <v>45302</v>
      </c>
      <c r="C3167" s="1" t="n">
        <v>45672</v>
      </c>
      <c r="D3167" t="inlineStr">
        <is>
          <t>STOCKHOLMS LÄN</t>
        </is>
      </c>
      <c r="E3167" t="inlineStr">
        <is>
          <t>HANINGE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1184-2024</t>
        </is>
      </c>
      <c r="B3168" s="1" t="n">
        <v>45302</v>
      </c>
      <c r="C3168" s="1" t="n">
        <v>45672</v>
      </c>
      <c r="D3168" t="inlineStr">
        <is>
          <t>STOCKHOLMS LÄN</t>
        </is>
      </c>
      <c r="E3168" t="inlineStr">
        <is>
          <t>HANINGE</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1267-2024</t>
        </is>
      </c>
      <c r="B3169" s="1" t="n">
        <v>45302</v>
      </c>
      <c r="C3169" s="1" t="n">
        <v>45672</v>
      </c>
      <c r="D3169" t="inlineStr">
        <is>
          <t>STOCKHOLMS LÄN</t>
        </is>
      </c>
      <c r="E3169" t="inlineStr">
        <is>
          <t>NYNÄSHAMN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1187-2024</t>
        </is>
      </c>
      <c r="B3170" s="1" t="n">
        <v>45302</v>
      </c>
      <c r="C3170" s="1" t="n">
        <v>45672</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1141-2024</t>
        </is>
      </c>
      <c r="B3171" s="1" t="n">
        <v>45302</v>
      </c>
      <c r="C3171" s="1" t="n">
        <v>45672</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1181-2024</t>
        </is>
      </c>
      <c r="B3172" s="1" t="n">
        <v>45302</v>
      </c>
      <c r="C3172" s="1" t="n">
        <v>45672</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1189-2024</t>
        </is>
      </c>
      <c r="B3173" s="1" t="n">
        <v>45302</v>
      </c>
      <c r="C3173" s="1" t="n">
        <v>45672</v>
      </c>
      <c r="D3173" t="inlineStr">
        <is>
          <t>STOCKHOLMS LÄN</t>
        </is>
      </c>
      <c r="E3173" t="inlineStr">
        <is>
          <t>HANINGE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1385-2024</t>
        </is>
      </c>
      <c r="B3174" s="1" t="n">
        <v>45303</v>
      </c>
      <c r="C3174" s="1" t="n">
        <v>45672</v>
      </c>
      <c r="D3174" t="inlineStr">
        <is>
          <t>STOCKHOLMS LÄN</t>
        </is>
      </c>
      <c r="E3174" t="inlineStr">
        <is>
          <t>VALLENTUNA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1372-2024</t>
        </is>
      </c>
      <c r="B3175" s="1" t="n">
        <v>45303</v>
      </c>
      <c r="C3175" s="1" t="n">
        <v>45672</v>
      </c>
      <c r="D3175" t="inlineStr">
        <is>
          <t>STOCKHOLMS LÄN</t>
        </is>
      </c>
      <c r="E3175" t="inlineStr">
        <is>
          <t>NORRTÄLJE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1955-2024</t>
        </is>
      </c>
      <c r="B3176" s="1" t="n">
        <v>45308</v>
      </c>
      <c r="C3176" s="1" t="n">
        <v>45672</v>
      </c>
      <c r="D3176" t="inlineStr">
        <is>
          <t>STOCKHOLMS LÄN</t>
        </is>
      </c>
      <c r="E3176" t="inlineStr">
        <is>
          <t>SÖDERTÄLJE</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1971-2024</t>
        </is>
      </c>
      <c r="B3177" s="1" t="n">
        <v>45308</v>
      </c>
      <c r="C3177" s="1" t="n">
        <v>45672</v>
      </c>
      <c r="D3177" t="inlineStr">
        <is>
          <t>STOCKHOLMS LÄN</t>
        </is>
      </c>
      <c r="E3177" t="inlineStr">
        <is>
          <t>SIGTUNA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2014-2024</t>
        </is>
      </c>
      <c r="B3178" s="1" t="n">
        <v>45308</v>
      </c>
      <c r="C3178" s="1" t="n">
        <v>45672</v>
      </c>
      <c r="D3178" t="inlineStr">
        <is>
          <t>STOCKHOLMS LÄN</t>
        </is>
      </c>
      <c r="E3178" t="inlineStr">
        <is>
          <t>SÖDERTÄLJE</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1996-2024</t>
        </is>
      </c>
      <c r="B3179" s="1" t="n">
        <v>45308</v>
      </c>
      <c r="C3179" s="1" t="n">
        <v>45672</v>
      </c>
      <c r="D3179" t="inlineStr">
        <is>
          <t>STOCKHOLMS LÄN</t>
        </is>
      </c>
      <c r="E3179" t="inlineStr">
        <is>
          <t>NORRTÄLJE</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2131-2024</t>
        </is>
      </c>
      <c r="B3180" s="1" t="n">
        <v>45309</v>
      </c>
      <c r="C3180" s="1" t="n">
        <v>45672</v>
      </c>
      <c r="D3180" t="inlineStr">
        <is>
          <t>STOCKHOLMS LÄN</t>
        </is>
      </c>
      <c r="E3180" t="inlineStr">
        <is>
          <t>SÖDERTÄLJE</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2177-2024</t>
        </is>
      </c>
      <c r="B3181" s="1" t="n">
        <v>45309</v>
      </c>
      <c r="C3181" s="1" t="n">
        <v>45672</v>
      </c>
      <c r="D3181" t="inlineStr">
        <is>
          <t>STOCKHOLMS LÄN</t>
        </is>
      </c>
      <c r="E3181" t="inlineStr">
        <is>
          <t>NYKVARN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2172-2024</t>
        </is>
      </c>
      <c r="B3182" s="1" t="n">
        <v>45309</v>
      </c>
      <c r="C3182" s="1" t="n">
        <v>45672</v>
      </c>
      <c r="D3182" t="inlineStr">
        <is>
          <t>STOCKHOLMS LÄN</t>
        </is>
      </c>
      <c r="E3182" t="inlineStr">
        <is>
          <t>NYKVARN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2287-2024</t>
        </is>
      </c>
      <c r="B3183" s="1" t="n">
        <v>45310</v>
      </c>
      <c r="C3183" s="1" t="n">
        <v>45672</v>
      </c>
      <c r="D3183" t="inlineStr">
        <is>
          <t>STOCKHOLMS LÄN</t>
        </is>
      </c>
      <c r="E3183" t="inlineStr">
        <is>
          <t>NORRTÄLJE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2281-2024</t>
        </is>
      </c>
      <c r="B3184" s="1" t="n">
        <v>45310</v>
      </c>
      <c r="C3184" s="1" t="n">
        <v>45672</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2318-2024</t>
        </is>
      </c>
      <c r="B3185" s="1" t="n">
        <v>45310</v>
      </c>
      <c r="C3185" s="1" t="n">
        <v>45672</v>
      </c>
      <c r="D3185" t="inlineStr">
        <is>
          <t>STOCKHOLMS LÄN</t>
        </is>
      </c>
      <c r="E3185" t="inlineStr">
        <is>
          <t>VALLENTUNA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2333-2024</t>
        </is>
      </c>
      <c r="B3186" s="1" t="n">
        <v>45310</v>
      </c>
      <c r="C3186" s="1" t="n">
        <v>45672</v>
      </c>
      <c r="D3186" t="inlineStr">
        <is>
          <t>STOCKHOLMS LÄN</t>
        </is>
      </c>
      <c r="E3186" t="inlineStr">
        <is>
          <t>VALLENTUNA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2341-2024</t>
        </is>
      </c>
      <c r="B3187" s="1" t="n">
        <v>45310</v>
      </c>
      <c r="C3187" s="1" t="n">
        <v>45672</v>
      </c>
      <c r="D3187" t="inlineStr">
        <is>
          <t>STOCKHOLMS LÄN</t>
        </is>
      </c>
      <c r="E3187" t="inlineStr">
        <is>
          <t>VALLENTUNA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2496-2024</t>
        </is>
      </c>
      <c r="B3188" s="1" t="n">
        <v>45313</v>
      </c>
      <c r="C3188" s="1" t="n">
        <v>45672</v>
      </c>
      <c r="D3188" t="inlineStr">
        <is>
          <t>STOCKHOLMS LÄN</t>
        </is>
      </c>
      <c r="E3188" t="inlineStr">
        <is>
          <t>SIGTUNA</t>
        </is>
      </c>
      <c r="F3188" t="inlineStr">
        <is>
          <t>Kommuner</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2600-2024</t>
        </is>
      </c>
      <c r="B3189" s="1" t="n">
        <v>45313</v>
      </c>
      <c r="C3189" s="1" t="n">
        <v>45672</v>
      </c>
      <c r="D3189" t="inlineStr">
        <is>
          <t>STOCKHOLMS LÄN</t>
        </is>
      </c>
      <c r="E3189" t="inlineStr">
        <is>
          <t>UPPLANDS-BRO</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2502-2024</t>
        </is>
      </c>
      <c r="B3190" s="1" t="n">
        <v>45313</v>
      </c>
      <c r="C3190" s="1" t="n">
        <v>45672</v>
      </c>
      <c r="D3190" t="inlineStr">
        <is>
          <t>STOCKHOLMS LÄN</t>
        </is>
      </c>
      <c r="E3190" t="inlineStr">
        <is>
          <t>UPPLANDS-BRO</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2613-2024</t>
        </is>
      </c>
      <c r="B3191" s="1" t="n">
        <v>45313</v>
      </c>
      <c r="C3191" s="1" t="n">
        <v>45672</v>
      </c>
      <c r="D3191" t="inlineStr">
        <is>
          <t>STOCKHOLMS LÄN</t>
        </is>
      </c>
      <c r="E3191" t="inlineStr">
        <is>
          <t>NORRTÄLJE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2611-2024</t>
        </is>
      </c>
      <c r="B3192" s="1" t="n">
        <v>45313</v>
      </c>
      <c r="C3192" s="1" t="n">
        <v>45672</v>
      </c>
      <c r="D3192" t="inlineStr">
        <is>
          <t>STOCKHOLMS LÄN</t>
        </is>
      </c>
      <c r="E3192" t="inlineStr">
        <is>
          <t>NORRTÄLJE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2602-2024</t>
        </is>
      </c>
      <c r="B3193" s="1" t="n">
        <v>45313</v>
      </c>
      <c r="C3193" s="1" t="n">
        <v>45672</v>
      </c>
      <c r="D3193" t="inlineStr">
        <is>
          <t>STOCKHOLMS LÄN</t>
        </is>
      </c>
      <c r="E3193" t="inlineStr">
        <is>
          <t>UPPLANDS-BRO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2594-2024</t>
        </is>
      </c>
      <c r="B3194" s="1" t="n">
        <v>45313</v>
      </c>
      <c r="C3194" s="1" t="n">
        <v>45672</v>
      </c>
      <c r="D3194" t="inlineStr">
        <is>
          <t>STOCKHOLMS LÄN</t>
        </is>
      </c>
      <c r="E3194" t="inlineStr">
        <is>
          <t>UPPLANDS-BRO</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2727-2024</t>
        </is>
      </c>
      <c r="B3195" s="1" t="n">
        <v>45314</v>
      </c>
      <c r="C3195" s="1" t="n">
        <v>45672</v>
      </c>
      <c r="D3195" t="inlineStr">
        <is>
          <t>STOCKHOLMS LÄN</t>
        </is>
      </c>
      <c r="E3195" t="inlineStr">
        <is>
          <t>VAXHOLM</t>
        </is>
      </c>
      <c r="F3195" t="inlineStr">
        <is>
          <t>Övriga statliga verk och myndigheter</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3084-2024</t>
        </is>
      </c>
      <c r="B3196" s="1" t="n">
        <v>45316</v>
      </c>
      <c r="C3196" s="1" t="n">
        <v>45672</v>
      </c>
      <c r="D3196" t="inlineStr">
        <is>
          <t>STOCKHOLMS LÄN</t>
        </is>
      </c>
      <c r="E3196" t="inlineStr">
        <is>
          <t>NORRTÄLJE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3108-2024</t>
        </is>
      </c>
      <c r="B3197" s="1" t="n">
        <v>45316</v>
      </c>
      <c r="C3197" s="1" t="n">
        <v>45672</v>
      </c>
      <c r="D3197" t="inlineStr">
        <is>
          <t>STOCKHOLMS LÄN</t>
        </is>
      </c>
      <c r="E3197" t="inlineStr">
        <is>
          <t>SÖDERTÄLJE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3152-2024</t>
        </is>
      </c>
      <c r="B3198" s="1" t="n">
        <v>45316</v>
      </c>
      <c r="C3198" s="1" t="n">
        <v>45672</v>
      </c>
      <c r="D3198" t="inlineStr">
        <is>
          <t>STOCKHOLMS LÄN</t>
        </is>
      </c>
      <c r="E3198" t="inlineStr">
        <is>
          <t>NORRTÄLJE</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3383-2024</t>
        </is>
      </c>
      <c r="B3199" s="1" t="n">
        <v>45317</v>
      </c>
      <c r="C3199" s="1" t="n">
        <v>45672</v>
      </c>
      <c r="D3199" t="inlineStr">
        <is>
          <t>STOCKHOLMS LÄN</t>
        </is>
      </c>
      <c r="E3199" t="inlineStr">
        <is>
          <t>SÖDERTÄLJE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3382-2024</t>
        </is>
      </c>
      <c r="B3200" s="1" t="n">
        <v>45317</v>
      </c>
      <c r="C3200" s="1" t="n">
        <v>45672</v>
      </c>
      <c r="D3200" t="inlineStr">
        <is>
          <t>STOCKHOLMS LÄN</t>
        </is>
      </c>
      <c r="E3200" t="inlineStr">
        <is>
          <t>SÖDERTÄLJE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3384-2024</t>
        </is>
      </c>
      <c r="B3201" s="1" t="n">
        <v>45317</v>
      </c>
      <c r="C3201" s="1" t="n">
        <v>45672</v>
      </c>
      <c r="D3201" t="inlineStr">
        <is>
          <t>STOCKHOLMS LÄN</t>
        </is>
      </c>
      <c r="E3201" t="inlineStr">
        <is>
          <t>SÖDERTÄLJE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3381-2024</t>
        </is>
      </c>
      <c r="B3202" s="1" t="n">
        <v>45317</v>
      </c>
      <c r="C3202" s="1" t="n">
        <v>45672</v>
      </c>
      <c r="D3202" t="inlineStr">
        <is>
          <t>STOCKHOLMS LÄN</t>
        </is>
      </c>
      <c r="E3202" t="inlineStr">
        <is>
          <t>NORRTÄLJE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3942-2024</t>
        </is>
      </c>
      <c r="B3203" s="1" t="n">
        <v>45322</v>
      </c>
      <c r="C3203" s="1" t="n">
        <v>45672</v>
      </c>
      <c r="D3203" t="inlineStr">
        <is>
          <t>STOCKHOLMS LÄN</t>
        </is>
      </c>
      <c r="E3203" t="inlineStr">
        <is>
          <t>NORRTÄLJE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3966-2024</t>
        </is>
      </c>
      <c r="B3204" s="1" t="n">
        <v>45322</v>
      </c>
      <c r="C3204" s="1" t="n">
        <v>45672</v>
      </c>
      <c r="D3204" t="inlineStr">
        <is>
          <t>STOCKHOLMS LÄN</t>
        </is>
      </c>
      <c r="E3204" t="inlineStr">
        <is>
          <t>NORRTÄLJE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4051-2024</t>
        </is>
      </c>
      <c r="B3205" s="1" t="n">
        <v>45323</v>
      </c>
      <c r="C3205" s="1" t="n">
        <v>45672</v>
      </c>
      <c r="D3205" t="inlineStr">
        <is>
          <t>STOCKHOLMS LÄN</t>
        </is>
      </c>
      <c r="E3205" t="inlineStr">
        <is>
          <t>NORRTÄLJE</t>
        </is>
      </c>
      <c r="F3205" t="inlineStr">
        <is>
          <t>Kyrkan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4060-2024</t>
        </is>
      </c>
      <c r="B3206" s="1" t="n">
        <v>45323</v>
      </c>
      <c r="C3206" s="1" t="n">
        <v>45672</v>
      </c>
      <c r="D3206" t="inlineStr">
        <is>
          <t>STOCKHOLMS LÄN</t>
        </is>
      </c>
      <c r="E3206" t="inlineStr">
        <is>
          <t>UPPLANDS-BRO</t>
        </is>
      </c>
      <c r="F3206" t="inlineStr">
        <is>
          <t>Övriga statliga verk och myndigheter</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4297-2024</t>
        </is>
      </c>
      <c r="B3207" s="1" t="n">
        <v>45324</v>
      </c>
      <c r="C3207" s="1" t="n">
        <v>45672</v>
      </c>
      <c r="D3207" t="inlineStr">
        <is>
          <t>STOCKHOLMS LÄN</t>
        </is>
      </c>
      <c r="E3207" t="inlineStr">
        <is>
          <t>HANINGE</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4542-2024</t>
        </is>
      </c>
      <c r="B3208" s="1" t="n">
        <v>45327</v>
      </c>
      <c r="C3208" s="1" t="n">
        <v>45672</v>
      </c>
      <c r="D3208" t="inlineStr">
        <is>
          <t>STOCKHOLMS LÄN</t>
        </is>
      </c>
      <c r="E3208" t="inlineStr">
        <is>
          <t>NORRTÄLJE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4658-2024</t>
        </is>
      </c>
      <c r="B3209" s="1" t="n">
        <v>45328</v>
      </c>
      <c r="C3209" s="1" t="n">
        <v>45672</v>
      </c>
      <c r="D3209" t="inlineStr">
        <is>
          <t>STOCKHOLMS LÄN</t>
        </is>
      </c>
      <c r="E3209" t="inlineStr">
        <is>
          <t>NORRTÄLJE</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4730-2024</t>
        </is>
      </c>
      <c r="B3210" s="1" t="n">
        <v>45328</v>
      </c>
      <c r="C3210" s="1" t="n">
        <v>45672</v>
      </c>
      <c r="D3210" t="inlineStr">
        <is>
          <t>STOCKHOLMS LÄN</t>
        </is>
      </c>
      <c r="E3210" t="inlineStr">
        <is>
          <t>NORRTÄLJE</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4804-2024</t>
        </is>
      </c>
      <c r="B3211" s="1" t="n">
        <v>45328</v>
      </c>
      <c r="C3211" s="1" t="n">
        <v>45672</v>
      </c>
      <c r="D3211" t="inlineStr">
        <is>
          <t>STOCKHOLMS LÄN</t>
        </is>
      </c>
      <c r="E3211" t="inlineStr">
        <is>
          <t>VALLENTUNA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4803-2024</t>
        </is>
      </c>
      <c r="B3212" s="1" t="n">
        <v>45328</v>
      </c>
      <c r="C3212" s="1" t="n">
        <v>45672</v>
      </c>
      <c r="D3212" t="inlineStr">
        <is>
          <t>STOCKHOLMS LÄN</t>
        </is>
      </c>
      <c r="E3212" t="inlineStr">
        <is>
          <t>VALLENTUNA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5158-2024</t>
        </is>
      </c>
      <c r="B3213" s="1" t="n">
        <v>45330</v>
      </c>
      <c r="C3213" s="1" t="n">
        <v>45672</v>
      </c>
      <c r="D3213" t="inlineStr">
        <is>
          <t>STOCKHOLMS LÄN</t>
        </is>
      </c>
      <c r="E3213" t="inlineStr">
        <is>
          <t>NORRTÄLJE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5142-2024</t>
        </is>
      </c>
      <c r="B3214" s="1" t="n">
        <v>45330</v>
      </c>
      <c r="C3214" s="1" t="n">
        <v>45672</v>
      </c>
      <c r="D3214" t="inlineStr">
        <is>
          <t>STOCKHOLMS LÄN</t>
        </is>
      </c>
      <c r="E3214" t="inlineStr">
        <is>
          <t>SIGTUNA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5474-2024</t>
        </is>
      </c>
      <c r="B3215" s="1" t="n">
        <v>45333</v>
      </c>
      <c r="C3215" s="1" t="n">
        <v>45672</v>
      </c>
      <c r="D3215" t="inlineStr">
        <is>
          <t>STOCKHOLMS LÄN</t>
        </is>
      </c>
      <c r="E3215" t="inlineStr">
        <is>
          <t>HANINGE</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5670-2024</t>
        </is>
      </c>
      <c r="B3216" s="1" t="n">
        <v>45334</v>
      </c>
      <c r="C3216" s="1" t="n">
        <v>45672</v>
      </c>
      <c r="D3216" t="inlineStr">
        <is>
          <t>STOCKHOLMS LÄN</t>
        </is>
      </c>
      <c r="E3216" t="inlineStr">
        <is>
          <t>NORRTÄLJE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5664-2024</t>
        </is>
      </c>
      <c r="B3217" s="1" t="n">
        <v>45334</v>
      </c>
      <c r="C3217" s="1" t="n">
        <v>45672</v>
      </c>
      <c r="D3217" t="inlineStr">
        <is>
          <t>STOCKHOLMS LÄN</t>
        </is>
      </c>
      <c r="E3217" t="inlineStr">
        <is>
          <t>NORRTÄLJE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5683-2024</t>
        </is>
      </c>
      <c r="B3218" s="1" t="n">
        <v>45334</v>
      </c>
      <c r="C3218" s="1" t="n">
        <v>45672</v>
      </c>
      <c r="D3218" t="inlineStr">
        <is>
          <t>STOCKHOLMS LÄN</t>
        </is>
      </c>
      <c r="E3218" t="inlineStr">
        <is>
          <t>NORRTÄLJE</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5625-2024</t>
        </is>
      </c>
      <c r="B3219" s="1" t="n">
        <v>45334</v>
      </c>
      <c r="C3219" s="1" t="n">
        <v>45672</v>
      </c>
      <c r="D3219" t="inlineStr">
        <is>
          <t>STOCKHOLMS LÄN</t>
        </is>
      </c>
      <c r="E3219" t="inlineStr">
        <is>
          <t>NORRTÄLJE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5693-2024</t>
        </is>
      </c>
      <c r="B3220" s="1" t="n">
        <v>45334</v>
      </c>
      <c r="C3220" s="1" t="n">
        <v>45672</v>
      </c>
      <c r="D3220" t="inlineStr">
        <is>
          <t>STOCKHOLMS LÄN</t>
        </is>
      </c>
      <c r="E3220" t="inlineStr">
        <is>
          <t>NYNÄSHAMN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5862-2024</t>
        </is>
      </c>
      <c r="B3221" s="1" t="n">
        <v>45335</v>
      </c>
      <c r="C3221" s="1" t="n">
        <v>45672</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5831-2024</t>
        </is>
      </c>
      <c r="B3222" s="1" t="n">
        <v>45335</v>
      </c>
      <c r="C3222" s="1" t="n">
        <v>45672</v>
      </c>
      <c r="D3222" t="inlineStr">
        <is>
          <t>STOCKHOLMS LÄN</t>
        </is>
      </c>
      <c r="E3222" t="inlineStr">
        <is>
          <t>NORRTÄLJE</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5894-2024</t>
        </is>
      </c>
      <c r="B3223" s="1" t="n">
        <v>45335</v>
      </c>
      <c r="C3223" s="1" t="n">
        <v>45672</v>
      </c>
      <c r="D3223" t="inlineStr">
        <is>
          <t>STOCKHOLMS LÄN</t>
        </is>
      </c>
      <c r="E3223" t="inlineStr">
        <is>
          <t>NORRTÄLJE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6256-2024</t>
        </is>
      </c>
      <c r="B3224" s="1" t="n">
        <v>45337</v>
      </c>
      <c r="C3224" s="1" t="n">
        <v>45672</v>
      </c>
      <c r="D3224" t="inlineStr">
        <is>
          <t>STOCKHOLMS LÄN</t>
        </is>
      </c>
      <c r="E3224" t="inlineStr">
        <is>
          <t>UPPLANDS-BRO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6257-2024</t>
        </is>
      </c>
      <c r="B3225" s="1" t="n">
        <v>45337</v>
      </c>
      <c r="C3225" s="1" t="n">
        <v>45672</v>
      </c>
      <c r="D3225" t="inlineStr">
        <is>
          <t>STOCKHOLMS LÄN</t>
        </is>
      </c>
      <c r="E3225" t="inlineStr">
        <is>
          <t>UPPLANDS-BRO</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6295-2024</t>
        </is>
      </c>
      <c r="B3226" s="1" t="n">
        <v>45338</v>
      </c>
      <c r="C3226" s="1" t="n">
        <v>45672</v>
      </c>
      <c r="D3226" t="inlineStr">
        <is>
          <t>STOCKHOLMS LÄN</t>
        </is>
      </c>
      <c r="E3226" t="inlineStr">
        <is>
          <t>NYNÄSHAMN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6401-2024</t>
        </is>
      </c>
      <c r="B3227" s="1" t="n">
        <v>45338</v>
      </c>
      <c r="C3227" s="1" t="n">
        <v>45672</v>
      </c>
      <c r="D3227" t="inlineStr">
        <is>
          <t>STOCKHOLMS LÄN</t>
        </is>
      </c>
      <c r="E3227" t="inlineStr">
        <is>
          <t>NORRTÄLJE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6537-2024</t>
        </is>
      </c>
      <c r="B3228" s="1" t="n">
        <v>45341</v>
      </c>
      <c r="C3228" s="1" t="n">
        <v>45672</v>
      </c>
      <c r="D3228" t="inlineStr">
        <is>
          <t>STOCKHOLMS LÄN</t>
        </is>
      </c>
      <c r="E3228" t="inlineStr">
        <is>
          <t>NORRTÄLJE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6599-2024</t>
        </is>
      </c>
      <c r="B3229" s="1" t="n">
        <v>45341</v>
      </c>
      <c r="C3229" s="1" t="n">
        <v>45672</v>
      </c>
      <c r="D3229" t="inlineStr">
        <is>
          <t>STOCKHOLMS LÄN</t>
        </is>
      </c>
      <c r="E3229" t="inlineStr">
        <is>
          <t>NYNÄSHAMN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6962-2024</t>
        </is>
      </c>
      <c r="B3230" s="1" t="n">
        <v>45343</v>
      </c>
      <c r="C3230" s="1" t="n">
        <v>45672</v>
      </c>
      <c r="D3230" t="inlineStr">
        <is>
          <t>STOCKHOLMS LÄN</t>
        </is>
      </c>
      <c r="E3230" t="inlineStr">
        <is>
          <t>BOTKYRKA</t>
        </is>
      </c>
      <c r="F3230" t="inlineStr">
        <is>
          <t>Övriga Aktiebolag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6978-2024</t>
        </is>
      </c>
      <c r="B3231" s="1" t="n">
        <v>45343</v>
      </c>
      <c r="C3231" s="1" t="n">
        <v>45672</v>
      </c>
      <c r="D3231" t="inlineStr">
        <is>
          <t>STOCKHOLMS LÄN</t>
        </is>
      </c>
      <c r="E3231" t="inlineStr">
        <is>
          <t>BOTKYRKA</t>
        </is>
      </c>
      <c r="F3231" t="inlineStr">
        <is>
          <t>Övriga Aktiebolag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7009-2024</t>
        </is>
      </c>
      <c r="B3232" s="1" t="n">
        <v>45343</v>
      </c>
      <c r="C3232" s="1" t="n">
        <v>45672</v>
      </c>
      <c r="D3232" t="inlineStr">
        <is>
          <t>STOCKHOLMS LÄN</t>
        </is>
      </c>
      <c r="E3232" t="inlineStr">
        <is>
          <t>NORRTÄLJE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7096-2024</t>
        </is>
      </c>
      <c r="B3233" s="1" t="n">
        <v>45343</v>
      </c>
      <c r="C3233" s="1" t="n">
        <v>45672</v>
      </c>
      <c r="D3233" t="inlineStr">
        <is>
          <t>STOCKHOLMS LÄN</t>
        </is>
      </c>
      <c r="E3233" t="inlineStr">
        <is>
          <t>SIGTUNA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7145-2024</t>
        </is>
      </c>
      <c r="B3234" s="1" t="n">
        <v>45344</v>
      </c>
      <c r="C3234" s="1" t="n">
        <v>45672</v>
      </c>
      <c r="D3234" t="inlineStr">
        <is>
          <t>STOCKHOLMS LÄN</t>
        </is>
      </c>
      <c r="E3234" t="inlineStr">
        <is>
          <t>SIGTUNA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7142-2024</t>
        </is>
      </c>
      <c r="B3235" s="1" t="n">
        <v>45344</v>
      </c>
      <c r="C3235" s="1" t="n">
        <v>45672</v>
      </c>
      <c r="D3235" t="inlineStr">
        <is>
          <t>STOCKHOLMS LÄN</t>
        </is>
      </c>
      <c r="E3235" t="inlineStr">
        <is>
          <t>SIGTUNA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7143-2024</t>
        </is>
      </c>
      <c r="B3236" s="1" t="n">
        <v>45344</v>
      </c>
      <c r="C3236" s="1" t="n">
        <v>45672</v>
      </c>
      <c r="D3236" t="inlineStr">
        <is>
          <t>STOCKHOLMS LÄN</t>
        </is>
      </c>
      <c r="E3236" t="inlineStr">
        <is>
          <t>SIGTUNA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7186-2024</t>
        </is>
      </c>
      <c r="B3237" s="1" t="n">
        <v>45344</v>
      </c>
      <c r="C3237" s="1" t="n">
        <v>45672</v>
      </c>
      <c r="D3237" t="inlineStr">
        <is>
          <t>STOCKHOLMS LÄN</t>
        </is>
      </c>
      <c r="E3237" t="inlineStr">
        <is>
          <t>NORRTÄLJE</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7180-2024</t>
        </is>
      </c>
      <c r="B3238" s="1" t="n">
        <v>45344</v>
      </c>
      <c r="C3238" s="1" t="n">
        <v>45672</v>
      </c>
      <c r="D3238" t="inlineStr">
        <is>
          <t>STOCKHOLMS LÄN</t>
        </is>
      </c>
      <c r="E3238" t="inlineStr">
        <is>
          <t>NYNÄSHAMN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7408-2024</t>
        </is>
      </c>
      <c r="B3239" s="1" t="n">
        <v>45345</v>
      </c>
      <c r="C3239" s="1" t="n">
        <v>45672</v>
      </c>
      <c r="D3239" t="inlineStr">
        <is>
          <t>STOCKHOLMS LÄN</t>
        </is>
      </c>
      <c r="E3239" t="inlineStr">
        <is>
          <t>NORRTÄLJE</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7573-2024</t>
        </is>
      </c>
      <c r="B3240" s="1" t="n">
        <v>45345</v>
      </c>
      <c r="C3240" s="1" t="n">
        <v>45672</v>
      </c>
      <c r="D3240" t="inlineStr">
        <is>
          <t>STOCKHOLMS LÄN</t>
        </is>
      </c>
      <c r="E3240" t="inlineStr">
        <is>
          <t>NORRTÄLJE</t>
        </is>
      </c>
      <c r="F3240" t="inlineStr">
        <is>
          <t>Övriga Aktiebolag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7425-2024</t>
        </is>
      </c>
      <c r="B3241" s="1" t="n">
        <v>45345</v>
      </c>
      <c r="C3241" s="1" t="n">
        <v>45672</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7413-2024</t>
        </is>
      </c>
      <c r="B3242" s="1" t="n">
        <v>45345</v>
      </c>
      <c r="C3242" s="1" t="n">
        <v>45672</v>
      </c>
      <c r="D3242" t="inlineStr">
        <is>
          <t>STOCKHOLMS LÄN</t>
        </is>
      </c>
      <c r="E3242" t="inlineStr">
        <is>
          <t>NORRTÄLJE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7385-2024</t>
        </is>
      </c>
      <c r="B3243" s="1" t="n">
        <v>45345</v>
      </c>
      <c r="C3243" s="1" t="n">
        <v>45672</v>
      </c>
      <c r="D3243" t="inlineStr">
        <is>
          <t>STOCKHOLMS LÄN</t>
        </is>
      </c>
      <c r="E3243" t="inlineStr">
        <is>
          <t>NORRTÄLJE</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7329-2024</t>
        </is>
      </c>
      <c r="B3244" s="1" t="n">
        <v>45345</v>
      </c>
      <c r="C3244" s="1" t="n">
        <v>45672</v>
      </c>
      <c r="D3244" t="inlineStr">
        <is>
          <t>STOCKHOLMS LÄN</t>
        </is>
      </c>
      <c r="E3244" t="inlineStr">
        <is>
          <t>NORRTÄLJE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7483-2024</t>
        </is>
      </c>
      <c r="B3245" s="1" t="n">
        <v>45346</v>
      </c>
      <c r="C3245" s="1" t="n">
        <v>45672</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7571-2024</t>
        </is>
      </c>
      <c r="B3246" s="1" t="n">
        <v>45348</v>
      </c>
      <c r="C3246" s="1" t="n">
        <v>45672</v>
      </c>
      <c r="D3246" t="inlineStr">
        <is>
          <t>STOCKHOLMS LÄN</t>
        </is>
      </c>
      <c r="E3246" t="inlineStr">
        <is>
          <t>NORRTÄLJE</t>
        </is>
      </c>
      <c r="F3246" t="inlineStr">
        <is>
          <t>Holmen skog AB</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7860-2024</t>
        </is>
      </c>
      <c r="B3247" s="1" t="n">
        <v>45348</v>
      </c>
      <c r="C3247" s="1" t="n">
        <v>45672</v>
      </c>
      <c r="D3247" t="inlineStr">
        <is>
          <t>STOCKHOLMS LÄN</t>
        </is>
      </c>
      <c r="E3247" t="inlineStr">
        <is>
          <t>UPPLANDS-BRO</t>
        </is>
      </c>
      <c r="F3247" t="inlineStr">
        <is>
          <t>Övriga statliga verk och myndigheter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7966-2024</t>
        </is>
      </c>
      <c r="B3248" s="1" t="n">
        <v>45350</v>
      </c>
      <c r="C3248" s="1" t="n">
        <v>45672</v>
      </c>
      <c r="D3248" t="inlineStr">
        <is>
          <t>STOCKHOLMS LÄN</t>
        </is>
      </c>
      <c r="E3248" t="inlineStr">
        <is>
          <t>SIGTUNA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7970-2024</t>
        </is>
      </c>
      <c r="B3249" s="1" t="n">
        <v>45350</v>
      </c>
      <c r="C3249" s="1" t="n">
        <v>45672</v>
      </c>
      <c r="D3249" t="inlineStr">
        <is>
          <t>STOCKHOLMS LÄN</t>
        </is>
      </c>
      <c r="E3249" t="inlineStr">
        <is>
          <t>SIGTUNA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7975-2024</t>
        </is>
      </c>
      <c r="B3250" s="1" t="n">
        <v>45350</v>
      </c>
      <c r="C3250" s="1" t="n">
        <v>45672</v>
      </c>
      <c r="D3250" t="inlineStr">
        <is>
          <t>STOCKHOLMS LÄN</t>
        </is>
      </c>
      <c r="E3250" t="inlineStr">
        <is>
          <t>SIGTUNA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8153-2024</t>
        </is>
      </c>
      <c r="B3251" s="1" t="n">
        <v>45351</v>
      </c>
      <c r="C3251" s="1" t="n">
        <v>45672</v>
      </c>
      <c r="D3251" t="inlineStr">
        <is>
          <t>STOCKHOLMS LÄN</t>
        </is>
      </c>
      <c r="E3251" t="inlineStr">
        <is>
          <t>HANINGE</t>
        </is>
      </c>
      <c r="F3251" t="inlineStr">
        <is>
          <t>Kommuner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8163-2024</t>
        </is>
      </c>
      <c r="B3252" s="1" t="n">
        <v>45351</v>
      </c>
      <c r="C3252" s="1" t="n">
        <v>45672</v>
      </c>
      <c r="D3252" t="inlineStr">
        <is>
          <t>STOCKHOLMS LÄN</t>
        </is>
      </c>
      <c r="E3252" t="inlineStr">
        <is>
          <t>HANINGE</t>
        </is>
      </c>
      <c r="F3252" t="inlineStr">
        <is>
          <t>Kommuner</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8078-2024</t>
        </is>
      </c>
      <c r="B3253" s="1" t="n">
        <v>45351</v>
      </c>
      <c r="C3253" s="1" t="n">
        <v>45672</v>
      </c>
      <c r="D3253" t="inlineStr">
        <is>
          <t>STOCKHOLMS LÄN</t>
        </is>
      </c>
      <c r="E3253" t="inlineStr">
        <is>
          <t>HANINGE</t>
        </is>
      </c>
      <c r="F3253" t="inlineStr">
        <is>
          <t>Kommuner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8270-2024</t>
        </is>
      </c>
      <c r="B3254" s="1" t="n">
        <v>45352</v>
      </c>
      <c r="C3254" s="1" t="n">
        <v>45672</v>
      </c>
      <c r="D3254" t="inlineStr">
        <is>
          <t>STOCKHOLMS LÄN</t>
        </is>
      </c>
      <c r="E3254" t="inlineStr">
        <is>
          <t>NORRTÄLJE</t>
        </is>
      </c>
      <c r="F3254" t="inlineStr">
        <is>
          <t>Kyrkan</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8300-2024</t>
        </is>
      </c>
      <c r="B3255" s="1" t="n">
        <v>45352</v>
      </c>
      <c r="C3255" s="1" t="n">
        <v>45672</v>
      </c>
      <c r="D3255" t="inlineStr">
        <is>
          <t>STOCKHOLMS LÄN</t>
        </is>
      </c>
      <c r="E3255" t="inlineStr">
        <is>
          <t>SALEM</t>
        </is>
      </c>
      <c r="F3255" t="inlineStr">
        <is>
          <t>Kommuner</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8399-2024</t>
        </is>
      </c>
      <c r="B3256" s="1" t="n">
        <v>45352</v>
      </c>
      <c r="C3256" s="1" t="n">
        <v>45672</v>
      </c>
      <c r="D3256" t="inlineStr">
        <is>
          <t>STOCKHOLMS LÄN</t>
        </is>
      </c>
      <c r="E3256" t="inlineStr">
        <is>
          <t>NORRTÄLJE</t>
        </is>
      </c>
      <c r="G3256" t="n">
        <v>11.4</v>
      </c>
      <c r="H3256" t="n">
        <v>0</v>
      </c>
      <c r="I3256" t="n">
        <v>0</v>
      </c>
      <c r="J3256" t="n">
        <v>0</v>
      </c>
      <c r="K3256" t="n">
        <v>0</v>
      </c>
      <c r="L3256" t="n">
        <v>0</v>
      </c>
      <c r="M3256" t="n">
        <v>0</v>
      </c>
      <c r="N3256" t="n">
        <v>0</v>
      </c>
      <c r="O3256" t="n">
        <v>0</v>
      </c>
      <c r="P3256" t="n">
        <v>0</v>
      </c>
      <c r="Q3256" t="n">
        <v>0</v>
      </c>
      <c r="R3256" s="2" t="inlineStr"/>
    </row>
    <row r="3257" ht="15" customHeight="1">
      <c r="A3257" t="inlineStr">
        <is>
          <t>A 8365-2024</t>
        </is>
      </c>
      <c r="B3257" s="1" t="n">
        <v>45352</v>
      </c>
      <c r="C3257" s="1" t="n">
        <v>45672</v>
      </c>
      <c r="D3257" t="inlineStr">
        <is>
          <t>STOCKHOLMS LÄN</t>
        </is>
      </c>
      <c r="E3257" t="inlineStr">
        <is>
          <t>NORRTÄLJE</t>
        </is>
      </c>
      <c r="F3257" t="inlineStr">
        <is>
          <t>Naturvårdsverket</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8400-2024</t>
        </is>
      </c>
      <c r="B3258" s="1" t="n">
        <v>45352</v>
      </c>
      <c r="C3258" s="1" t="n">
        <v>45672</v>
      </c>
      <c r="D3258" t="inlineStr">
        <is>
          <t>STOCKHOLMS LÄN</t>
        </is>
      </c>
      <c r="E3258" t="inlineStr">
        <is>
          <t>NORRTÄLJE</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8401-2024</t>
        </is>
      </c>
      <c r="B3259" s="1" t="n">
        <v>45352</v>
      </c>
      <c r="C3259" s="1" t="n">
        <v>45672</v>
      </c>
      <c r="D3259" t="inlineStr">
        <is>
          <t>STOCKHOLMS LÄN</t>
        </is>
      </c>
      <c r="E3259" t="inlineStr">
        <is>
          <t>NORRTÄLJE</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8528-2024</t>
        </is>
      </c>
      <c r="B3260" s="1" t="n">
        <v>45355</v>
      </c>
      <c r="C3260" s="1" t="n">
        <v>45672</v>
      </c>
      <c r="D3260" t="inlineStr">
        <is>
          <t>STOCKHOLMS LÄN</t>
        </is>
      </c>
      <c r="E3260" t="inlineStr">
        <is>
          <t>BOTKYRKA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8739-2024</t>
        </is>
      </c>
      <c r="B3261" s="1" t="n">
        <v>45356</v>
      </c>
      <c r="C3261" s="1" t="n">
        <v>45672</v>
      </c>
      <c r="D3261" t="inlineStr">
        <is>
          <t>STOCKHOLMS LÄN</t>
        </is>
      </c>
      <c r="E3261" t="inlineStr">
        <is>
          <t>NORRTÄLJE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8787-2024</t>
        </is>
      </c>
      <c r="B3262" s="1" t="n">
        <v>45356</v>
      </c>
      <c r="C3262" s="1" t="n">
        <v>45672</v>
      </c>
      <c r="D3262" t="inlineStr">
        <is>
          <t>STOCKHOLMS LÄN</t>
        </is>
      </c>
      <c r="E3262" t="inlineStr">
        <is>
          <t>VALLENTUNA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8736-2024</t>
        </is>
      </c>
      <c r="B3263" s="1" t="n">
        <v>45356</v>
      </c>
      <c r="C3263" s="1" t="n">
        <v>45672</v>
      </c>
      <c r="D3263" t="inlineStr">
        <is>
          <t>STOCKHOLMS LÄN</t>
        </is>
      </c>
      <c r="E3263" t="inlineStr">
        <is>
          <t>NORRTÄLJE</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8790-2024</t>
        </is>
      </c>
      <c r="B3264" s="1" t="n">
        <v>45356</v>
      </c>
      <c r="C3264" s="1" t="n">
        <v>45672</v>
      </c>
      <c r="D3264" t="inlineStr">
        <is>
          <t>STOCKHOLMS LÄN</t>
        </is>
      </c>
      <c r="E3264" t="inlineStr">
        <is>
          <t>VALLENTUNA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9063-2024</t>
        </is>
      </c>
      <c r="B3265" s="1" t="n">
        <v>45357</v>
      </c>
      <c r="C3265" s="1" t="n">
        <v>45672</v>
      </c>
      <c r="D3265" t="inlineStr">
        <is>
          <t>STOCKHOLMS LÄN</t>
        </is>
      </c>
      <c r="E3265" t="inlineStr">
        <is>
          <t>VALLENTUNA</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9075-2024</t>
        </is>
      </c>
      <c r="B3266" s="1" t="n">
        <v>45357</v>
      </c>
      <c r="C3266" s="1" t="n">
        <v>45672</v>
      </c>
      <c r="D3266" t="inlineStr">
        <is>
          <t>STOCKHOLMS LÄN</t>
        </is>
      </c>
      <c r="E3266" t="inlineStr">
        <is>
          <t>VALLENTUNA</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9074-2024</t>
        </is>
      </c>
      <c r="B3267" s="1" t="n">
        <v>45357</v>
      </c>
      <c r="C3267" s="1" t="n">
        <v>45672</v>
      </c>
      <c r="D3267" t="inlineStr">
        <is>
          <t>STOCKHOLMS LÄN</t>
        </is>
      </c>
      <c r="E3267" t="inlineStr">
        <is>
          <t>VALLENTUNA</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9246-2024</t>
        </is>
      </c>
      <c r="B3268" s="1" t="n">
        <v>45357</v>
      </c>
      <c r="C3268" s="1" t="n">
        <v>45672</v>
      </c>
      <c r="D3268" t="inlineStr">
        <is>
          <t>STOCKHOLMS LÄN</t>
        </is>
      </c>
      <c r="E3268" t="inlineStr">
        <is>
          <t>NORRTÄLJE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9169-2024</t>
        </is>
      </c>
      <c r="B3269" s="1" t="n">
        <v>45358</v>
      </c>
      <c r="C3269" s="1" t="n">
        <v>45672</v>
      </c>
      <c r="D3269" t="inlineStr">
        <is>
          <t>STOCKHOLMS LÄN</t>
        </is>
      </c>
      <c r="E3269" t="inlineStr">
        <is>
          <t>SÖDERTÄLJE</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9300-2024</t>
        </is>
      </c>
      <c r="B3270" s="1" t="n">
        <v>45358</v>
      </c>
      <c r="C3270" s="1" t="n">
        <v>45672</v>
      </c>
      <c r="D3270" t="inlineStr">
        <is>
          <t>STOCKHOLMS LÄN</t>
        </is>
      </c>
      <c r="E3270" t="inlineStr">
        <is>
          <t>NORRTÄLJE</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9297-2024</t>
        </is>
      </c>
      <c r="B3271" s="1" t="n">
        <v>45358</v>
      </c>
      <c r="C3271" s="1" t="n">
        <v>45672</v>
      </c>
      <c r="D3271" t="inlineStr">
        <is>
          <t>STOCKHOLMS LÄN</t>
        </is>
      </c>
      <c r="E3271" t="inlineStr">
        <is>
          <t>NORRTÄLJE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9301-2024</t>
        </is>
      </c>
      <c r="B3272" s="1" t="n">
        <v>45358</v>
      </c>
      <c r="C3272" s="1" t="n">
        <v>45672</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9305-2024</t>
        </is>
      </c>
      <c r="B3273" s="1" t="n">
        <v>45358</v>
      </c>
      <c r="C3273" s="1" t="n">
        <v>45672</v>
      </c>
      <c r="D3273" t="inlineStr">
        <is>
          <t>STOCKHOLMS LÄN</t>
        </is>
      </c>
      <c r="E3273" t="inlineStr">
        <is>
          <t>NORRTÄLJE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9533-2024</t>
        </is>
      </c>
      <c r="B3274" s="1" t="n">
        <v>45359</v>
      </c>
      <c r="C3274" s="1" t="n">
        <v>45672</v>
      </c>
      <c r="D3274" t="inlineStr">
        <is>
          <t>STOCKHOLMS LÄN</t>
        </is>
      </c>
      <c r="E3274" t="inlineStr">
        <is>
          <t>SALEM</t>
        </is>
      </c>
      <c r="F3274" t="inlineStr">
        <is>
          <t>Kommuner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9765-2024</t>
        </is>
      </c>
      <c r="B3275" s="1" t="n">
        <v>45362</v>
      </c>
      <c r="C3275" s="1" t="n">
        <v>45672</v>
      </c>
      <c r="D3275" t="inlineStr">
        <is>
          <t>STOCKHOLMS LÄN</t>
        </is>
      </c>
      <c r="E3275" t="inlineStr">
        <is>
          <t>NORRTÄLJE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9946-2024</t>
        </is>
      </c>
      <c r="B3276" s="1" t="n">
        <v>45363</v>
      </c>
      <c r="C3276" s="1" t="n">
        <v>45672</v>
      </c>
      <c r="D3276" t="inlineStr">
        <is>
          <t>STOCKHOLMS LÄN</t>
        </is>
      </c>
      <c r="E3276" t="inlineStr">
        <is>
          <t>HANINGE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9966-2024</t>
        </is>
      </c>
      <c r="B3277" s="1" t="n">
        <v>45363</v>
      </c>
      <c r="C3277" s="1" t="n">
        <v>45672</v>
      </c>
      <c r="D3277" t="inlineStr">
        <is>
          <t>STOCKHOLMS LÄN</t>
        </is>
      </c>
      <c r="E3277" t="inlineStr">
        <is>
          <t>VÄRMDÖ</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9964-2024</t>
        </is>
      </c>
      <c r="B3278" s="1" t="n">
        <v>45363</v>
      </c>
      <c r="C3278" s="1" t="n">
        <v>45672</v>
      </c>
      <c r="D3278" t="inlineStr">
        <is>
          <t>STOCKHOLMS LÄN</t>
        </is>
      </c>
      <c r="E3278" t="inlineStr">
        <is>
          <t>VÄRMDÖ</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9856-2024</t>
        </is>
      </c>
      <c r="B3279" s="1" t="n">
        <v>45363</v>
      </c>
      <c r="C3279" s="1" t="n">
        <v>45672</v>
      </c>
      <c r="D3279" t="inlineStr">
        <is>
          <t>STOCKHOLMS LÄN</t>
        </is>
      </c>
      <c r="E3279" t="inlineStr">
        <is>
          <t>SIGTUNA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9965-2024</t>
        </is>
      </c>
      <c r="B3280" s="1" t="n">
        <v>45363</v>
      </c>
      <c r="C3280" s="1" t="n">
        <v>45672</v>
      </c>
      <c r="D3280" t="inlineStr">
        <is>
          <t>STOCKHOLMS LÄN</t>
        </is>
      </c>
      <c r="E3280" t="inlineStr">
        <is>
          <t>VALLENTUNA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9959-2024</t>
        </is>
      </c>
      <c r="B3281" s="1" t="n">
        <v>45363</v>
      </c>
      <c r="C3281" s="1" t="n">
        <v>45672</v>
      </c>
      <c r="D3281" t="inlineStr">
        <is>
          <t>STOCKHOLMS LÄN</t>
        </is>
      </c>
      <c r="E3281" t="inlineStr">
        <is>
          <t>NORRTÄLJE</t>
        </is>
      </c>
      <c r="F3281" t="inlineStr">
        <is>
          <t>Naturvårdsverket</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10073-2024</t>
        </is>
      </c>
      <c r="B3282" s="1" t="n">
        <v>45364</v>
      </c>
      <c r="C3282" s="1" t="n">
        <v>45672</v>
      </c>
      <c r="D3282" t="inlineStr">
        <is>
          <t>STOCKHOLMS LÄN</t>
        </is>
      </c>
      <c r="E3282" t="inlineStr">
        <is>
          <t>VALLENTUNA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10070-2024</t>
        </is>
      </c>
      <c r="B3283" s="1" t="n">
        <v>45364</v>
      </c>
      <c r="C3283" s="1" t="n">
        <v>45672</v>
      </c>
      <c r="D3283" t="inlineStr">
        <is>
          <t>STOCKHOLMS LÄN</t>
        </is>
      </c>
      <c r="E3283" t="inlineStr">
        <is>
          <t>VALLENTUNA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10068-2024</t>
        </is>
      </c>
      <c r="B3284" s="1" t="n">
        <v>45364</v>
      </c>
      <c r="C3284" s="1" t="n">
        <v>45672</v>
      </c>
      <c r="D3284" t="inlineStr">
        <is>
          <t>STOCKHOLMS LÄN</t>
        </is>
      </c>
      <c r="E3284" t="inlineStr">
        <is>
          <t>VALLENTUNA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10336-2024</t>
        </is>
      </c>
      <c r="B3285" s="1" t="n">
        <v>45365</v>
      </c>
      <c r="C3285" s="1" t="n">
        <v>45672</v>
      </c>
      <c r="D3285" t="inlineStr">
        <is>
          <t>STOCKHOLMS LÄN</t>
        </is>
      </c>
      <c r="E3285" t="inlineStr">
        <is>
          <t>VALLENTUNA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10258-2024</t>
        </is>
      </c>
      <c r="B3286" s="1" t="n">
        <v>45365</v>
      </c>
      <c r="C3286" s="1" t="n">
        <v>45672</v>
      </c>
      <c r="D3286" t="inlineStr">
        <is>
          <t>STOCKHOLMS LÄN</t>
        </is>
      </c>
      <c r="E3286" t="inlineStr">
        <is>
          <t>NORRTÄLJE</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10279-2024</t>
        </is>
      </c>
      <c r="B3287" s="1" t="n">
        <v>45365</v>
      </c>
      <c r="C3287" s="1" t="n">
        <v>45672</v>
      </c>
      <c r="D3287" t="inlineStr">
        <is>
          <t>STOCKHOLMS LÄN</t>
        </is>
      </c>
      <c r="E3287" t="inlineStr">
        <is>
          <t>NORRTÄLJE</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10349-2024</t>
        </is>
      </c>
      <c r="B3288" s="1" t="n">
        <v>45365</v>
      </c>
      <c r="C3288" s="1" t="n">
        <v>45672</v>
      </c>
      <c r="D3288" t="inlineStr">
        <is>
          <t>STOCKHOLMS LÄN</t>
        </is>
      </c>
      <c r="E3288" t="inlineStr">
        <is>
          <t>VALLENTUNA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10341-2024</t>
        </is>
      </c>
      <c r="B3289" s="1" t="n">
        <v>45365</v>
      </c>
      <c r="C3289" s="1" t="n">
        <v>45672</v>
      </c>
      <c r="D3289" t="inlineStr">
        <is>
          <t>STOCKHOLMS LÄN</t>
        </is>
      </c>
      <c r="E3289" t="inlineStr">
        <is>
          <t>NYKVARN</t>
        </is>
      </c>
      <c r="F3289" t="inlineStr">
        <is>
          <t>Sveaskog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10584-2024</t>
        </is>
      </c>
      <c r="B3290" s="1" t="n">
        <v>45366</v>
      </c>
      <c r="C3290" s="1" t="n">
        <v>45672</v>
      </c>
      <c r="D3290" t="inlineStr">
        <is>
          <t>STOCKHOLMS LÄN</t>
        </is>
      </c>
      <c r="E3290" t="inlineStr">
        <is>
          <t>NYNÄSHAMN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10588-2024</t>
        </is>
      </c>
      <c r="B3291" s="1" t="n">
        <v>45366</v>
      </c>
      <c r="C3291" s="1" t="n">
        <v>45672</v>
      </c>
      <c r="D3291" t="inlineStr">
        <is>
          <t>STOCKHOLMS LÄN</t>
        </is>
      </c>
      <c r="E3291" t="inlineStr">
        <is>
          <t>NYNÄSHAMN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10643-2024</t>
        </is>
      </c>
      <c r="B3292" s="1" t="n">
        <v>45367</v>
      </c>
      <c r="C3292" s="1" t="n">
        <v>45672</v>
      </c>
      <c r="D3292" t="inlineStr">
        <is>
          <t>STOCKHOLMS LÄN</t>
        </is>
      </c>
      <c r="E3292" t="inlineStr">
        <is>
          <t>NORRTÄLJE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10840-2024</t>
        </is>
      </c>
      <c r="B3293" s="1" t="n">
        <v>45369</v>
      </c>
      <c r="C3293" s="1" t="n">
        <v>45672</v>
      </c>
      <c r="D3293" t="inlineStr">
        <is>
          <t>STOCKHOLMS LÄN</t>
        </is>
      </c>
      <c r="E3293" t="inlineStr">
        <is>
          <t>NORRTÄLJE</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10810-2024</t>
        </is>
      </c>
      <c r="B3294" s="1" t="n">
        <v>45369</v>
      </c>
      <c r="C3294" s="1" t="n">
        <v>45672</v>
      </c>
      <c r="D3294" t="inlineStr">
        <is>
          <t>STOCKHOLMS LÄN</t>
        </is>
      </c>
      <c r="E3294" t="inlineStr">
        <is>
          <t>NORRTÄLJE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10930-2024</t>
        </is>
      </c>
      <c r="B3295" s="1" t="n">
        <v>45370</v>
      </c>
      <c r="C3295" s="1" t="n">
        <v>45672</v>
      </c>
      <c r="D3295" t="inlineStr">
        <is>
          <t>STOCKHOLMS LÄN</t>
        </is>
      </c>
      <c r="E3295" t="inlineStr">
        <is>
          <t>NORRTÄLJE</t>
        </is>
      </c>
      <c r="G3295" t="n">
        <v>8.699999999999999</v>
      </c>
      <c r="H3295" t="n">
        <v>0</v>
      </c>
      <c r="I3295" t="n">
        <v>0</v>
      </c>
      <c r="J3295" t="n">
        <v>0</v>
      </c>
      <c r="K3295" t="n">
        <v>0</v>
      </c>
      <c r="L3295" t="n">
        <v>0</v>
      </c>
      <c r="M3295" t="n">
        <v>0</v>
      </c>
      <c r="N3295" t="n">
        <v>0</v>
      </c>
      <c r="O3295" t="n">
        <v>0</v>
      </c>
      <c r="P3295" t="n">
        <v>0</v>
      </c>
      <c r="Q3295" t="n">
        <v>0</v>
      </c>
      <c r="R3295" s="2" t="inlineStr"/>
      <c r="U3295">
        <f>HYPERLINK("https://klasma.github.io/Logging_0188/knärot/A 10930-2024 karta knärot.png", "A 10930-2024")</f>
        <v/>
      </c>
      <c r="V3295">
        <f>HYPERLINK("https://klasma.github.io/Logging_0188/klagomål/A 10930-2024 FSC-klagomål.docx", "A 10930-2024")</f>
        <v/>
      </c>
      <c r="W3295">
        <f>HYPERLINK("https://klasma.github.io/Logging_0188/klagomålsmail/A 10930-2024 FSC-klagomål mail.docx", "A 10930-2024")</f>
        <v/>
      </c>
      <c r="X3295">
        <f>HYPERLINK("https://klasma.github.io/Logging_0188/tillsyn/A 10930-2024 tillsynsbegäran.docx", "A 10930-2024")</f>
        <v/>
      </c>
      <c r="Y3295">
        <f>HYPERLINK("https://klasma.github.io/Logging_0188/tillsynsmail/A 10930-2024 tillsynsbegäran mail.docx", "A 10930-2024")</f>
        <v/>
      </c>
    </row>
    <row r="3296" ht="15" customHeight="1">
      <c r="A3296" t="inlineStr">
        <is>
          <t>A 11062-2024</t>
        </is>
      </c>
      <c r="B3296" s="1" t="n">
        <v>45370</v>
      </c>
      <c r="C3296" s="1" t="n">
        <v>45672</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10968-2024</t>
        </is>
      </c>
      <c r="B3297" s="1" t="n">
        <v>45370</v>
      </c>
      <c r="C3297" s="1" t="n">
        <v>45672</v>
      </c>
      <c r="D3297" t="inlineStr">
        <is>
          <t>STOCKHOLMS LÄN</t>
        </is>
      </c>
      <c r="E3297" t="inlineStr">
        <is>
          <t>NORRTÄLJE</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11319-2024</t>
        </is>
      </c>
      <c r="B3298" s="1" t="n">
        <v>45371</v>
      </c>
      <c r="C3298" s="1" t="n">
        <v>45672</v>
      </c>
      <c r="D3298" t="inlineStr">
        <is>
          <t>STOCKHOLMS LÄN</t>
        </is>
      </c>
      <c r="E3298" t="inlineStr">
        <is>
          <t>SÖDERTÄLJE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11481-2024</t>
        </is>
      </c>
      <c r="B3299" s="1" t="n">
        <v>45372</v>
      </c>
      <c r="C3299" s="1" t="n">
        <v>45672</v>
      </c>
      <c r="D3299" t="inlineStr">
        <is>
          <t>STOCKHOLMS LÄN</t>
        </is>
      </c>
      <c r="E3299" t="inlineStr">
        <is>
          <t>EKERÖ</t>
        </is>
      </c>
      <c r="F3299" t="inlineStr">
        <is>
          <t>Övriga statliga verk och myndigheter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11902-2024</t>
        </is>
      </c>
      <c r="B3300" s="1" t="n">
        <v>45376</v>
      </c>
      <c r="C3300" s="1" t="n">
        <v>45672</v>
      </c>
      <c r="D3300" t="inlineStr">
        <is>
          <t>STOCKHOLMS LÄN</t>
        </is>
      </c>
      <c r="E3300" t="inlineStr">
        <is>
          <t>NORRTÄLJE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11926-2024</t>
        </is>
      </c>
      <c r="B3301" s="1" t="n">
        <v>45376</v>
      </c>
      <c r="C3301" s="1" t="n">
        <v>45672</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11867-2024</t>
        </is>
      </c>
      <c r="B3302" s="1" t="n">
        <v>45376</v>
      </c>
      <c r="C3302" s="1" t="n">
        <v>45672</v>
      </c>
      <c r="D3302" t="inlineStr">
        <is>
          <t>STOCKHOLMS LÄN</t>
        </is>
      </c>
      <c r="E3302" t="inlineStr">
        <is>
          <t>BOTKYRKA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11896-2024</t>
        </is>
      </c>
      <c r="B3303" s="1" t="n">
        <v>45376</v>
      </c>
      <c r="C3303" s="1" t="n">
        <v>45672</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11900-2024</t>
        </is>
      </c>
      <c r="B3304" s="1" t="n">
        <v>45376</v>
      </c>
      <c r="C3304" s="1" t="n">
        <v>45672</v>
      </c>
      <c r="D3304" t="inlineStr">
        <is>
          <t>STOCKHOLMS LÄN</t>
        </is>
      </c>
      <c r="E3304" t="inlineStr">
        <is>
          <t>NORRTÄLJE</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11924-2024</t>
        </is>
      </c>
      <c r="B3305" s="1" t="n">
        <v>45376</v>
      </c>
      <c r="C3305" s="1" t="n">
        <v>45672</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11876-2024</t>
        </is>
      </c>
      <c r="B3306" s="1" t="n">
        <v>45376</v>
      </c>
      <c r="C3306" s="1" t="n">
        <v>45672</v>
      </c>
      <c r="D3306" t="inlineStr">
        <is>
          <t>STOCKHOLMS LÄN</t>
        </is>
      </c>
      <c r="E3306" t="inlineStr">
        <is>
          <t>BOTKYRKA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11893-2024</t>
        </is>
      </c>
      <c r="B3307" s="1" t="n">
        <v>45376</v>
      </c>
      <c r="C3307" s="1" t="n">
        <v>45672</v>
      </c>
      <c r="D3307" t="inlineStr">
        <is>
          <t>STOCKHOLMS LÄN</t>
        </is>
      </c>
      <c r="E3307" t="inlineStr">
        <is>
          <t>NORRTÄLJE</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11901-2024</t>
        </is>
      </c>
      <c r="B3308" s="1" t="n">
        <v>45376</v>
      </c>
      <c r="C3308" s="1" t="n">
        <v>45672</v>
      </c>
      <c r="D3308" t="inlineStr">
        <is>
          <t>STOCKHOLMS LÄN</t>
        </is>
      </c>
      <c r="E3308" t="inlineStr">
        <is>
          <t>NORRTÄLJE</t>
        </is>
      </c>
      <c r="F3308" t="inlineStr">
        <is>
          <t>Holmen skog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11929-2024</t>
        </is>
      </c>
      <c r="B3309" s="1" t="n">
        <v>45376</v>
      </c>
      <c r="C3309" s="1" t="n">
        <v>45672</v>
      </c>
      <c r="D3309" t="inlineStr">
        <is>
          <t>STOCKHOLMS LÄN</t>
        </is>
      </c>
      <c r="E3309" t="inlineStr">
        <is>
          <t>NORRTÄLJE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11996-2024</t>
        </is>
      </c>
      <c r="B3310" s="1" t="n">
        <v>45376</v>
      </c>
      <c r="C3310" s="1" t="n">
        <v>45672</v>
      </c>
      <c r="D3310" t="inlineStr">
        <is>
          <t>STOCKHOLMS LÄN</t>
        </is>
      </c>
      <c r="E3310" t="inlineStr">
        <is>
          <t>NORRTÄLJE</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11997-2024</t>
        </is>
      </c>
      <c r="B3311" s="1" t="n">
        <v>45377</v>
      </c>
      <c r="C3311" s="1" t="n">
        <v>45672</v>
      </c>
      <c r="D3311" t="inlineStr">
        <is>
          <t>STOCKHOLMS LÄN</t>
        </is>
      </c>
      <c r="E3311" t="inlineStr">
        <is>
          <t>NORRTÄLJE</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12135-2024</t>
        </is>
      </c>
      <c r="B3312" s="1" t="n">
        <v>45377</v>
      </c>
      <c r="C3312" s="1" t="n">
        <v>45672</v>
      </c>
      <c r="D3312" t="inlineStr">
        <is>
          <t>STOCKHOLMS LÄN</t>
        </is>
      </c>
      <c r="E3312" t="inlineStr">
        <is>
          <t>NORRTÄLJE</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12022-2024</t>
        </is>
      </c>
      <c r="B3313" s="1" t="n">
        <v>45377</v>
      </c>
      <c r="C3313" s="1" t="n">
        <v>45672</v>
      </c>
      <c r="D3313" t="inlineStr">
        <is>
          <t>STOCKHOLMS LÄN</t>
        </is>
      </c>
      <c r="E3313" t="inlineStr">
        <is>
          <t>NORRTÄLJE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12323-2024</t>
        </is>
      </c>
      <c r="B3314" s="1" t="n">
        <v>45378</v>
      </c>
      <c r="C3314" s="1" t="n">
        <v>45672</v>
      </c>
      <c r="D3314" t="inlineStr">
        <is>
          <t>STOCKHOLMS LÄN</t>
        </is>
      </c>
      <c r="E3314" t="inlineStr">
        <is>
          <t>NORRTÄLJE</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12470-2024</t>
        </is>
      </c>
      <c r="B3315" s="1" t="n">
        <v>45379</v>
      </c>
      <c r="C3315" s="1" t="n">
        <v>45672</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12560-2024</t>
        </is>
      </c>
      <c r="B3316" s="1" t="n">
        <v>45379</v>
      </c>
      <c r="C3316" s="1" t="n">
        <v>45672</v>
      </c>
      <c r="D3316" t="inlineStr">
        <is>
          <t>STOCKHOLMS LÄN</t>
        </is>
      </c>
      <c r="E3316" t="inlineStr">
        <is>
          <t>NORRTÄLJE</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12609-2024</t>
        </is>
      </c>
      <c r="B3317" s="1" t="n">
        <v>45382</v>
      </c>
      <c r="C3317" s="1" t="n">
        <v>45672</v>
      </c>
      <c r="D3317" t="inlineStr">
        <is>
          <t>STOCKHOLMS LÄN</t>
        </is>
      </c>
      <c r="E3317" t="inlineStr">
        <is>
          <t>VALLENTUNA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12616-2024</t>
        </is>
      </c>
      <c r="B3318" s="1" t="n">
        <v>45383</v>
      </c>
      <c r="C3318" s="1" t="n">
        <v>45672</v>
      </c>
      <c r="D3318" t="inlineStr">
        <is>
          <t>STOCKHOLMS LÄN</t>
        </is>
      </c>
      <c r="E3318" t="inlineStr">
        <is>
          <t>VALLENTUNA</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12620-2024</t>
        </is>
      </c>
      <c r="B3319" s="1" t="n">
        <v>45383</v>
      </c>
      <c r="C3319" s="1" t="n">
        <v>45672</v>
      </c>
      <c r="D3319" t="inlineStr">
        <is>
          <t>STOCKHOLMS LÄN</t>
        </is>
      </c>
      <c r="E3319" t="inlineStr">
        <is>
          <t>VALLENTUNA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12624-2024</t>
        </is>
      </c>
      <c r="B3320" s="1" t="n">
        <v>45383</v>
      </c>
      <c r="C3320" s="1" t="n">
        <v>45672</v>
      </c>
      <c r="D3320" t="inlineStr">
        <is>
          <t>STOCKHOLMS LÄN</t>
        </is>
      </c>
      <c r="E3320" t="inlineStr">
        <is>
          <t>SÖDERTÄLJE</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12629-2024</t>
        </is>
      </c>
      <c r="B3321" s="1" t="n">
        <v>45383</v>
      </c>
      <c r="C3321" s="1" t="n">
        <v>45672</v>
      </c>
      <c r="D3321" t="inlineStr">
        <is>
          <t>STOCKHOLMS LÄN</t>
        </is>
      </c>
      <c r="E3321" t="inlineStr">
        <is>
          <t>NORRTÄLJE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12615-2024</t>
        </is>
      </c>
      <c r="B3322" s="1" t="n">
        <v>45383</v>
      </c>
      <c r="C3322" s="1" t="n">
        <v>45672</v>
      </c>
      <c r="D3322" t="inlineStr">
        <is>
          <t>STOCKHOLMS LÄN</t>
        </is>
      </c>
      <c r="E3322" t="inlineStr">
        <is>
          <t>VALLENTUNA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12619-2024</t>
        </is>
      </c>
      <c r="B3323" s="1" t="n">
        <v>45383</v>
      </c>
      <c r="C3323" s="1" t="n">
        <v>45672</v>
      </c>
      <c r="D3323" t="inlineStr">
        <is>
          <t>STOCKHOLMS LÄN</t>
        </is>
      </c>
      <c r="E3323" t="inlineStr">
        <is>
          <t>VALLENTUNA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12617-2024</t>
        </is>
      </c>
      <c r="B3324" s="1" t="n">
        <v>45383</v>
      </c>
      <c r="C3324" s="1" t="n">
        <v>45672</v>
      </c>
      <c r="D3324" t="inlineStr">
        <is>
          <t>STOCKHOLMS LÄN</t>
        </is>
      </c>
      <c r="E3324" t="inlineStr">
        <is>
          <t>VALLENTUNA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12621-2024</t>
        </is>
      </c>
      <c r="B3325" s="1" t="n">
        <v>45383</v>
      </c>
      <c r="C3325" s="1" t="n">
        <v>45672</v>
      </c>
      <c r="D3325" t="inlineStr">
        <is>
          <t>STOCKHOLMS LÄN</t>
        </is>
      </c>
      <c r="E3325" t="inlineStr">
        <is>
          <t>VALLENTUNA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12614-2024</t>
        </is>
      </c>
      <c r="B3326" s="1" t="n">
        <v>45383</v>
      </c>
      <c r="C3326" s="1" t="n">
        <v>45672</v>
      </c>
      <c r="D3326" t="inlineStr">
        <is>
          <t>STOCKHOLMS LÄN</t>
        </is>
      </c>
      <c r="E3326" t="inlineStr">
        <is>
          <t>VALLENTUNA</t>
        </is>
      </c>
      <c r="G3326" t="n">
        <v>14.8</v>
      </c>
      <c r="H3326" t="n">
        <v>0</v>
      </c>
      <c r="I3326" t="n">
        <v>0</v>
      </c>
      <c r="J3326" t="n">
        <v>0</v>
      </c>
      <c r="K3326" t="n">
        <v>0</v>
      </c>
      <c r="L3326" t="n">
        <v>0</v>
      </c>
      <c r="M3326" t="n">
        <v>0</v>
      </c>
      <c r="N3326" t="n">
        <v>0</v>
      </c>
      <c r="O3326" t="n">
        <v>0</v>
      </c>
      <c r="P3326" t="n">
        <v>0</v>
      </c>
      <c r="Q3326" t="n">
        <v>0</v>
      </c>
      <c r="R3326" s="2" t="inlineStr"/>
    </row>
    <row r="3327" ht="15" customHeight="1">
      <c r="A3327" t="inlineStr">
        <is>
          <t>A 12618-2024</t>
        </is>
      </c>
      <c r="B3327" s="1" t="n">
        <v>45383</v>
      </c>
      <c r="C3327" s="1" t="n">
        <v>45672</v>
      </c>
      <c r="D3327" t="inlineStr">
        <is>
          <t>STOCKHOLMS LÄN</t>
        </is>
      </c>
      <c r="E3327" t="inlineStr">
        <is>
          <t>VALLENTUNA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12627-2024</t>
        </is>
      </c>
      <c r="B3328" s="1" t="n">
        <v>45383</v>
      </c>
      <c r="C3328" s="1" t="n">
        <v>45672</v>
      </c>
      <c r="D3328" t="inlineStr">
        <is>
          <t>STOCKHOLMS LÄN</t>
        </is>
      </c>
      <c r="E3328" t="inlineStr">
        <is>
          <t>SÖDERTÄLJE</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12907-2024</t>
        </is>
      </c>
      <c r="B3329" s="1" t="n">
        <v>45385</v>
      </c>
      <c r="C3329" s="1" t="n">
        <v>45672</v>
      </c>
      <c r="D3329" t="inlineStr">
        <is>
          <t>STOCKHOLMS LÄN</t>
        </is>
      </c>
      <c r="E3329" t="inlineStr">
        <is>
          <t>SÖDERTÄLJE</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12896-2024</t>
        </is>
      </c>
      <c r="B3330" s="1" t="n">
        <v>45385</v>
      </c>
      <c r="C3330" s="1" t="n">
        <v>45672</v>
      </c>
      <c r="D3330" t="inlineStr">
        <is>
          <t>STOCKHOLMS LÄN</t>
        </is>
      </c>
      <c r="E3330" t="inlineStr">
        <is>
          <t>NORRTÄLJE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12904-2024</t>
        </is>
      </c>
      <c r="B3331" s="1" t="n">
        <v>45385</v>
      </c>
      <c r="C3331" s="1" t="n">
        <v>45672</v>
      </c>
      <c r="D3331" t="inlineStr">
        <is>
          <t>STOCKHOLMS LÄN</t>
        </is>
      </c>
      <c r="E3331" t="inlineStr">
        <is>
          <t>NORRTÄLJE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12901-2024</t>
        </is>
      </c>
      <c r="B3332" s="1" t="n">
        <v>45385</v>
      </c>
      <c r="C3332" s="1" t="n">
        <v>45672</v>
      </c>
      <c r="D3332" t="inlineStr">
        <is>
          <t>STOCKHOLMS LÄN</t>
        </is>
      </c>
      <c r="E3332" t="inlineStr">
        <is>
          <t>NORRTÄLJE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12890-2024</t>
        </is>
      </c>
      <c r="B3333" s="1" t="n">
        <v>45385</v>
      </c>
      <c r="C3333" s="1" t="n">
        <v>45672</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12902-2024</t>
        </is>
      </c>
      <c r="B3334" s="1" t="n">
        <v>45385</v>
      </c>
      <c r="C3334" s="1" t="n">
        <v>45672</v>
      </c>
      <c r="D3334" t="inlineStr">
        <is>
          <t>STOCKHOLMS LÄN</t>
        </is>
      </c>
      <c r="E3334" t="inlineStr">
        <is>
          <t>NORRTÄLJE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13057-2024</t>
        </is>
      </c>
      <c r="B3335" s="1" t="n">
        <v>45385</v>
      </c>
      <c r="C3335" s="1" t="n">
        <v>45672</v>
      </c>
      <c r="D3335" t="inlineStr">
        <is>
          <t>STOCKHOLMS LÄN</t>
        </is>
      </c>
      <c r="E3335" t="inlineStr">
        <is>
          <t>VAXHOLM</t>
        </is>
      </c>
      <c r="F3335" t="inlineStr">
        <is>
          <t>Övriga statliga verk och myndigheter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13115-2024</t>
        </is>
      </c>
      <c r="B3336" s="1" t="n">
        <v>45385</v>
      </c>
      <c r="C3336" s="1" t="n">
        <v>45672</v>
      </c>
      <c r="D3336" t="inlineStr">
        <is>
          <t>STOCKHOLMS LÄN</t>
        </is>
      </c>
      <c r="E3336" t="inlineStr">
        <is>
          <t>NORRTÄLJE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13137-2024</t>
        </is>
      </c>
      <c r="B3337" s="1" t="n">
        <v>45386</v>
      </c>
      <c r="C3337" s="1" t="n">
        <v>45672</v>
      </c>
      <c r="D3337" t="inlineStr">
        <is>
          <t>STOCKHOLMS LÄN</t>
        </is>
      </c>
      <c r="E3337" t="inlineStr">
        <is>
          <t>NORRTÄLJE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13264-2024</t>
        </is>
      </c>
      <c r="B3338" s="1" t="n">
        <v>45386</v>
      </c>
      <c r="C3338" s="1" t="n">
        <v>45672</v>
      </c>
      <c r="D3338" t="inlineStr">
        <is>
          <t>STOCKHOLMS LÄN</t>
        </is>
      </c>
      <c r="E3338" t="inlineStr">
        <is>
          <t>NACKA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13329-2024</t>
        </is>
      </c>
      <c r="B3339" s="1" t="n">
        <v>45386</v>
      </c>
      <c r="C3339" s="1" t="n">
        <v>45672</v>
      </c>
      <c r="D3339" t="inlineStr">
        <is>
          <t>STOCKHOLMS LÄN</t>
        </is>
      </c>
      <c r="E3339" t="inlineStr">
        <is>
          <t>SÖDERTÄLJE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13327-2024</t>
        </is>
      </c>
      <c r="B3340" s="1" t="n">
        <v>45386</v>
      </c>
      <c r="C3340" s="1" t="n">
        <v>45672</v>
      </c>
      <c r="D3340" t="inlineStr">
        <is>
          <t>STOCKHOLMS LÄN</t>
        </is>
      </c>
      <c r="E3340" t="inlineStr">
        <is>
          <t>SÖDERTÄLJE</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13241-2024</t>
        </is>
      </c>
      <c r="B3341" s="1" t="n">
        <v>45386</v>
      </c>
      <c r="C3341" s="1" t="n">
        <v>45672</v>
      </c>
      <c r="D3341" t="inlineStr">
        <is>
          <t>STOCKHOLMS LÄN</t>
        </is>
      </c>
      <c r="E3341" t="inlineStr">
        <is>
          <t>NORRTÄLJE</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13265-2024</t>
        </is>
      </c>
      <c r="B3342" s="1" t="n">
        <v>45386</v>
      </c>
      <c r="C3342" s="1" t="n">
        <v>45672</v>
      </c>
      <c r="D3342" t="inlineStr">
        <is>
          <t>STOCKHOLMS LÄN</t>
        </is>
      </c>
      <c r="E3342" t="inlineStr">
        <is>
          <t>NACKA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13378-2024</t>
        </is>
      </c>
      <c r="B3343" s="1" t="n">
        <v>45387</v>
      </c>
      <c r="C3343" s="1" t="n">
        <v>45672</v>
      </c>
      <c r="D3343" t="inlineStr">
        <is>
          <t>STOCKHOLMS LÄN</t>
        </is>
      </c>
      <c r="E3343" t="inlineStr">
        <is>
          <t>ÖSTERÅKER</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13366-2024</t>
        </is>
      </c>
      <c r="B3344" s="1" t="n">
        <v>45387</v>
      </c>
      <c r="C3344" s="1" t="n">
        <v>45672</v>
      </c>
      <c r="D3344" t="inlineStr">
        <is>
          <t>STOCKHOLMS LÄN</t>
        </is>
      </c>
      <c r="E3344" t="inlineStr">
        <is>
          <t>ÖSTERÅKER</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13391-2024</t>
        </is>
      </c>
      <c r="B3345" s="1" t="n">
        <v>45387</v>
      </c>
      <c r="C3345" s="1" t="n">
        <v>45672</v>
      </c>
      <c r="D3345" t="inlineStr">
        <is>
          <t>STOCKHOLMS LÄN</t>
        </is>
      </c>
      <c r="E3345" t="inlineStr">
        <is>
          <t>NORRTÄLJE</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13518-2024</t>
        </is>
      </c>
      <c r="B3346" s="1" t="n">
        <v>45387</v>
      </c>
      <c r="C3346" s="1" t="n">
        <v>45672</v>
      </c>
      <c r="D3346" t="inlineStr">
        <is>
          <t>STOCKHOLMS LÄN</t>
        </is>
      </c>
      <c r="E3346" t="inlineStr">
        <is>
          <t>ÖSTERÅKER</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13572-2024</t>
        </is>
      </c>
      <c r="B3347" s="1" t="n">
        <v>45389</v>
      </c>
      <c r="C3347" s="1" t="n">
        <v>45672</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13576-2024</t>
        </is>
      </c>
      <c r="B3348" s="1" t="n">
        <v>45389</v>
      </c>
      <c r="C3348" s="1" t="n">
        <v>45672</v>
      </c>
      <c r="D3348" t="inlineStr">
        <is>
          <t>STOCKHOLMS LÄN</t>
        </is>
      </c>
      <c r="E3348" t="inlineStr">
        <is>
          <t>VALLENTUNA</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13577-2024</t>
        </is>
      </c>
      <c r="B3349" s="1" t="n">
        <v>45389</v>
      </c>
      <c r="C3349" s="1" t="n">
        <v>45672</v>
      </c>
      <c r="D3349" t="inlineStr">
        <is>
          <t>STOCKHOLMS LÄN</t>
        </is>
      </c>
      <c r="E3349" t="inlineStr">
        <is>
          <t>VALLENTUNA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13649-2024</t>
        </is>
      </c>
      <c r="B3350" s="1" t="n">
        <v>45390</v>
      </c>
      <c r="C3350" s="1" t="n">
        <v>45672</v>
      </c>
      <c r="D3350" t="inlineStr">
        <is>
          <t>STOCKHOLMS LÄN</t>
        </is>
      </c>
      <c r="E3350" t="inlineStr">
        <is>
          <t>SÖDERTÄLJE</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13785-2024</t>
        </is>
      </c>
      <c r="B3351" s="1" t="n">
        <v>45391</v>
      </c>
      <c r="C3351" s="1" t="n">
        <v>45672</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14060-2024</t>
        </is>
      </c>
      <c r="B3352" s="1" t="n">
        <v>45392</v>
      </c>
      <c r="C3352" s="1" t="n">
        <v>45672</v>
      </c>
      <c r="D3352" t="inlineStr">
        <is>
          <t>STOCKHOLMS LÄN</t>
        </is>
      </c>
      <c r="E3352" t="inlineStr">
        <is>
          <t>SÖDERTÄLJE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14049-2024</t>
        </is>
      </c>
      <c r="B3353" s="1" t="n">
        <v>45392</v>
      </c>
      <c r="C3353" s="1" t="n">
        <v>45672</v>
      </c>
      <c r="D3353" t="inlineStr">
        <is>
          <t>STOCKHOLMS LÄN</t>
        </is>
      </c>
      <c r="E3353" t="inlineStr">
        <is>
          <t>SÖDERTÄLJE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14107-2024</t>
        </is>
      </c>
      <c r="B3354" s="1" t="n">
        <v>45392</v>
      </c>
      <c r="C3354" s="1" t="n">
        <v>45672</v>
      </c>
      <c r="D3354" t="inlineStr">
        <is>
          <t>STOCKHOLMS LÄN</t>
        </is>
      </c>
      <c r="E3354" t="inlineStr">
        <is>
          <t>SÖDERTÄLJE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14101-2024</t>
        </is>
      </c>
      <c r="B3355" s="1" t="n">
        <v>45392</v>
      </c>
      <c r="C3355" s="1" t="n">
        <v>45672</v>
      </c>
      <c r="D3355" t="inlineStr">
        <is>
          <t>STOCKHOLMS LÄN</t>
        </is>
      </c>
      <c r="E3355" t="inlineStr">
        <is>
          <t>SÖDERTÄLJE</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14348-2024</t>
        </is>
      </c>
      <c r="B3356" s="1" t="n">
        <v>45393</v>
      </c>
      <c r="C3356" s="1" t="n">
        <v>45672</v>
      </c>
      <c r="D3356" t="inlineStr">
        <is>
          <t>STOCKHOLMS LÄN</t>
        </is>
      </c>
      <c r="E3356" t="inlineStr">
        <is>
          <t>UPPLANDS-BRO</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14352-2024</t>
        </is>
      </c>
      <c r="B3357" s="1" t="n">
        <v>45393</v>
      </c>
      <c r="C3357" s="1" t="n">
        <v>45672</v>
      </c>
      <c r="D3357" t="inlineStr">
        <is>
          <t>STOCKHOLMS LÄN</t>
        </is>
      </c>
      <c r="E3357" t="inlineStr">
        <is>
          <t>UPPLANDS-BRO</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14349-2024</t>
        </is>
      </c>
      <c r="B3358" s="1" t="n">
        <v>45393</v>
      </c>
      <c r="C3358" s="1" t="n">
        <v>45672</v>
      </c>
      <c r="D3358" t="inlineStr">
        <is>
          <t>STOCKHOLMS LÄN</t>
        </is>
      </c>
      <c r="E3358" t="inlineStr">
        <is>
          <t>UPPLANDS-BRO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14350-2024</t>
        </is>
      </c>
      <c r="B3359" s="1" t="n">
        <v>45393</v>
      </c>
      <c r="C3359" s="1" t="n">
        <v>45672</v>
      </c>
      <c r="D3359" t="inlineStr">
        <is>
          <t>STOCKHOLMS LÄN</t>
        </is>
      </c>
      <c r="E3359" t="inlineStr">
        <is>
          <t>UPPLANDS-BRO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14351-2024</t>
        </is>
      </c>
      <c r="B3360" s="1" t="n">
        <v>45393</v>
      </c>
      <c r="C3360" s="1" t="n">
        <v>45672</v>
      </c>
      <c r="D3360" t="inlineStr">
        <is>
          <t>STOCKHOLMS LÄN</t>
        </is>
      </c>
      <c r="E3360" t="inlineStr">
        <is>
          <t>UPPLANDS-BRO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14485-2024</t>
        </is>
      </c>
      <c r="B3361" s="1" t="n">
        <v>45394</v>
      </c>
      <c r="C3361" s="1" t="n">
        <v>45672</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14530-2024</t>
        </is>
      </c>
      <c r="B3362" s="1" t="n">
        <v>45394</v>
      </c>
      <c r="C3362" s="1" t="n">
        <v>45672</v>
      </c>
      <c r="D3362" t="inlineStr">
        <is>
          <t>STOCKHOLMS LÄN</t>
        </is>
      </c>
      <c r="E3362" t="inlineStr">
        <is>
          <t>NORRTÄLJE</t>
        </is>
      </c>
      <c r="F3362" t="inlineStr">
        <is>
          <t>Kyrkan</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14498-2024</t>
        </is>
      </c>
      <c r="B3363" s="1" t="n">
        <v>45394</v>
      </c>
      <c r="C3363" s="1" t="n">
        <v>45672</v>
      </c>
      <c r="D3363" t="inlineStr">
        <is>
          <t>STOCKHOLMS LÄN</t>
        </is>
      </c>
      <c r="E3363" t="inlineStr">
        <is>
          <t>NORRTÄLJE</t>
        </is>
      </c>
      <c r="F3363" t="inlineStr">
        <is>
          <t>Kyrkan</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14490-2024</t>
        </is>
      </c>
      <c r="B3364" s="1" t="n">
        <v>45394</v>
      </c>
      <c r="C3364" s="1" t="n">
        <v>45672</v>
      </c>
      <c r="D3364" t="inlineStr">
        <is>
          <t>STOCKHOLMS LÄN</t>
        </is>
      </c>
      <c r="E3364" t="inlineStr">
        <is>
          <t>NYNÄSHAMN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14474-2024</t>
        </is>
      </c>
      <c r="B3365" s="1" t="n">
        <v>45394</v>
      </c>
      <c r="C3365" s="1" t="n">
        <v>45672</v>
      </c>
      <c r="D3365" t="inlineStr">
        <is>
          <t>STOCKHOLMS LÄN</t>
        </is>
      </c>
      <c r="E3365" t="inlineStr">
        <is>
          <t>VALLENTUNA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14480-2024</t>
        </is>
      </c>
      <c r="B3366" s="1" t="n">
        <v>45394</v>
      </c>
      <c r="C3366" s="1" t="n">
        <v>45672</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14559-2024</t>
        </is>
      </c>
      <c r="B3367" s="1" t="n">
        <v>45394</v>
      </c>
      <c r="C3367" s="1" t="n">
        <v>45672</v>
      </c>
      <c r="D3367" t="inlineStr">
        <is>
          <t>STOCKHOLMS LÄN</t>
        </is>
      </c>
      <c r="E3367" t="inlineStr">
        <is>
          <t>NORRTÄLJE</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14501-2024</t>
        </is>
      </c>
      <c r="B3368" s="1" t="n">
        <v>45394</v>
      </c>
      <c r="C3368" s="1" t="n">
        <v>45672</v>
      </c>
      <c r="D3368" t="inlineStr">
        <is>
          <t>STOCKHOLMS LÄN</t>
        </is>
      </c>
      <c r="E3368" t="inlineStr">
        <is>
          <t>VALLENTUNA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14489-2024</t>
        </is>
      </c>
      <c r="B3369" s="1" t="n">
        <v>45394</v>
      </c>
      <c r="C3369" s="1" t="n">
        <v>45672</v>
      </c>
      <c r="D3369" t="inlineStr">
        <is>
          <t>STOCKHOLMS LÄN</t>
        </is>
      </c>
      <c r="E3369" t="inlineStr">
        <is>
          <t>VALLENTUNA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14640-2024</t>
        </is>
      </c>
      <c r="B3370" s="1" t="n">
        <v>45396</v>
      </c>
      <c r="C3370" s="1" t="n">
        <v>45672</v>
      </c>
      <c r="D3370" t="inlineStr">
        <is>
          <t>STOCKHOLMS LÄN</t>
        </is>
      </c>
      <c r="E3370" t="inlineStr">
        <is>
          <t>VALLENTUNA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14751-2024</t>
        </is>
      </c>
      <c r="B3371" s="1" t="n">
        <v>45397</v>
      </c>
      <c r="C3371" s="1" t="n">
        <v>45672</v>
      </c>
      <c r="D3371" t="inlineStr">
        <is>
          <t>STOCKHOLMS LÄN</t>
        </is>
      </c>
      <c r="E3371" t="inlineStr">
        <is>
          <t>NORRTÄLJE</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14767-2024</t>
        </is>
      </c>
      <c r="B3372" s="1" t="n">
        <v>45397</v>
      </c>
      <c r="C3372" s="1" t="n">
        <v>45672</v>
      </c>
      <c r="D3372" t="inlineStr">
        <is>
          <t>STOCKHOLMS LÄN</t>
        </is>
      </c>
      <c r="E3372" t="inlineStr">
        <is>
          <t>VALLENTUNA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14775-2024</t>
        </is>
      </c>
      <c r="B3373" s="1" t="n">
        <v>45397</v>
      </c>
      <c r="C3373" s="1" t="n">
        <v>45672</v>
      </c>
      <c r="D3373" t="inlineStr">
        <is>
          <t>STOCKHOLMS LÄN</t>
        </is>
      </c>
      <c r="E3373" t="inlineStr">
        <is>
          <t>VALLENTUNA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14783-2024</t>
        </is>
      </c>
      <c r="B3374" s="1" t="n">
        <v>45397</v>
      </c>
      <c r="C3374" s="1" t="n">
        <v>45672</v>
      </c>
      <c r="D3374" t="inlineStr">
        <is>
          <t>STOCKHOLMS LÄN</t>
        </is>
      </c>
      <c r="E3374" t="inlineStr">
        <is>
          <t>VALLENTUNA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14762-2024</t>
        </is>
      </c>
      <c r="B3375" s="1" t="n">
        <v>45397</v>
      </c>
      <c r="C3375" s="1" t="n">
        <v>45672</v>
      </c>
      <c r="D3375" t="inlineStr">
        <is>
          <t>STOCKHOLMS LÄN</t>
        </is>
      </c>
      <c r="E3375" t="inlineStr">
        <is>
          <t>NORRTÄLJE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14766-2024</t>
        </is>
      </c>
      <c r="B3376" s="1" t="n">
        <v>45397</v>
      </c>
      <c r="C3376" s="1" t="n">
        <v>45672</v>
      </c>
      <c r="D3376" t="inlineStr">
        <is>
          <t>STOCKHOLMS LÄN</t>
        </is>
      </c>
      <c r="E3376" t="inlineStr">
        <is>
          <t>VALLENTUNA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14778-2024</t>
        </is>
      </c>
      <c r="B3377" s="1" t="n">
        <v>45397</v>
      </c>
      <c r="C3377" s="1" t="n">
        <v>45672</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14782-2024</t>
        </is>
      </c>
      <c r="B3378" s="1" t="n">
        <v>45397</v>
      </c>
      <c r="C3378" s="1" t="n">
        <v>45672</v>
      </c>
      <c r="D3378" t="inlineStr">
        <is>
          <t>STOCKHOLMS LÄN</t>
        </is>
      </c>
      <c r="E3378" t="inlineStr">
        <is>
          <t>VALLENTUNA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14764-2024</t>
        </is>
      </c>
      <c r="B3379" s="1" t="n">
        <v>45397</v>
      </c>
      <c r="C3379" s="1" t="n">
        <v>45672</v>
      </c>
      <c r="D3379" t="inlineStr">
        <is>
          <t>STOCKHOLMS LÄN</t>
        </is>
      </c>
      <c r="E3379" t="inlineStr">
        <is>
          <t>VALLENTUNA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14776-2024</t>
        </is>
      </c>
      <c r="B3380" s="1" t="n">
        <v>45397</v>
      </c>
      <c r="C3380" s="1" t="n">
        <v>45672</v>
      </c>
      <c r="D3380" t="inlineStr">
        <is>
          <t>STOCKHOLMS LÄN</t>
        </is>
      </c>
      <c r="E3380" t="inlineStr">
        <is>
          <t>ÖSTERÅKER</t>
        </is>
      </c>
      <c r="G3380" t="n">
        <v>13.6</v>
      </c>
      <c r="H3380" t="n">
        <v>0</v>
      </c>
      <c r="I3380" t="n">
        <v>0</v>
      </c>
      <c r="J3380" t="n">
        <v>0</v>
      </c>
      <c r="K3380" t="n">
        <v>0</v>
      </c>
      <c r="L3380" t="n">
        <v>0</v>
      </c>
      <c r="M3380" t="n">
        <v>0</v>
      </c>
      <c r="N3380" t="n">
        <v>0</v>
      </c>
      <c r="O3380" t="n">
        <v>0</v>
      </c>
      <c r="P3380" t="n">
        <v>0</v>
      </c>
      <c r="Q3380" t="n">
        <v>0</v>
      </c>
      <c r="R3380" s="2" t="inlineStr"/>
    </row>
    <row r="3381" ht="15" customHeight="1">
      <c r="A3381" t="inlineStr">
        <is>
          <t>A 14765-2024</t>
        </is>
      </c>
      <c r="B3381" s="1" t="n">
        <v>45397</v>
      </c>
      <c r="C3381" s="1" t="n">
        <v>45672</v>
      </c>
      <c r="D3381" t="inlineStr">
        <is>
          <t>STOCKHOLMS LÄN</t>
        </is>
      </c>
      <c r="E3381" t="inlineStr">
        <is>
          <t>VALLENTUNA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14769-2024</t>
        </is>
      </c>
      <c r="B3382" s="1" t="n">
        <v>45397</v>
      </c>
      <c r="C3382" s="1" t="n">
        <v>45672</v>
      </c>
      <c r="D3382" t="inlineStr">
        <is>
          <t>STOCKHOLMS LÄN</t>
        </is>
      </c>
      <c r="E3382" t="inlineStr">
        <is>
          <t>VALLENTUNA</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14773-2024</t>
        </is>
      </c>
      <c r="B3383" s="1" t="n">
        <v>45397</v>
      </c>
      <c r="C3383" s="1" t="n">
        <v>45672</v>
      </c>
      <c r="D3383" t="inlineStr">
        <is>
          <t>STOCKHOLMS LÄN</t>
        </is>
      </c>
      <c r="E3383" t="inlineStr">
        <is>
          <t>VALLENTUNA</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14785-2024</t>
        </is>
      </c>
      <c r="B3384" s="1" t="n">
        <v>45397</v>
      </c>
      <c r="C3384" s="1" t="n">
        <v>45672</v>
      </c>
      <c r="D3384" t="inlineStr">
        <is>
          <t>STOCKHOLMS LÄN</t>
        </is>
      </c>
      <c r="E3384" t="inlineStr">
        <is>
          <t>VALLENTUNA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14853-2024</t>
        </is>
      </c>
      <c r="B3385" s="1" t="n">
        <v>45398</v>
      </c>
      <c r="C3385" s="1" t="n">
        <v>45672</v>
      </c>
      <c r="D3385" t="inlineStr">
        <is>
          <t>STOCKHOLMS LÄN</t>
        </is>
      </c>
      <c r="E3385" t="inlineStr">
        <is>
          <t>NYKVARN</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15176-2024</t>
        </is>
      </c>
      <c r="B3386" s="1" t="n">
        <v>45400</v>
      </c>
      <c r="C3386" s="1" t="n">
        <v>45672</v>
      </c>
      <c r="D3386" t="inlineStr">
        <is>
          <t>STOCKHOLMS LÄN</t>
        </is>
      </c>
      <c r="E3386" t="inlineStr">
        <is>
          <t>NYNÄSHAMN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15347-2024</t>
        </is>
      </c>
      <c r="B3387" s="1" t="n">
        <v>45400</v>
      </c>
      <c r="C3387" s="1" t="n">
        <v>45672</v>
      </c>
      <c r="D3387" t="inlineStr">
        <is>
          <t>STOCKHOLMS LÄN</t>
        </is>
      </c>
      <c r="E3387" t="inlineStr">
        <is>
          <t>NORRTÄLJE</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15317-2024</t>
        </is>
      </c>
      <c r="B3388" s="1" t="n">
        <v>45400</v>
      </c>
      <c r="C3388" s="1" t="n">
        <v>45672</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15429-2024</t>
        </is>
      </c>
      <c r="B3389" s="1" t="n">
        <v>45401</v>
      </c>
      <c r="C3389" s="1" t="n">
        <v>45672</v>
      </c>
      <c r="D3389" t="inlineStr">
        <is>
          <t>STOCKHOLMS LÄN</t>
        </is>
      </c>
      <c r="E3389" t="inlineStr">
        <is>
          <t>NORRTÄLJE</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15422-2024</t>
        </is>
      </c>
      <c r="B3390" s="1" t="n">
        <v>45401</v>
      </c>
      <c r="C3390" s="1" t="n">
        <v>45672</v>
      </c>
      <c r="D3390" t="inlineStr">
        <is>
          <t>STOCKHOLMS LÄN</t>
        </is>
      </c>
      <c r="E3390" t="inlineStr">
        <is>
          <t>NORRTÄLJE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15470-2024</t>
        </is>
      </c>
      <c r="B3391" s="1" t="n">
        <v>45401</v>
      </c>
      <c r="C3391" s="1" t="n">
        <v>45672</v>
      </c>
      <c r="D3391" t="inlineStr">
        <is>
          <t>STOCKHOLMS LÄN</t>
        </is>
      </c>
      <c r="E3391" t="inlineStr">
        <is>
          <t>NORRTÄLJE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15428-2024</t>
        </is>
      </c>
      <c r="B3392" s="1" t="n">
        <v>45401</v>
      </c>
      <c r="C3392" s="1" t="n">
        <v>45672</v>
      </c>
      <c r="D3392" t="inlineStr">
        <is>
          <t>STOCKHOLMS LÄN</t>
        </is>
      </c>
      <c r="E3392" t="inlineStr">
        <is>
          <t>NORRTÄLJE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15415-2024</t>
        </is>
      </c>
      <c r="B3393" s="1" t="n">
        <v>45401</v>
      </c>
      <c r="C3393" s="1" t="n">
        <v>45672</v>
      </c>
      <c r="D3393" t="inlineStr">
        <is>
          <t>STOCKHOLMS LÄN</t>
        </is>
      </c>
      <c r="E3393" t="inlineStr">
        <is>
          <t>NORRTÄLJE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15996-2024</t>
        </is>
      </c>
      <c r="B3394" s="1" t="n">
        <v>45405</v>
      </c>
      <c r="C3394" s="1" t="n">
        <v>45672</v>
      </c>
      <c r="D3394" t="inlineStr">
        <is>
          <t>STOCKHOLMS LÄN</t>
        </is>
      </c>
      <c r="E3394" t="inlineStr">
        <is>
          <t>NYNÄSHAMN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15956-2024</t>
        </is>
      </c>
      <c r="B3395" s="1" t="n">
        <v>45405</v>
      </c>
      <c r="C3395" s="1" t="n">
        <v>45672</v>
      </c>
      <c r="D3395" t="inlineStr">
        <is>
          <t>STOCKHOLMS LÄN</t>
        </is>
      </c>
      <c r="E3395" t="inlineStr">
        <is>
          <t>NORRTÄLJE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15978-2024</t>
        </is>
      </c>
      <c r="B3396" s="1" t="n">
        <v>45405</v>
      </c>
      <c r="C3396" s="1" t="n">
        <v>45672</v>
      </c>
      <c r="D3396" t="inlineStr">
        <is>
          <t>STOCKHOLMS LÄN</t>
        </is>
      </c>
      <c r="E3396" t="inlineStr">
        <is>
          <t>NORRTÄLJE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16072-2024</t>
        </is>
      </c>
      <c r="B3397" s="1" t="n">
        <v>45406</v>
      </c>
      <c r="C3397" s="1" t="n">
        <v>45672</v>
      </c>
      <c r="D3397" t="inlineStr">
        <is>
          <t>STOCKHOLMS LÄN</t>
        </is>
      </c>
      <c r="E3397" t="inlineStr">
        <is>
          <t>NORRTÄLJE</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16071-2024</t>
        </is>
      </c>
      <c r="B3398" s="1" t="n">
        <v>45406</v>
      </c>
      <c r="C3398" s="1" t="n">
        <v>45672</v>
      </c>
      <c r="D3398" t="inlineStr">
        <is>
          <t>STOCKHOLMS LÄN</t>
        </is>
      </c>
      <c r="E3398" t="inlineStr">
        <is>
          <t>NORRTÄLJE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16075-2024</t>
        </is>
      </c>
      <c r="B3399" s="1" t="n">
        <v>45406</v>
      </c>
      <c r="C3399" s="1" t="n">
        <v>45672</v>
      </c>
      <c r="D3399" t="inlineStr">
        <is>
          <t>STOCKHOLMS LÄN</t>
        </is>
      </c>
      <c r="E3399" t="inlineStr">
        <is>
          <t>NORRTÄLJE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16142-2024</t>
        </is>
      </c>
      <c r="B3400" s="1" t="n">
        <v>45406</v>
      </c>
      <c r="C3400" s="1" t="n">
        <v>45672</v>
      </c>
      <c r="D3400" t="inlineStr">
        <is>
          <t>STOCKHOLMS LÄN</t>
        </is>
      </c>
      <c r="E3400" t="inlineStr">
        <is>
          <t>BOTKYRKA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16145-2024</t>
        </is>
      </c>
      <c r="B3401" s="1" t="n">
        <v>45406</v>
      </c>
      <c r="C3401" s="1" t="n">
        <v>45672</v>
      </c>
      <c r="D3401" t="inlineStr">
        <is>
          <t>STOCKHOLMS LÄN</t>
        </is>
      </c>
      <c r="E3401" t="inlineStr">
        <is>
          <t>BOTKYRKA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16149-2024</t>
        </is>
      </c>
      <c r="B3402" s="1" t="n">
        <v>45406</v>
      </c>
      <c r="C3402" s="1" t="n">
        <v>45672</v>
      </c>
      <c r="D3402" t="inlineStr">
        <is>
          <t>STOCKHOLMS LÄN</t>
        </is>
      </c>
      <c r="E3402" t="inlineStr">
        <is>
          <t>BOTKYRKA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16187-2024</t>
        </is>
      </c>
      <c r="B3403" s="1" t="n">
        <v>45406</v>
      </c>
      <c r="C3403" s="1" t="n">
        <v>45672</v>
      </c>
      <c r="D3403" t="inlineStr">
        <is>
          <t>STOCKHOLMS LÄN</t>
        </is>
      </c>
      <c r="E3403" t="inlineStr">
        <is>
          <t>NYNÄSHAMN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16620-2024</t>
        </is>
      </c>
      <c r="B3404" s="1" t="n">
        <v>45408</v>
      </c>
      <c r="C3404" s="1" t="n">
        <v>45672</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16615-2024</t>
        </is>
      </c>
      <c r="B3405" s="1" t="n">
        <v>45408</v>
      </c>
      <c r="C3405" s="1" t="n">
        <v>45672</v>
      </c>
      <c r="D3405" t="inlineStr">
        <is>
          <t>STOCKHOLMS LÄN</t>
        </is>
      </c>
      <c r="E3405" t="inlineStr">
        <is>
          <t>SÖDERTÄLJE</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16852-2024</t>
        </is>
      </c>
      <c r="B3406" s="1" t="n">
        <v>45411</v>
      </c>
      <c r="C3406" s="1" t="n">
        <v>45672</v>
      </c>
      <c r="D3406" t="inlineStr">
        <is>
          <t>STOCKHOLMS LÄN</t>
        </is>
      </c>
      <c r="E3406" t="inlineStr">
        <is>
          <t>NORRTÄLJE</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16996-2024</t>
        </is>
      </c>
      <c r="B3407" s="1" t="n">
        <v>45412</v>
      </c>
      <c r="C3407" s="1" t="n">
        <v>45672</v>
      </c>
      <c r="D3407" t="inlineStr">
        <is>
          <t>STOCKHOLMS LÄN</t>
        </is>
      </c>
      <c r="E3407" t="inlineStr">
        <is>
          <t>SÖDERTÄLJE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17106-2024</t>
        </is>
      </c>
      <c r="B3408" s="1" t="n">
        <v>45412</v>
      </c>
      <c r="C3408" s="1" t="n">
        <v>45672</v>
      </c>
      <c r="D3408" t="inlineStr">
        <is>
          <t>STOCKHOLMS LÄN</t>
        </is>
      </c>
      <c r="E3408" t="inlineStr">
        <is>
          <t>VALLENTUNA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17013-2024</t>
        </is>
      </c>
      <c r="B3409" s="1" t="n">
        <v>45412</v>
      </c>
      <c r="C3409" s="1" t="n">
        <v>45672</v>
      </c>
      <c r="D3409" t="inlineStr">
        <is>
          <t>STOCKHOLMS LÄN</t>
        </is>
      </c>
      <c r="E3409" t="inlineStr">
        <is>
          <t>NORRTÄLJE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17039-2024</t>
        </is>
      </c>
      <c r="B3410" s="1" t="n">
        <v>45412</v>
      </c>
      <c r="C3410" s="1" t="n">
        <v>45672</v>
      </c>
      <c r="D3410" t="inlineStr">
        <is>
          <t>STOCKHOLMS LÄN</t>
        </is>
      </c>
      <c r="E3410" t="inlineStr">
        <is>
          <t>NORRTÄLJE</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17348-2024</t>
        </is>
      </c>
      <c r="B3411" s="1" t="n">
        <v>45414</v>
      </c>
      <c r="C3411" s="1" t="n">
        <v>45672</v>
      </c>
      <c r="D3411" t="inlineStr">
        <is>
          <t>STOCKHOLMS LÄN</t>
        </is>
      </c>
      <c r="E3411" t="inlineStr">
        <is>
          <t>NORRTÄLJE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17304-2024</t>
        </is>
      </c>
      <c r="B3412" s="1" t="n">
        <v>45414</v>
      </c>
      <c r="C3412" s="1" t="n">
        <v>45672</v>
      </c>
      <c r="D3412" t="inlineStr">
        <is>
          <t>STOCKHOLMS LÄN</t>
        </is>
      </c>
      <c r="E3412" t="inlineStr">
        <is>
          <t>NORRTÄLJE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17354-2024</t>
        </is>
      </c>
      <c r="B3413" s="1" t="n">
        <v>45414</v>
      </c>
      <c r="C3413" s="1" t="n">
        <v>45672</v>
      </c>
      <c r="D3413" t="inlineStr">
        <is>
          <t>STOCKHOLMS LÄN</t>
        </is>
      </c>
      <c r="E3413" t="inlineStr">
        <is>
          <t>NORRTÄLJE</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17385-2024</t>
        </is>
      </c>
      <c r="B3414" s="1" t="n">
        <v>45414</v>
      </c>
      <c r="C3414" s="1" t="n">
        <v>45672</v>
      </c>
      <c r="D3414" t="inlineStr">
        <is>
          <t>STOCKHOLMS LÄN</t>
        </is>
      </c>
      <c r="E3414" t="inlineStr">
        <is>
          <t>NORRTÄLJE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17382-2024</t>
        </is>
      </c>
      <c r="B3415" s="1" t="n">
        <v>45414</v>
      </c>
      <c r="C3415" s="1" t="n">
        <v>45672</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17397-2024</t>
        </is>
      </c>
      <c r="B3416" s="1" t="n">
        <v>45414</v>
      </c>
      <c r="C3416" s="1" t="n">
        <v>45672</v>
      </c>
      <c r="D3416" t="inlineStr">
        <is>
          <t>STOCKHOLMS LÄN</t>
        </is>
      </c>
      <c r="E3416" t="inlineStr">
        <is>
          <t>NORRTÄLJE</t>
        </is>
      </c>
      <c r="F3416" t="inlineStr">
        <is>
          <t>Holmen skog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17467-2024</t>
        </is>
      </c>
      <c r="B3417" s="1" t="n">
        <v>45415</v>
      </c>
      <c r="C3417" s="1" t="n">
        <v>45672</v>
      </c>
      <c r="D3417" t="inlineStr">
        <is>
          <t>STOCKHOLMS LÄN</t>
        </is>
      </c>
      <c r="E3417" t="inlineStr">
        <is>
          <t>HUDDINGE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17554-2024</t>
        </is>
      </c>
      <c r="B3418" s="1" t="n">
        <v>45415</v>
      </c>
      <c r="C3418" s="1" t="n">
        <v>45672</v>
      </c>
      <c r="D3418" t="inlineStr">
        <is>
          <t>STOCKHOLMS LÄN</t>
        </is>
      </c>
      <c r="E3418" t="inlineStr">
        <is>
          <t>NORRTÄLJE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17624-2024</t>
        </is>
      </c>
      <c r="B3419" s="1" t="n">
        <v>45417</v>
      </c>
      <c r="C3419" s="1" t="n">
        <v>45672</v>
      </c>
      <c r="D3419" t="inlineStr">
        <is>
          <t>STOCKHOLMS LÄN</t>
        </is>
      </c>
      <c r="E3419" t="inlineStr">
        <is>
          <t>VÄRMDÖ</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17623-2024</t>
        </is>
      </c>
      <c r="B3420" s="1" t="n">
        <v>45417</v>
      </c>
      <c r="C3420" s="1" t="n">
        <v>45672</v>
      </c>
      <c r="D3420" t="inlineStr">
        <is>
          <t>STOCKHOLMS LÄN</t>
        </is>
      </c>
      <c r="E3420" t="inlineStr">
        <is>
          <t>VÄRMDÖ</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17775-2024</t>
        </is>
      </c>
      <c r="B3421" s="1" t="n">
        <v>45418</v>
      </c>
      <c r="C3421" s="1" t="n">
        <v>45672</v>
      </c>
      <c r="D3421" t="inlineStr">
        <is>
          <t>STOCKHOLMS LÄN</t>
        </is>
      </c>
      <c r="E3421" t="inlineStr">
        <is>
          <t>NORRTÄLJE</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17765-2024</t>
        </is>
      </c>
      <c r="B3422" s="1" t="n">
        <v>45418</v>
      </c>
      <c r="C3422" s="1" t="n">
        <v>45672</v>
      </c>
      <c r="D3422" t="inlineStr">
        <is>
          <t>STOCKHOLMS LÄN</t>
        </is>
      </c>
      <c r="E3422" t="inlineStr">
        <is>
          <t>HANINGE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17785-2024</t>
        </is>
      </c>
      <c r="B3423" s="1" t="n">
        <v>45418</v>
      </c>
      <c r="C3423" s="1" t="n">
        <v>45672</v>
      </c>
      <c r="D3423" t="inlineStr">
        <is>
          <t>STOCKHOLMS LÄN</t>
        </is>
      </c>
      <c r="E3423" t="inlineStr">
        <is>
          <t>NORRTÄLJE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17843-2024</t>
        </is>
      </c>
      <c r="B3424" s="1" t="n">
        <v>45418</v>
      </c>
      <c r="C3424" s="1" t="n">
        <v>45672</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17979-2024</t>
        </is>
      </c>
      <c r="B3425" s="1" t="n">
        <v>45419</v>
      </c>
      <c r="C3425" s="1" t="n">
        <v>45672</v>
      </c>
      <c r="D3425" t="inlineStr">
        <is>
          <t>STOCKHOLMS LÄN</t>
        </is>
      </c>
      <c r="E3425" t="inlineStr">
        <is>
          <t>SÖDERTÄLJE</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17987-2024</t>
        </is>
      </c>
      <c r="B3426" s="1" t="n">
        <v>45419</v>
      </c>
      <c r="C3426" s="1" t="n">
        <v>45672</v>
      </c>
      <c r="D3426" t="inlineStr">
        <is>
          <t>STOCKHOLMS LÄN</t>
        </is>
      </c>
      <c r="E3426" t="inlineStr">
        <is>
          <t>NYNÄSHAMN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17991-2024</t>
        </is>
      </c>
      <c r="B3427" s="1" t="n">
        <v>45419</v>
      </c>
      <c r="C3427" s="1" t="n">
        <v>45672</v>
      </c>
      <c r="D3427" t="inlineStr">
        <is>
          <t>STOCKHOLMS LÄN</t>
        </is>
      </c>
      <c r="E3427" t="inlineStr">
        <is>
          <t>NYNÄSHAMN</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17877-2024</t>
        </is>
      </c>
      <c r="B3428" s="1" t="n">
        <v>45419</v>
      </c>
      <c r="C3428" s="1" t="n">
        <v>45672</v>
      </c>
      <c r="D3428" t="inlineStr">
        <is>
          <t>STOCKHOLMS LÄN</t>
        </is>
      </c>
      <c r="E3428" t="inlineStr">
        <is>
          <t>SÖDERTÄLJE</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17986-2024</t>
        </is>
      </c>
      <c r="B3429" s="1" t="n">
        <v>45419</v>
      </c>
      <c r="C3429" s="1" t="n">
        <v>45672</v>
      </c>
      <c r="D3429" t="inlineStr">
        <is>
          <t>STOCKHOLMS LÄN</t>
        </is>
      </c>
      <c r="E3429" t="inlineStr">
        <is>
          <t>NYNÄSHAMN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17990-2024</t>
        </is>
      </c>
      <c r="B3430" s="1" t="n">
        <v>45419</v>
      </c>
      <c r="C3430" s="1" t="n">
        <v>45672</v>
      </c>
      <c r="D3430" t="inlineStr">
        <is>
          <t>STOCKHOLMS LÄN</t>
        </is>
      </c>
      <c r="E3430" t="inlineStr">
        <is>
          <t>NYNÄSHAMN</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17988-2024</t>
        </is>
      </c>
      <c r="B3431" s="1" t="n">
        <v>45419</v>
      </c>
      <c r="C3431" s="1" t="n">
        <v>45672</v>
      </c>
      <c r="D3431" t="inlineStr">
        <is>
          <t>STOCKHOLMS LÄN</t>
        </is>
      </c>
      <c r="E3431" t="inlineStr">
        <is>
          <t>NYNÄSHAMN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17989-2024</t>
        </is>
      </c>
      <c r="B3432" s="1" t="n">
        <v>45419</v>
      </c>
      <c r="C3432" s="1" t="n">
        <v>45672</v>
      </c>
      <c r="D3432" t="inlineStr">
        <is>
          <t>STOCKHOLMS LÄN</t>
        </is>
      </c>
      <c r="E3432" t="inlineStr">
        <is>
          <t>NYNÄSHAMN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18113-2024</t>
        </is>
      </c>
      <c r="B3433" s="1" t="n">
        <v>45420</v>
      </c>
      <c r="C3433" s="1" t="n">
        <v>45672</v>
      </c>
      <c r="D3433" t="inlineStr">
        <is>
          <t>STOCKHOLMS LÄN</t>
        </is>
      </c>
      <c r="E3433" t="inlineStr">
        <is>
          <t>ÖSTERÅKER</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18331-2024</t>
        </is>
      </c>
      <c r="B3434" s="1" t="n">
        <v>45422</v>
      </c>
      <c r="C3434" s="1" t="n">
        <v>45672</v>
      </c>
      <c r="D3434" t="inlineStr">
        <is>
          <t>STOCKHOLMS LÄN</t>
        </is>
      </c>
      <c r="E3434" t="inlineStr">
        <is>
          <t>NORRTÄLJE</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18285-2024</t>
        </is>
      </c>
      <c r="B3435" s="1" t="n">
        <v>45422</v>
      </c>
      <c r="C3435" s="1" t="n">
        <v>45672</v>
      </c>
      <c r="D3435" t="inlineStr">
        <is>
          <t>STOCKHOLMS LÄN</t>
        </is>
      </c>
      <c r="E3435" t="inlineStr">
        <is>
          <t>NORRTÄLJE</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18352-2024</t>
        </is>
      </c>
      <c r="B3436" s="1" t="n">
        <v>45422</v>
      </c>
      <c r="C3436" s="1" t="n">
        <v>45672</v>
      </c>
      <c r="D3436" t="inlineStr">
        <is>
          <t>STOCKHOLMS LÄN</t>
        </is>
      </c>
      <c r="E3436" t="inlineStr">
        <is>
          <t>SÖDERTÄLJE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18287-2024</t>
        </is>
      </c>
      <c r="B3437" s="1" t="n">
        <v>45422</v>
      </c>
      <c r="C3437" s="1" t="n">
        <v>45672</v>
      </c>
      <c r="D3437" t="inlineStr">
        <is>
          <t>STOCKHOLMS LÄN</t>
        </is>
      </c>
      <c r="E3437" t="inlineStr">
        <is>
          <t>NORRTÄLJE</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18507-2024</t>
        </is>
      </c>
      <c r="B3438" s="1" t="n">
        <v>45425</v>
      </c>
      <c r="C3438" s="1" t="n">
        <v>45672</v>
      </c>
      <c r="D3438" t="inlineStr">
        <is>
          <t>STOCKHOLMS LÄN</t>
        </is>
      </c>
      <c r="E3438" t="inlineStr">
        <is>
          <t>HANINGE</t>
        </is>
      </c>
      <c r="F3438" t="inlineStr">
        <is>
          <t>Kommuner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18512-2024</t>
        </is>
      </c>
      <c r="B3439" s="1" t="n">
        <v>45425</v>
      </c>
      <c r="C3439" s="1" t="n">
        <v>45672</v>
      </c>
      <c r="D3439" t="inlineStr">
        <is>
          <t>STOCKHOLMS LÄN</t>
        </is>
      </c>
      <c r="E3439" t="inlineStr">
        <is>
          <t>HANINGE</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18442-2024</t>
        </is>
      </c>
      <c r="B3440" s="1" t="n">
        <v>45425</v>
      </c>
      <c r="C3440" s="1" t="n">
        <v>45672</v>
      </c>
      <c r="D3440" t="inlineStr">
        <is>
          <t>STOCKHOLMS LÄN</t>
        </is>
      </c>
      <c r="E3440" t="inlineStr">
        <is>
          <t>NYKVARN</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18528-2024</t>
        </is>
      </c>
      <c r="B3441" s="1" t="n">
        <v>45425</v>
      </c>
      <c r="C3441" s="1" t="n">
        <v>45672</v>
      </c>
      <c r="D3441" t="inlineStr">
        <is>
          <t>STOCKHOLMS LÄN</t>
        </is>
      </c>
      <c r="E3441" t="inlineStr">
        <is>
          <t>HANINGE</t>
        </is>
      </c>
      <c r="F3441" t="inlineStr">
        <is>
          <t>Kommuner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18548-2024</t>
        </is>
      </c>
      <c r="B3442" s="1" t="n">
        <v>45425</v>
      </c>
      <c r="C3442" s="1" t="n">
        <v>45672</v>
      </c>
      <c r="D3442" t="inlineStr">
        <is>
          <t>STOCKHOLMS LÄN</t>
        </is>
      </c>
      <c r="E3442" t="inlineStr">
        <is>
          <t>HANINGE</t>
        </is>
      </c>
      <c r="F3442" t="inlineStr">
        <is>
          <t>Kommuner</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18824-2024</t>
        </is>
      </c>
      <c r="B3443" s="1" t="n">
        <v>45426</v>
      </c>
      <c r="C3443" s="1" t="n">
        <v>45672</v>
      </c>
      <c r="D3443" t="inlineStr">
        <is>
          <t>STOCKHOLMS LÄN</t>
        </is>
      </c>
      <c r="E3443" t="inlineStr">
        <is>
          <t>NYKVARN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18827-2024</t>
        </is>
      </c>
      <c r="B3444" s="1" t="n">
        <v>45426</v>
      </c>
      <c r="C3444" s="1" t="n">
        <v>45672</v>
      </c>
      <c r="D3444" t="inlineStr">
        <is>
          <t>STOCKHOLMS LÄN</t>
        </is>
      </c>
      <c r="E3444" t="inlineStr">
        <is>
          <t>NYKVARN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18848-2024</t>
        </is>
      </c>
      <c r="B3445" s="1" t="n">
        <v>45426</v>
      </c>
      <c r="C3445" s="1" t="n">
        <v>45672</v>
      </c>
      <c r="D3445" t="inlineStr">
        <is>
          <t>STOCKHOLMS LÄN</t>
        </is>
      </c>
      <c r="E3445" t="inlineStr">
        <is>
          <t>NYKVARN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18846-2024</t>
        </is>
      </c>
      <c r="B3446" s="1" t="n">
        <v>45426</v>
      </c>
      <c r="C3446" s="1" t="n">
        <v>45672</v>
      </c>
      <c r="D3446" t="inlineStr">
        <is>
          <t>STOCKHOLMS LÄN</t>
        </is>
      </c>
      <c r="E3446" t="inlineStr">
        <is>
          <t>NYKVARN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18993-2024</t>
        </is>
      </c>
      <c r="B3447" s="1" t="n">
        <v>45427</v>
      </c>
      <c r="C3447" s="1" t="n">
        <v>45672</v>
      </c>
      <c r="D3447" t="inlineStr">
        <is>
          <t>STOCKHOLMS LÄN</t>
        </is>
      </c>
      <c r="E3447" t="inlineStr">
        <is>
          <t>SÖDERTÄLJE</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19058-2024</t>
        </is>
      </c>
      <c r="B3448" s="1" t="n">
        <v>45427</v>
      </c>
      <c r="C3448" s="1" t="n">
        <v>45672</v>
      </c>
      <c r="D3448" t="inlineStr">
        <is>
          <t>STOCKHOLMS LÄN</t>
        </is>
      </c>
      <c r="E3448" t="inlineStr">
        <is>
          <t>NORRTÄLJE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19031-2024</t>
        </is>
      </c>
      <c r="B3449" s="1" t="n">
        <v>45427</v>
      </c>
      <c r="C3449" s="1" t="n">
        <v>45672</v>
      </c>
      <c r="D3449" t="inlineStr">
        <is>
          <t>STOCKHOLMS LÄN</t>
        </is>
      </c>
      <c r="E3449" t="inlineStr">
        <is>
          <t>SIGTUNA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19057-2024</t>
        </is>
      </c>
      <c r="B3450" s="1" t="n">
        <v>45427</v>
      </c>
      <c r="C3450" s="1" t="n">
        <v>45672</v>
      </c>
      <c r="D3450" t="inlineStr">
        <is>
          <t>STOCKHOLMS LÄN</t>
        </is>
      </c>
      <c r="E3450" t="inlineStr">
        <is>
          <t>NORRTÄLJE</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19150-2024</t>
        </is>
      </c>
      <c r="B3451" s="1" t="n">
        <v>45428</v>
      </c>
      <c r="C3451" s="1" t="n">
        <v>45672</v>
      </c>
      <c r="D3451" t="inlineStr">
        <is>
          <t>STOCKHOLMS LÄN</t>
        </is>
      </c>
      <c r="E3451" t="inlineStr">
        <is>
          <t>NORRTÄLJE</t>
        </is>
      </c>
      <c r="F3451" t="inlineStr">
        <is>
          <t>Holmen skog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19210-2024</t>
        </is>
      </c>
      <c r="B3452" s="1" t="n">
        <v>45428</v>
      </c>
      <c r="C3452" s="1" t="n">
        <v>45672</v>
      </c>
      <c r="D3452" t="inlineStr">
        <is>
          <t>STOCKHOLMS LÄN</t>
        </is>
      </c>
      <c r="E3452" t="inlineStr">
        <is>
          <t>SÖDERTÄLJE</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19319-2024</t>
        </is>
      </c>
      <c r="B3453" s="1" t="n">
        <v>45428</v>
      </c>
      <c r="C3453" s="1" t="n">
        <v>45672</v>
      </c>
      <c r="D3453" t="inlineStr">
        <is>
          <t>STOCKHOLMS LÄN</t>
        </is>
      </c>
      <c r="E3453" t="inlineStr">
        <is>
          <t>BOTKYRKA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19318-2024</t>
        </is>
      </c>
      <c r="B3454" s="1" t="n">
        <v>45428</v>
      </c>
      <c r="C3454" s="1" t="n">
        <v>45672</v>
      </c>
      <c r="D3454" t="inlineStr">
        <is>
          <t>STOCKHOLMS LÄN</t>
        </is>
      </c>
      <c r="E3454" t="inlineStr">
        <is>
          <t>BOTKYRKA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19404-2024</t>
        </is>
      </c>
      <c r="B3455" s="1" t="n">
        <v>45428</v>
      </c>
      <c r="C3455" s="1" t="n">
        <v>45672</v>
      </c>
      <c r="D3455" t="inlineStr">
        <is>
          <t>STOCKHOLMS LÄN</t>
        </is>
      </c>
      <c r="E3455" t="inlineStr">
        <is>
          <t>ÖSTERÅKER</t>
        </is>
      </c>
      <c r="F3455" t="inlineStr">
        <is>
          <t>Övriga Aktiebolag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19915-2024</t>
        </is>
      </c>
      <c r="B3456" s="1" t="n">
        <v>45433</v>
      </c>
      <c r="C3456" s="1" t="n">
        <v>45672</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19919-2024</t>
        </is>
      </c>
      <c r="B3457" s="1" t="n">
        <v>45433</v>
      </c>
      <c r="C3457" s="1" t="n">
        <v>45672</v>
      </c>
      <c r="D3457" t="inlineStr">
        <is>
          <t>STOCKHOLMS LÄN</t>
        </is>
      </c>
      <c r="E3457" t="inlineStr">
        <is>
          <t>NORRTÄLJE</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20014-2024</t>
        </is>
      </c>
      <c r="B3458" s="1" t="n">
        <v>45433</v>
      </c>
      <c r="C3458" s="1" t="n">
        <v>45672</v>
      </c>
      <c r="D3458" t="inlineStr">
        <is>
          <t>STOCKHOLMS LÄN</t>
        </is>
      </c>
      <c r="E3458" t="inlineStr">
        <is>
          <t>VALLENTUNA</t>
        </is>
      </c>
      <c r="F3458" t="inlineStr">
        <is>
          <t>Övriga Aktiebolag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20013-2024</t>
        </is>
      </c>
      <c r="B3459" s="1" t="n">
        <v>45433</v>
      </c>
      <c r="C3459" s="1" t="n">
        <v>45672</v>
      </c>
      <c r="D3459" t="inlineStr">
        <is>
          <t>STOCKHOLMS LÄN</t>
        </is>
      </c>
      <c r="E3459" t="inlineStr">
        <is>
          <t>VALLENTUNA</t>
        </is>
      </c>
      <c r="F3459" t="inlineStr">
        <is>
          <t>Övriga Aktiebolag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20215-2024</t>
        </is>
      </c>
      <c r="B3460" s="1" t="n">
        <v>45434</v>
      </c>
      <c r="C3460" s="1" t="n">
        <v>45672</v>
      </c>
      <c r="D3460" t="inlineStr">
        <is>
          <t>STOCKHOLMS LÄN</t>
        </is>
      </c>
      <c r="E3460" t="inlineStr">
        <is>
          <t>SIGTUNA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20336-2024</t>
        </is>
      </c>
      <c r="B3461" s="1" t="n">
        <v>45435</v>
      </c>
      <c r="C3461" s="1" t="n">
        <v>45672</v>
      </c>
      <c r="D3461" t="inlineStr">
        <is>
          <t>STOCKHOLMS LÄN</t>
        </is>
      </c>
      <c r="E3461" t="inlineStr">
        <is>
          <t>NORRTÄLJE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20345-2024</t>
        </is>
      </c>
      <c r="B3462" s="1" t="n">
        <v>45435</v>
      </c>
      <c r="C3462" s="1" t="n">
        <v>45672</v>
      </c>
      <c r="D3462" t="inlineStr">
        <is>
          <t>STOCKHOLMS LÄN</t>
        </is>
      </c>
      <c r="E3462" t="inlineStr">
        <is>
          <t>NORRTÄLJE</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20343-2024</t>
        </is>
      </c>
      <c r="B3463" s="1" t="n">
        <v>45435</v>
      </c>
      <c r="C3463" s="1" t="n">
        <v>45672</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20393-2024</t>
        </is>
      </c>
      <c r="B3464" s="1" t="n">
        <v>45435</v>
      </c>
      <c r="C3464" s="1" t="n">
        <v>45672</v>
      </c>
      <c r="D3464" t="inlineStr">
        <is>
          <t>STOCKHOLMS LÄN</t>
        </is>
      </c>
      <c r="E3464" t="inlineStr">
        <is>
          <t>NORRTÄLJE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20445-2024</t>
        </is>
      </c>
      <c r="B3465" s="1" t="n">
        <v>45435</v>
      </c>
      <c r="C3465" s="1" t="n">
        <v>45672</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20428-2024</t>
        </is>
      </c>
      <c r="B3466" s="1" t="n">
        <v>45435</v>
      </c>
      <c r="C3466" s="1" t="n">
        <v>45672</v>
      </c>
      <c r="D3466" t="inlineStr">
        <is>
          <t>STOCKHOLMS LÄN</t>
        </is>
      </c>
      <c r="E3466" t="inlineStr">
        <is>
          <t>NORRTÄLJE</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20460-2024</t>
        </is>
      </c>
      <c r="B3467" s="1" t="n">
        <v>45435</v>
      </c>
      <c r="C3467" s="1" t="n">
        <v>45672</v>
      </c>
      <c r="D3467" t="inlineStr">
        <is>
          <t>STOCKHOLMS LÄN</t>
        </is>
      </c>
      <c r="E3467" t="inlineStr">
        <is>
          <t>NORRTÄLJE</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20464-2024</t>
        </is>
      </c>
      <c r="B3468" s="1" t="n">
        <v>45435</v>
      </c>
      <c r="C3468" s="1" t="n">
        <v>45672</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20431-2024</t>
        </is>
      </c>
      <c r="B3469" s="1" t="n">
        <v>45435</v>
      </c>
      <c r="C3469" s="1" t="n">
        <v>45672</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20530-2024</t>
        </is>
      </c>
      <c r="B3470" s="1" t="n">
        <v>45435</v>
      </c>
      <c r="C3470" s="1" t="n">
        <v>45672</v>
      </c>
      <c r="D3470" t="inlineStr">
        <is>
          <t>STOCKHOLMS LÄN</t>
        </is>
      </c>
      <c r="E3470" t="inlineStr">
        <is>
          <t>SÖDERTÄLJE</t>
        </is>
      </c>
      <c r="F3470" t="inlineStr">
        <is>
          <t>Övriga Aktiebolag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20680-2024</t>
        </is>
      </c>
      <c r="B3471" s="1" t="n">
        <v>45436</v>
      </c>
      <c r="C3471" s="1" t="n">
        <v>45672</v>
      </c>
      <c r="D3471" t="inlineStr">
        <is>
          <t>STOCKHOLMS LÄN</t>
        </is>
      </c>
      <c r="E3471" t="inlineStr">
        <is>
          <t>NORRTÄLJE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20698-2024</t>
        </is>
      </c>
      <c r="B3472" s="1" t="n">
        <v>45436</v>
      </c>
      <c r="C3472" s="1" t="n">
        <v>45672</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20730-2024</t>
        </is>
      </c>
      <c r="B3473" s="1" t="n">
        <v>45436</v>
      </c>
      <c r="C3473" s="1" t="n">
        <v>45672</v>
      </c>
      <c r="D3473" t="inlineStr">
        <is>
          <t>STOCKHOLMS LÄN</t>
        </is>
      </c>
      <c r="E3473" t="inlineStr">
        <is>
          <t>NORRTÄLJE</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20839-2024</t>
        </is>
      </c>
      <c r="B3474" s="1" t="n">
        <v>45439</v>
      </c>
      <c r="C3474" s="1" t="n">
        <v>45672</v>
      </c>
      <c r="D3474" t="inlineStr">
        <is>
          <t>STOCKHOLMS LÄN</t>
        </is>
      </c>
      <c r="E3474" t="inlineStr">
        <is>
          <t>HANINGE</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20825-2024</t>
        </is>
      </c>
      <c r="B3475" s="1" t="n">
        <v>45439</v>
      </c>
      <c r="C3475" s="1" t="n">
        <v>45672</v>
      </c>
      <c r="D3475" t="inlineStr">
        <is>
          <t>STOCKHOLMS LÄN</t>
        </is>
      </c>
      <c r="E3475" t="inlineStr">
        <is>
          <t>NORRTÄLJE</t>
        </is>
      </c>
      <c r="F3475" t="inlineStr">
        <is>
          <t>Holmen skog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20836-2024</t>
        </is>
      </c>
      <c r="B3476" s="1" t="n">
        <v>45439</v>
      </c>
      <c r="C3476" s="1" t="n">
        <v>45672</v>
      </c>
      <c r="D3476" t="inlineStr">
        <is>
          <t>STOCKHOLMS LÄN</t>
        </is>
      </c>
      <c r="E3476" t="inlineStr">
        <is>
          <t>NORRTÄLJE</t>
        </is>
      </c>
      <c r="F3476" t="inlineStr">
        <is>
          <t>Holmen skog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21066-2024</t>
        </is>
      </c>
      <c r="B3477" s="1" t="n">
        <v>45439</v>
      </c>
      <c r="C3477" s="1" t="n">
        <v>45672</v>
      </c>
      <c r="D3477" t="inlineStr">
        <is>
          <t>STOCKHOLMS LÄN</t>
        </is>
      </c>
      <c r="E3477" t="inlineStr">
        <is>
          <t>NORRTÄLJE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20837-2024</t>
        </is>
      </c>
      <c r="B3478" s="1" t="n">
        <v>45439</v>
      </c>
      <c r="C3478" s="1" t="n">
        <v>45672</v>
      </c>
      <c r="D3478" t="inlineStr">
        <is>
          <t>STOCKHOLMS LÄN</t>
        </is>
      </c>
      <c r="E3478" t="inlineStr">
        <is>
          <t>HANINGE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20832-2024</t>
        </is>
      </c>
      <c r="B3479" s="1" t="n">
        <v>45439</v>
      </c>
      <c r="C3479" s="1" t="n">
        <v>45672</v>
      </c>
      <c r="D3479" t="inlineStr">
        <is>
          <t>STOCKHOLMS LÄN</t>
        </is>
      </c>
      <c r="E3479" t="inlineStr">
        <is>
          <t>HANINGE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21128-2024</t>
        </is>
      </c>
      <c r="B3480" s="1" t="n">
        <v>45440</v>
      </c>
      <c r="C3480" s="1" t="n">
        <v>45672</v>
      </c>
      <c r="D3480" t="inlineStr">
        <is>
          <t>STOCKHOLMS LÄN</t>
        </is>
      </c>
      <c r="E3480" t="inlineStr">
        <is>
          <t>NYKVARN</t>
        </is>
      </c>
      <c r="F3480" t="inlineStr">
        <is>
          <t>Kyrkan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21729-2024</t>
        </is>
      </c>
      <c r="B3481" s="1" t="n">
        <v>45442</v>
      </c>
      <c r="C3481" s="1" t="n">
        <v>45672</v>
      </c>
      <c r="D3481" t="inlineStr">
        <is>
          <t>STOCKHOLMS LÄN</t>
        </is>
      </c>
      <c r="E3481" t="inlineStr">
        <is>
          <t>NORRTÄLJE</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21733-2024</t>
        </is>
      </c>
      <c r="B3482" s="1" t="n">
        <v>45442</v>
      </c>
      <c r="C3482" s="1" t="n">
        <v>45672</v>
      </c>
      <c r="D3482" t="inlineStr">
        <is>
          <t>STOCKHOLMS LÄN</t>
        </is>
      </c>
      <c r="E3482" t="inlineStr">
        <is>
          <t>VALLENTUNA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21696-2024</t>
        </is>
      </c>
      <c r="B3483" s="1" t="n">
        <v>45442</v>
      </c>
      <c r="C3483" s="1" t="n">
        <v>45672</v>
      </c>
      <c r="D3483" t="inlineStr">
        <is>
          <t>STOCKHOLMS LÄN</t>
        </is>
      </c>
      <c r="E3483" t="inlineStr">
        <is>
          <t>NORRTÄLJE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22008-2024</t>
        </is>
      </c>
      <c r="B3484" s="1" t="n">
        <v>45443</v>
      </c>
      <c r="C3484" s="1" t="n">
        <v>45672</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22080-2024</t>
        </is>
      </c>
      <c r="B3485" s="1" t="n">
        <v>45443</v>
      </c>
      <c r="C3485" s="1" t="n">
        <v>45672</v>
      </c>
      <c r="D3485" t="inlineStr">
        <is>
          <t>STOCKHOLMS LÄN</t>
        </is>
      </c>
      <c r="E3485" t="inlineStr">
        <is>
          <t>ÖSTERÅKER</t>
        </is>
      </c>
      <c r="F3485" t="inlineStr">
        <is>
          <t>Övriga Aktiebolag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22162-2024</t>
        </is>
      </c>
      <c r="B3486" s="1" t="n">
        <v>45443</v>
      </c>
      <c r="C3486" s="1" t="n">
        <v>45672</v>
      </c>
      <c r="D3486" t="inlineStr">
        <is>
          <t>STOCKHOLMS LÄN</t>
        </is>
      </c>
      <c r="E3486" t="inlineStr">
        <is>
          <t>ÖSTERÅKER</t>
        </is>
      </c>
      <c r="F3486" t="inlineStr">
        <is>
          <t>Övriga Aktiebolag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22232-2024</t>
        </is>
      </c>
      <c r="B3487" s="1" t="n">
        <v>45446</v>
      </c>
      <c r="C3487" s="1" t="n">
        <v>45672</v>
      </c>
      <c r="D3487" t="inlineStr">
        <is>
          <t>STOCKHOLMS LÄN</t>
        </is>
      </c>
      <c r="E3487" t="inlineStr">
        <is>
          <t>NORRTÄLJE</t>
        </is>
      </c>
      <c r="G3487" t="n">
        <v>12.8</v>
      </c>
      <c r="H3487" t="n">
        <v>0</v>
      </c>
      <c r="I3487" t="n">
        <v>0</v>
      </c>
      <c r="J3487" t="n">
        <v>0</v>
      </c>
      <c r="K3487" t="n">
        <v>0</v>
      </c>
      <c r="L3487" t="n">
        <v>0</v>
      </c>
      <c r="M3487" t="n">
        <v>0</v>
      </c>
      <c r="N3487" t="n">
        <v>0</v>
      </c>
      <c r="O3487" t="n">
        <v>0</v>
      </c>
      <c r="P3487" t="n">
        <v>0</v>
      </c>
      <c r="Q3487" t="n">
        <v>0</v>
      </c>
      <c r="R3487" s="2" t="inlineStr"/>
    </row>
    <row r="3488" ht="15" customHeight="1">
      <c r="A3488" t="inlineStr">
        <is>
          <t>A 22190-2024</t>
        </is>
      </c>
      <c r="B3488" s="1" t="n">
        <v>45446</v>
      </c>
      <c r="C3488" s="1" t="n">
        <v>45672</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22231-2024</t>
        </is>
      </c>
      <c r="B3489" s="1" t="n">
        <v>45446</v>
      </c>
      <c r="C3489" s="1" t="n">
        <v>45672</v>
      </c>
      <c r="D3489" t="inlineStr">
        <is>
          <t>STOCKHOLMS LÄN</t>
        </is>
      </c>
      <c r="E3489" t="inlineStr">
        <is>
          <t>NORRTÄLJE</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22617-2024</t>
        </is>
      </c>
      <c r="B3490" s="1" t="n">
        <v>45447</v>
      </c>
      <c r="C3490" s="1" t="n">
        <v>45672</v>
      </c>
      <c r="D3490" t="inlineStr">
        <is>
          <t>STOCKHOLMS LÄN</t>
        </is>
      </c>
      <c r="E3490" t="inlineStr">
        <is>
          <t>SÖDERTÄLJE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22505-2024</t>
        </is>
      </c>
      <c r="B3491" s="1" t="n">
        <v>45447</v>
      </c>
      <c r="C3491" s="1" t="n">
        <v>45672</v>
      </c>
      <c r="D3491" t="inlineStr">
        <is>
          <t>STOCKHOLMS LÄN</t>
        </is>
      </c>
      <c r="E3491" t="inlineStr">
        <is>
          <t>ÖSTERÅKER</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22528-2024</t>
        </is>
      </c>
      <c r="B3492" s="1" t="n">
        <v>45447</v>
      </c>
      <c r="C3492" s="1" t="n">
        <v>45672</v>
      </c>
      <c r="D3492" t="inlineStr">
        <is>
          <t>STOCKHOLMS LÄN</t>
        </is>
      </c>
      <c r="E3492" t="inlineStr">
        <is>
          <t>ÖSTERÅKER</t>
        </is>
      </c>
      <c r="F3492" t="inlineStr">
        <is>
          <t>Övriga Aktiebolag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22833-2024</t>
        </is>
      </c>
      <c r="B3493" s="1" t="n">
        <v>45448</v>
      </c>
      <c r="C3493" s="1" t="n">
        <v>45672</v>
      </c>
      <c r="D3493" t="inlineStr">
        <is>
          <t>STOCKHOLMS LÄN</t>
        </is>
      </c>
      <c r="E3493" t="inlineStr">
        <is>
          <t>NORRTÄLJE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23093-2024</t>
        </is>
      </c>
      <c r="B3494" s="1" t="n">
        <v>45450</v>
      </c>
      <c r="C3494" s="1" t="n">
        <v>45672</v>
      </c>
      <c r="D3494" t="inlineStr">
        <is>
          <t>STOCKHOLMS LÄN</t>
        </is>
      </c>
      <c r="E3494" t="inlineStr">
        <is>
          <t>UPPLANDS-BRO</t>
        </is>
      </c>
      <c r="F3494" t="inlineStr">
        <is>
          <t>Övriga statliga verk och myndigheter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23009-2024</t>
        </is>
      </c>
      <c r="B3495" s="1" t="n">
        <v>45450</v>
      </c>
      <c r="C3495" s="1" t="n">
        <v>45672</v>
      </c>
      <c r="D3495" t="inlineStr">
        <is>
          <t>STOCKHOLMS LÄN</t>
        </is>
      </c>
      <c r="E3495" t="inlineStr">
        <is>
          <t>VALLENTUNA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23013-2024</t>
        </is>
      </c>
      <c r="B3496" s="1" t="n">
        <v>45450</v>
      </c>
      <c r="C3496" s="1" t="n">
        <v>45672</v>
      </c>
      <c r="D3496" t="inlineStr">
        <is>
          <t>STOCKHOLMS LÄN</t>
        </is>
      </c>
      <c r="E3496" t="inlineStr">
        <is>
          <t>VALLENTUNA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23018-2024</t>
        </is>
      </c>
      <c r="B3497" s="1" t="n">
        <v>45450</v>
      </c>
      <c r="C3497" s="1" t="n">
        <v>45672</v>
      </c>
      <c r="D3497" t="inlineStr">
        <is>
          <t>STOCKHOLMS LÄN</t>
        </is>
      </c>
      <c r="E3497" t="inlineStr">
        <is>
          <t>NORRTÄLJE</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23024-2024</t>
        </is>
      </c>
      <c r="B3498" s="1" t="n">
        <v>45450</v>
      </c>
      <c r="C3498" s="1" t="n">
        <v>45672</v>
      </c>
      <c r="D3498" t="inlineStr">
        <is>
          <t>STOCKHOLMS LÄN</t>
        </is>
      </c>
      <c r="E3498" t="inlineStr">
        <is>
          <t>VALLENTUNA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23149-2024</t>
        </is>
      </c>
      <c r="B3499" s="1" t="n">
        <v>45450</v>
      </c>
      <c r="C3499" s="1" t="n">
        <v>45672</v>
      </c>
      <c r="D3499" t="inlineStr">
        <is>
          <t>STOCKHOLMS LÄN</t>
        </is>
      </c>
      <c r="E3499" t="inlineStr">
        <is>
          <t>NORRTÄLJE</t>
        </is>
      </c>
      <c r="F3499" t="inlineStr">
        <is>
          <t>Kommuner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23023-2024</t>
        </is>
      </c>
      <c r="B3500" s="1" t="n">
        <v>45450</v>
      </c>
      <c r="C3500" s="1" t="n">
        <v>45672</v>
      </c>
      <c r="D3500" t="inlineStr">
        <is>
          <t>STOCKHOLMS LÄN</t>
        </is>
      </c>
      <c r="E3500" t="inlineStr">
        <is>
          <t>VALLENTUNA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23144-2024</t>
        </is>
      </c>
      <c r="B3501" s="1" t="n">
        <v>45450</v>
      </c>
      <c r="C3501" s="1" t="n">
        <v>45672</v>
      </c>
      <c r="D3501" t="inlineStr">
        <is>
          <t>STOCKHOLMS LÄN</t>
        </is>
      </c>
      <c r="E3501" t="inlineStr">
        <is>
          <t>ÖSTERÅKER</t>
        </is>
      </c>
      <c r="F3501" t="inlineStr">
        <is>
          <t>Övriga Aktiebolag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23150-2024</t>
        </is>
      </c>
      <c r="B3502" s="1" t="n">
        <v>45450</v>
      </c>
      <c r="C3502" s="1" t="n">
        <v>45672</v>
      </c>
      <c r="D3502" t="inlineStr">
        <is>
          <t>STOCKHOLMS LÄN</t>
        </is>
      </c>
      <c r="E3502" t="inlineStr">
        <is>
          <t>NORRTÄLJE</t>
        </is>
      </c>
      <c r="F3502" t="inlineStr">
        <is>
          <t>Kommuner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23098-2024</t>
        </is>
      </c>
      <c r="B3503" s="1" t="n">
        <v>45450</v>
      </c>
      <c r="C3503" s="1" t="n">
        <v>45672</v>
      </c>
      <c r="D3503" t="inlineStr">
        <is>
          <t>STOCKHOLMS LÄN</t>
        </is>
      </c>
      <c r="E3503" t="inlineStr">
        <is>
          <t>UPPLANDS-BRO</t>
        </is>
      </c>
      <c r="F3503" t="inlineStr">
        <is>
          <t>Övriga statliga verk och myndigheter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23151-2024</t>
        </is>
      </c>
      <c r="B3504" s="1" t="n">
        <v>45450</v>
      </c>
      <c r="C3504" s="1" t="n">
        <v>45672</v>
      </c>
      <c r="D3504" t="inlineStr">
        <is>
          <t>STOCKHOLMS LÄN</t>
        </is>
      </c>
      <c r="E3504" t="inlineStr">
        <is>
          <t>NORRTÄLJE</t>
        </is>
      </c>
      <c r="F3504" t="inlineStr">
        <is>
          <t>Kommuner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23307-2024</t>
        </is>
      </c>
      <c r="B3505" s="1" t="n">
        <v>45453</v>
      </c>
      <c r="C3505" s="1" t="n">
        <v>45672</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23367-2024</t>
        </is>
      </c>
      <c r="B3506" s="1" t="n">
        <v>45453</v>
      </c>
      <c r="C3506" s="1" t="n">
        <v>45672</v>
      </c>
      <c r="D3506" t="inlineStr">
        <is>
          <t>STOCKHOLMS LÄN</t>
        </is>
      </c>
      <c r="E3506" t="inlineStr">
        <is>
          <t>SÖDERTÄLJE</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23314-2024</t>
        </is>
      </c>
      <c r="B3507" s="1" t="n">
        <v>45453</v>
      </c>
      <c r="C3507" s="1" t="n">
        <v>45672</v>
      </c>
      <c r="D3507" t="inlineStr">
        <is>
          <t>STOCKHOLMS LÄN</t>
        </is>
      </c>
      <c r="E3507" t="inlineStr">
        <is>
          <t>VALLENTUNA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23650-2024</t>
        </is>
      </c>
      <c r="B3508" s="1" t="n">
        <v>45454</v>
      </c>
      <c r="C3508" s="1" t="n">
        <v>45672</v>
      </c>
      <c r="D3508" t="inlineStr">
        <is>
          <t>STOCKHOLMS LÄN</t>
        </is>
      </c>
      <c r="E3508" t="inlineStr">
        <is>
          <t>NYNÄSHAMN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23683-2024</t>
        </is>
      </c>
      <c r="B3509" s="1" t="n">
        <v>45454</v>
      </c>
      <c r="C3509" s="1" t="n">
        <v>45672</v>
      </c>
      <c r="D3509" t="inlineStr">
        <is>
          <t>STOCKHOLMS LÄN</t>
        </is>
      </c>
      <c r="E3509" t="inlineStr">
        <is>
          <t>NORRTÄLJE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23666-2024</t>
        </is>
      </c>
      <c r="B3510" s="1" t="n">
        <v>45454</v>
      </c>
      <c r="C3510" s="1" t="n">
        <v>45672</v>
      </c>
      <c r="D3510" t="inlineStr">
        <is>
          <t>STOCKHOLMS LÄN</t>
        </is>
      </c>
      <c r="E3510" t="inlineStr">
        <is>
          <t>HANINGE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23670-2024</t>
        </is>
      </c>
      <c r="B3511" s="1" t="n">
        <v>45454</v>
      </c>
      <c r="C3511" s="1" t="n">
        <v>45672</v>
      </c>
      <c r="D3511" t="inlineStr">
        <is>
          <t>STOCKHOLMS LÄN</t>
        </is>
      </c>
      <c r="E3511" t="inlineStr">
        <is>
          <t>BOTKYRKA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23692-2024</t>
        </is>
      </c>
      <c r="B3512" s="1" t="n">
        <v>45454</v>
      </c>
      <c r="C3512" s="1" t="n">
        <v>45672</v>
      </c>
      <c r="D3512" t="inlineStr">
        <is>
          <t>STOCKHOLMS LÄN</t>
        </is>
      </c>
      <c r="E3512" t="inlineStr">
        <is>
          <t>NORRTÄLJE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23572-2024</t>
        </is>
      </c>
      <c r="B3513" s="1" t="n">
        <v>45454</v>
      </c>
      <c r="C3513" s="1" t="n">
        <v>45672</v>
      </c>
      <c r="D3513" t="inlineStr">
        <is>
          <t>STOCKHOLMS LÄN</t>
        </is>
      </c>
      <c r="E3513" t="inlineStr">
        <is>
          <t>NORRTÄLJE</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23749-2024</t>
        </is>
      </c>
      <c r="B3514" s="1" t="n">
        <v>45455</v>
      </c>
      <c r="C3514" s="1" t="n">
        <v>45672</v>
      </c>
      <c r="D3514" t="inlineStr">
        <is>
          <t>STOCKHOLMS LÄN</t>
        </is>
      </c>
      <c r="E3514" t="inlineStr">
        <is>
          <t>NORRTÄLJE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23755-2024</t>
        </is>
      </c>
      <c r="B3515" s="1" t="n">
        <v>45455</v>
      </c>
      <c r="C3515" s="1" t="n">
        <v>45672</v>
      </c>
      <c r="D3515" t="inlineStr">
        <is>
          <t>STOCKHOLMS LÄN</t>
        </is>
      </c>
      <c r="E3515" t="inlineStr">
        <is>
          <t>NORRTÄLJE</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23998-2024</t>
        </is>
      </c>
      <c r="B3516" s="1" t="n">
        <v>45456</v>
      </c>
      <c r="C3516" s="1" t="n">
        <v>45672</v>
      </c>
      <c r="D3516" t="inlineStr">
        <is>
          <t>STOCKHOLMS LÄN</t>
        </is>
      </c>
      <c r="E3516" t="inlineStr">
        <is>
          <t>NORRTÄLJE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24027-2024</t>
        </is>
      </c>
      <c r="B3517" s="1" t="n">
        <v>45456</v>
      </c>
      <c r="C3517" s="1" t="n">
        <v>45672</v>
      </c>
      <c r="D3517" t="inlineStr">
        <is>
          <t>STOCKHOLMS LÄN</t>
        </is>
      </c>
      <c r="E3517" t="inlineStr">
        <is>
          <t>NORRTÄLJE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24068-2024</t>
        </is>
      </c>
      <c r="B3518" s="1" t="n">
        <v>45456</v>
      </c>
      <c r="C3518" s="1" t="n">
        <v>45672</v>
      </c>
      <c r="D3518" t="inlineStr">
        <is>
          <t>STOCKHOLMS LÄN</t>
        </is>
      </c>
      <c r="E3518" t="inlineStr">
        <is>
          <t>VALLENTUNA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24024-2024</t>
        </is>
      </c>
      <c r="B3519" s="1" t="n">
        <v>45456</v>
      </c>
      <c r="C3519" s="1" t="n">
        <v>45672</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23991-2024</t>
        </is>
      </c>
      <c r="B3520" s="1" t="n">
        <v>45456</v>
      </c>
      <c r="C3520" s="1" t="n">
        <v>45672</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24021-2024</t>
        </is>
      </c>
      <c r="B3521" s="1" t="n">
        <v>45456</v>
      </c>
      <c r="C3521" s="1" t="n">
        <v>45672</v>
      </c>
      <c r="D3521" t="inlineStr">
        <is>
          <t>STOCKHOLMS LÄN</t>
        </is>
      </c>
      <c r="E3521" t="inlineStr">
        <is>
          <t>NORRTÄLJE</t>
        </is>
      </c>
      <c r="G3521" t="n">
        <v>17.5</v>
      </c>
      <c r="H3521" t="n">
        <v>0</v>
      </c>
      <c r="I3521" t="n">
        <v>0</v>
      </c>
      <c r="J3521" t="n">
        <v>0</v>
      </c>
      <c r="K3521" t="n">
        <v>0</v>
      </c>
      <c r="L3521" t="n">
        <v>0</v>
      </c>
      <c r="M3521" t="n">
        <v>0</v>
      </c>
      <c r="N3521" t="n">
        <v>0</v>
      </c>
      <c r="O3521" t="n">
        <v>0</v>
      </c>
      <c r="P3521" t="n">
        <v>0</v>
      </c>
      <c r="Q3521" t="n">
        <v>0</v>
      </c>
      <c r="R3521" s="2" t="inlineStr"/>
    </row>
    <row r="3522" ht="15" customHeight="1">
      <c r="A3522" t="inlineStr">
        <is>
          <t>A 24022-2024</t>
        </is>
      </c>
      <c r="B3522" s="1" t="n">
        <v>45456</v>
      </c>
      <c r="C3522" s="1" t="n">
        <v>45672</v>
      </c>
      <c r="D3522" t="inlineStr">
        <is>
          <t>STOCKHOLMS LÄN</t>
        </is>
      </c>
      <c r="E3522" t="inlineStr">
        <is>
          <t>NORRTÄLJE</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24245-2024</t>
        </is>
      </c>
      <c r="B3523" s="1" t="n">
        <v>45457</v>
      </c>
      <c r="C3523" s="1" t="n">
        <v>45672</v>
      </c>
      <c r="D3523" t="inlineStr">
        <is>
          <t>STOCKHOLMS LÄN</t>
        </is>
      </c>
      <c r="E3523" t="inlineStr">
        <is>
          <t>NORRTÄLJE</t>
        </is>
      </c>
      <c r="F3523" t="inlineStr">
        <is>
          <t>Holmen skog AB</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24357-2024</t>
        </is>
      </c>
      <c r="B3524" s="1" t="n">
        <v>45457</v>
      </c>
      <c r="C3524" s="1" t="n">
        <v>45672</v>
      </c>
      <c r="D3524" t="inlineStr">
        <is>
          <t>STOCKHOLMS LÄN</t>
        </is>
      </c>
      <c r="E3524" t="inlineStr">
        <is>
          <t>NORRTÄLJE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24288-2024</t>
        </is>
      </c>
      <c r="B3525" s="1" t="n">
        <v>45457</v>
      </c>
      <c r="C3525" s="1" t="n">
        <v>45672</v>
      </c>
      <c r="D3525" t="inlineStr">
        <is>
          <t>STOCKHOLMS LÄN</t>
        </is>
      </c>
      <c r="E3525" t="inlineStr">
        <is>
          <t>NYNÄSHAMN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24731-2024</t>
        </is>
      </c>
      <c r="B3526" s="1" t="n">
        <v>45460</v>
      </c>
      <c r="C3526" s="1" t="n">
        <v>45672</v>
      </c>
      <c r="D3526" t="inlineStr">
        <is>
          <t>STOCKHOLMS LÄN</t>
        </is>
      </c>
      <c r="E3526" t="inlineStr">
        <is>
          <t>NORRTÄLJE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24575-2024</t>
        </is>
      </c>
      <c r="B3527" s="1" t="n">
        <v>45460</v>
      </c>
      <c r="C3527" s="1" t="n">
        <v>45672</v>
      </c>
      <c r="D3527" t="inlineStr">
        <is>
          <t>STOCKHOLMS LÄN</t>
        </is>
      </c>
      <c r="E3527" t="inlineStr">
        <is>
          <t>NORRTÄLJE</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24563-2024</t>
        </is>
      </c>
      <c r="B3528" s="1" t="n">
        <v>45460</v>
      </c>
      <c r="C3528" s="1" t="n">
        <v>45672</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24610-2024</t>
        </is>
      </c>
      <c r="B3529" s="1" t="n">
        <v>45460</v>
      </c>
      <c r="C3529" s="1" t="n">
        <v>45672</v>
      </c>
      <c r="D3529" t="inlineStr">
        <is>
          <t>STOCKHOLMS LÄN</t>
        </is>
      </c>
      <c r="E3529" t="inlineStr">
        <is>
          <t>NORRTÄLJE</t>
        </is>
      </c>
      <c r="G3529" t="n">
        <v>18.4</v>
      </c>
      <c r="H3529" t="n">
        <v>0</v>
      </c>
      <c r="I3529" t="n">
        <v>0</v>
      </c>
      <c r="J3529" t="n">
        <v>0</v>
      </c>
      <c r="K3529" t="n">
        <v>0</v>
      </c>
      <c r="L3529" t="n">
        <v>0</v>
      </c>
      <c r="M3529" t="n">
        <v>0</v>
      </c>
      <c r="N3529" t="n">
        <v>0</v>
      </c>
      <c r="O3529" t="n">
        <v>0</v>
      </c>
      <c r="P3529" t="n">
        <v>0</v>
      </c>
      <c r="Q3529" t="n">
        <v>0</v>
      </c>
      <c r="R3529" s="2" t="inlineStr"/>
    </row>
    <row r="3530" ht="15" customHeight="1">
      <c r="A3530" t="inlineStr">
        <is>
          <t>A 24730-2024</t>
        </is>
      </c>
      <c r="B3530" s="1" t="n">
        <v>45460</v>
      </c>
      <c r="C3530" s="1" t="n">
        <v>45672</v>
      </c>
      <c r="D3530" t="inlineStr">
        <is>
          <t>STOCKHOLMS LÄN</t>
        </is>
      </c>
      <c r="E3530" t="inlineStr">
        <is>
          <t>NORRTÄLJE</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24967-2024</t>
        </is>
      </c>
      <c r="B3531" s="1" t="n">
        <v>45461</v>
      </c>
      <c r="C3531" s="1" t="n">
        <v>45672</v>
      </c>
      <c r="D3531" t="inlineStr">
        <is>
          <t>STOCKHOLMS LÄN</t>
        </is>
      </c>
      <c r="E3531" t="inlineStr">
        <is>
          <t>SIGTUNA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24943-2024</t>
        </is>
      </c>
      <c r="B3532" s="1" t="n">
        <v>45461</v>
      </c>
      <c r="C3532" s="1" t="n">
        <v>45672</v>
      </c>
      <c r="D3532" t="inlineStr">
        <is>
          <t>STOCKHOLMS LÄN</t>
        </is>
      </c>
      <c r="E3532" t="inlineStr">
        <is>
          <t>VALLENTUNA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24931-2024</t>
        </is>
      </c>
      <c r="B3533" s="1" t="n">
        <v>45461</v>
      </c>
      <c r="C3533" s="1" t="n">
        <v>45672</v>
      </c>
      <c r="D3533" t="inlineStr">
        <is>
          <t>STOCKHOLMS LÄN</t>
        </is>
      </c>
      <c r="E3533" t="inlineStr">
        <is>
          <t>ÖSTERÅKER</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24946-2024</t>
        </is>
      </c>
      <c r="B3534" s="1" t="n">
        <v>45461</v>
      </c>
      <c r="C3534" s="1" t="n">
        <v>45672</v>
      </c>
      <c r="D3534" t="inlineStr">
        <is>
          <t>STOCKHOLMS LÄN</t>
        </is>
      </c>
      <c r="E3534" t="inlineStr">
        <is>
          <t>SIGTUNA</t>
        </is>
      </c>
      <c r="G3534" t="n">
        <v>12.5</v>
      </c>
      <c r="H3534" t="n">
        <v>0</v>
      </c>
      <c r="I3534" t="n">
        <v>0</v>
      </c>
      <c r="J3534" t="n">
        <v>0</v>
      </c>
      <c r="K3534" t="n">
        <v>0</v>
      </c>
      <c r="L3534" t="n">
        <v>0</v>
      </c>
      <c r="M3534" t="n">
        <v>0</v>
      </c>
      <c r="N3534" t="n">
        <v>0</v>
      </c>
      <c r="O3534" t="n">
        <v>0</v>
      </c>
      <c r="P3534" t="n">
        <v>0</v>
      </c>
      <c r="Q3534" t="n">
        <v>0</v>
      </c>
      <c r="R3534" s="2" t="inlineStr"/>
    </row>
    <row r="3535" ht="15" customHeight="1">
      <c r="A3535" t="inlineStr">
        <is>
          <t>A 24937-2024</t>
        </is>
      </c>
      <c r="B3535" s="1" t="n">
        <v>45461</v>
      </c>
      <c r="C3535" s="1" t="n">
        <v>45672</v>
      </c>
      <c r="D3535" t="inlineStr">
        <is>
          <t>STOCKHOLMS LÄN</t>
        </is>
      </c>
      <c r="E3535" t="inlineStr">
        <is>
          <t>ÖSTERÅKER</t>
        </is>
      </c>
      <c r="G3535" t="n">
        <v>9.800000000000001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24915-2024</t>
        </is>
      </c>
      <c r="B3536" s="1" t="n">
        <v>45461</v>
      </c>
      <c r="C3536" s="1" t="n">
        <v>45672</v>
      </c>
      <c r="D3536" t="inlineStr">
        <is>
          <t>STOCKHOLMS LÄN</t>
        </is>
      </c>
      <c r="E3536" t="inlineStr">
        <is>
          <t>ÖSTERÅKER</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24940-2024</t>
        </is>
      </c>
      <c r="B3537" s="1" t="n">
        <v>45461</v>
      </c>
      <c r="C3537" s="1" t="n">
        <v>45672</v>
      </c>
      <c r="D3537" t="inlineStr">
        <is>
          <t>STOCKHOLMS LÄN</t>
        </is>
      </c>
      <c r="E3537" t="inlineStr">
        <is>
          <t>VALLENTUNA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25217-2024</t>
        </is>
      </c>
      <c r="B3538" s="1" t="n">
        <v>45462</v>
      </c>
      <c r="C3538" s="1" t="n">
        <v>45672</v>
      </c>
      <c r="D3538" t="inlineStr">
        <is>
          <t>STOCKHOLMS LÄN</t>
        </is>
      </c>
      <c r="E3538" t="inlineStr">
        <is>
          <t>BOTKYRKA</t>
        </is>
      </c>
      <c r="F3538" t="inlineStr">
        <is>
          <t>Övriga Aktiebolag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25337-2024</t>
        </is>
      </c>
      <c r="B3539" s="1" t="n">
        <v>45462</v>
      </c>
      <c r="C3539" s="1" t="n">
        <v>45672</v>
      </c>
      <c r="D3539" t="inlineStr">
        <is>
          <t>STOCKHOLMS LÄN</t>
        </is>
      </c>
      <c r="E3539" t="inlineStr">
        <is>
          <t>SIGTUNA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25301-2024</t>
        </is>
      </c>
      <c r="B3540" s="1" t="n">
        <v>45462</v>
      </c>
      <c r="C3540" s="1" t="n">
        <v>45672</v>
      </c>
      <c r="D3540" t="inlineStr">
        <is>
          <t>STOCKHOLMS LÄN</t>
        </is>
      </c>
      <c r="E3540" t="inlineStr">
        <is>
          <t>NORRTÄLJE</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25333-2024</t>
        </is>
      </c>
      <c r="B3541" s="1" t="n">
        <v>45462</v>
      </c>
      <c r="C3541" s="1" t="n">
        <v>45672</v>
      </c>
      <c r="D3541" t="inlineStr">
        <is>
          <t>STOCKHOLMS LÄN</t>
        </is>
      </c>
      <c r="E3541" t="inlineStr">
        <is>
          <t>SIGTUNA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25156-2024</t>
        </is>
      </c>
      <c r="B3542" s="1" t="n">
        <v>45462</v>
      </c>
      <c r="C3542" s="1" t="n">
        <v>45672</v>
      </c>
      <c r="D3542" t="inlineStr">
        <is>
          <t>STOCKHOLMS LÄN</t>
        </is>
      </c>
      <c r="E3542" t="inlineStr">
        <is>
          <t>BOTKYRKA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25055-2024</t>
        </is>
      </c>
      <c r="B3543" s="1" t="n">
        <v>45462</v>
      </c>
      <c r="C3543" s="1" t="n">
        <v>45672</v>
      </c>
      <c r="D3543" t="inlineStr">
        <is>
          <t>STOCKHOLMS LÄN</t>
        </is>
      </c>
      <c r="E3543" t="inlineStr">
        <is>
          <t>NORRTÄLJE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25336-2024</t>
        </is>
      </c>
      <c r="B3544" s="1" t="n">
        <v>45462</v>
      </c>
      <c r="C3544" s="1" t="n">
        <v>45672</v>
      </c>
      <c r="D3544" t="inlineStr">
        <is>
          <t>STOCKHOLMS LÄN</t>
        </is>
      </c>
      <c r="E3544" t="inlineStr">
        <is>
          <t>SIGTUNA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25658-2024</t>
        </is>
      </c>
      <c r="B3545" s="1" t="n">
        <v>45463</v>
      </c>
      <c r="C3545" s="1" t="n">
        <v>45672</v>
      </c>
      <c r="D3545" t="inlineStr">
        <is>
          <t>STOCKHOLMS LÄN</t>
        </is>
      </c>
      <c r="E3545" t="inlineStr">
        <is>
          <t>UPPLANDS-BRO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25641-2024</t>
        </is>
      </c>
      <c r="B3546" s="1" t="n">
        <v>45463</v>
      </c>
      <c r="C3546" s="1" t="n">
        <v>45672</v>
      </c>
      <c r="D3546" t="inlineStr">
        <is>
          <t>STOCKHOLMS LÄN</t>
        </is>
      </c>
      <c r="E3546" t="inlineStr">
        <is>
          <t>SIGTUNA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25565-2024</t>
        </is>
      </c>
      <c r="B3547" s="1" t="n">
        <v>45463</v>
      </c>
      <c r="C3547" s="1" t="n">
        <v>45672</v>
      </c>
      <c r="D3547" t="inlineStr">
        <is>
          <t>STOCKHOLMS LÄN</t>
        </is>
      </c>
      <c r="E3547" t="inlineStr">
        <is>
          <t>NORRTÄLJE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25681-2024</t>
        </is>
      </c>
      <c r="B3548" s="1" t="n">
        <v>45463</v>
      </c>
      <c r="C3548" s="1" t="n">
        <v>45672</v>
      </c>
      <c r="D3548" t="inlineStr">
        <is>
          <t>STOCKHOLMS LÄN</t>
        </is>
      </c>
      <c r="E3548" t="inlineStr">
        <is>
          <t>NORRTÄLJE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25817-2024</t>
        </is>
      </c>
      <c r="B3549" s="1" t="n">
        <v>45467</v>
      </c>
      <c r="C3549" s="1" t="n">
        <v>45672</v>
      </c>
      <c r="D3549" t="inlineStr">
        <is>
          <t>STOCKHOLMS LÄN</t>
        </is>
      </c>
      <c r="E3549" t="inlineStr">
        <is>
          <t>NORRTÄLJE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26116-2024</t>
        </is>
      </c>
      <c r="B3550" s="1" t="n">
        <v>45468</v>
      </c>
      <c r="C3550" s="1" t="n">
        <v>45672</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26115-2024</t>
        </is>
      </c>
      <c r="B3551" s="1" t="n">
        <v>45468</v>
      </c>
      <c r="C3551" s="1" t="n">
        <v>45672</v>
      </c>
      <c r="D3551" t="inlineStr">
        <is>
          <t>STOCKHOLMS LÄN</t>
        </is>
      </c>
      <c r="E3551" t="inlineStr">
        <is>
          <t>NORRTÄLJE</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26067-2024</t>
        </is>
      </c>
      <c r="B3552" s="1" t="n">
        <v>45468</v>
      </c>
      <c r="C3552" s="1" t="n">
        <v>45672</v>
      </c>
      <c r="D3552" t="inlineStr">
        <is>
          <t>STOCKHOLMS LÄN</t>
        </is>
      </c>
      <c r="E3552" t="inlineStr">
        <is>
          <t>NORRTÄLJE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26117-2024</t>
        </is>
      </c>
      <c r="B3553" s="1" t="n">
        <v>45468</v>
      </c>
      <c r="C3553" s="1" t="n">
        <v>45672</v>
      </c>
      <c r="D3553" t="inlineStr">
        <is>
          <t>STOCKHOLMS LÄN</t>
        </is>
      </c>
      <c r="E3553" t="inlineStr">
        <is>
          <t>NORRTÄLJE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26113-2024</t>
        </is>
      </c>
      <c r="B3554" s="1" t="n">
        <v>45468</v>
      </c>
      <c r="C3554" s="1" t="n">
        <v>45672</v>
      </c>
      <c r="D3554" t="inlineStr">
        <is>
          <t>STOCKHOLMS LÄN</t>
        </is>
      </c>
      <c r="E3554" t="inlineStr">
        <is>
          <t>NORRTÄLJE</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26090-2024</t>
        </is>
      </c>
      <c r="B3555" s="1" t="n">
        <v>45468</v>
      </c>
      <c r="C3555" s="1" t="n">
        <v>45672</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26495-2024</t>
        </is>
      </c>
      <c r="B3556" s="1" t="n">
        <v>45469</v>
      </c>
      <c r="C3556" s="1" t="n">
        <v>45672</v>
      </c>
      <c r="D3556" t="inlineStr">
        <is>
          <t>STOCKHOLMS LÄN</t>
        </is>
      </c>
      <c r="E3556" t="inlineStr">
        <is>
          <t>NYNÄSHAMN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26505-2024</t>
        </is>
      </c>
      <c r="B3557" s="1" t="n">
        <v>45469</v>
      </c>
      <c r="C3557" s="1" t="n">
        <v>45672</v>
      </c>
      <c r="D3557" t="inlineStr">
        <is>
          <t>STOCKHOLMS LÄN</t>
        </is>
      </c>
      <c r="E3557" t="inlineStr">
        <is>
          <t>NYNÄSHAMN</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26341-2024</t>
        </is>
      </c>
      <c r="B3558" s="1" t="n">
        <v>45469</v>
      </c>
      <c r="C3558" s="1" t="n">
        <v>45672</v>
      </c>
      <c r="D3558" t="inlineStr">
        <is>
          <t>STOCKHOLMS LÄN</t>
        </is>
      </c>
      <c r="E3558" t="inlineStr">
        <is>
          <t>NYNÄSHAMN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26355-2024</t>
        </is>
      </c>
      <c r="B3559" s="1" t="n">
        <v>45469</v>
      </c>
      <c r="C3559" s="1" t="n">
        <v>45672</v>
      </c>
      <c r="D3559" t="inlineStr">
        <is>
          <t>STOCKHOLMS LÄN</t>
        </is>
      </c>
      <c r="E3559" t="inlineStr">
        <is>
          <t>NORRTÄLJE</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26359-2024</t>
        </is>
      </c>
      <c r="B3560" s="1" t="n">
        <v>45469</v>
      </c>
      <c r="C3560" s="1" t="n">
        <v>45672</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26365-2024</t>
        </is>
      </c>
      <c r="B3561" s="1" t="n">
        <v>45469</v>
      </c>
      <c r="C3561" s="1" t="n">
        <v>45672</v>
      </c>
      <c r="D3561" t="inlineStr">
        <is>
          <t>STOCKHOLMS LÄN</t>
        </is>
      </c>
      <c r="E3561" t="inlineStr">
        <is>
          <t>NORRTÄLJE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26526-2024</t>
        </is>
      </c>
      <c r="B3562" s="1" t="n">
        <v>45469</v>
      </c>
      <c r="C3562" s="1" t="n">
        <v>45672</v>
      </c>
      <c r="D3562" t="inlineStr">
        <is>
          <t>STOCKHOLMS LÄN</t>
        </is>
      </c>
      <c r="E3562" t="inlineStr">
        <is>
          <t>NORRTÄLJE</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26501-2024</t>
        </is>
      </c>
      <c r="B3563" s="1" t="n">
        <v>45469</v>
      </c>
      <c r="C3563" s="1" t="n">
        <v>45672</v>
      </c>
      <c r="D3563" t="inlineStr">
        <is>
          <t>STOCKHOLMS LÄN</t>
        </is>
      </c>
      <c r="E3563" t="inlineStr">
        <is>
          <t>NYNÄSHAMN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26407-2024</t>
        </is>
      </c>
      <c r="B3564" s="1" t="n">
        <v>45469</v>
      </c>
      <c r="C3564" s="1" t="n">
        <v>45672</v>
      </c>
      <c r="D3564" t="inlineStr">
        <is>
          <t>STOCKHOLMS LÄN</t>
        </is>
      </c>
      <c r="E3564" t="inlineStr">
        <is>
          <t>NORRTÄLJE</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26600-2024</t>
        </is>
      </c>
      <c r="B3565" s="1" t="n">
        <v>45469</v>
      </c>
      <c r="C3565" s="1" t="n">
        <v>45672</v>
      </c>
      <c r="D3565" t="inlineStr">
        <is>
          <t>STOCKHOLMS LÄN</t>
        </is>
      </c>
      <c r="E3565" t="inlineStr">
        <is>
          <t>NORRTÄLJE</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26612-2024</t>
        </is>
      </c>
      <c r="B3566" s="1" t="n">
        <v>45469</v>
      </c>
      <c r="C3566" s="1" t="n">
        <v>45672</v>
      </c>
      <c r="D3566" t="inlineStr">
        <is>
          <t>STOCKHOLMS LÄN</t>
        </is>
      </c>
      <c r="E3566" t="inlineStr">
        <is>
          <t>NORRTÄLJE</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26644-2024</t>
        </is>
      </c>
      <c r="B3567" s="1" t="n">
        <v>45469</v>
      </c>
      <c r="C3567" s="1" t="n">
        <v>45672</v>
      </c>
      <c r="D3567" t="inlineStr">
        <is>
          <t>STOCKHOLMS LÄN</t>
        </is>
      </c>
      <c r="E3567" t="inlineStr">
        <is>
          <t>NORRTÄLJE</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26668-2024</t>
        </is>
      </c>
      <c r="B3568" s="1" t="n">
        <v>45469</v>
      </c>
      <c r="C3568" s="1" t="n">
        <v>45672</v>
      </c>
      <c r="D3568" t="inlineStr">
        <is>
          <t>STOCKHOLMS LÄN</t>
        </is>
      </c>
      <c r="E3568" t="inlineStr">
        <is>
          <t>NORRTÄLJE</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26902-2024</t>
        </is>
      </c>
      <c r="B3569" s="1" t="n">
        <v>45470</v>
      </c>
      <c r="C3569" s="1" t="n">
        <v>45672</v>
      </c>
      <c r="D3569" t="inlineStr">
        <is>
          <t>STOCKHOLMS LÄN</t>
        </is>
      </c>
      <c r="E3569" t="inlineStr">
        <is>
          <t>SÖDERTÄLJE</t>
        </is>
      </c>
      <c r="F3569" t="inlineStr">
        <is>
          <t>Kommuner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26842-2024</t>
        </is>
      </c>
      <c r="B3570" s="1" t="n">
        <v>45470</v>
      </c>
      <c r="C3570" s="1" t="n">
        <v>45672</v>
      </c>
      <c r="D3570" t="inlineStr">
        <is>
          <t>STOCKHOLMS LÄN</t>
        </is>
      </c>
      <c r="E3570" t="inlineStr">
        <is>
          <t>SÖDERTÄLJE</t>
        </is>
      </c>
      <c r="F3570" t="inlineStr">
        <is>
          <t>Kommuner</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26734-2024</t>
        </is>
      </c>
      <c r="B3571" s="1" t="n">
        <v>45470</v>
      </c>
      <c r="C3571" s="1" t="n">
        <v>45672</v>
      </c>
      <c r="D3571" t="inlineStr">
        <is>
          <t>STOCKHOLMS LÄN</t>
        </is>
      </c>
      <c r="E3571" t="inlineStr">
        <is>
          <t>SÖDERTÄLJE</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26698-2024</t>
        </is>
      </c>
      <c r="B3572" s="1" t="n">
        <v>45470</v>
      </c>
      <c r="C3572" s="1" t="n">
        <v>45672</v>
      </c>
      <c r="D3572" t="inlineStr">
        <is>
          <t>STOCKHOLMS LÄN</t>
        </is>
      </c>
      <c r="E3572" t="inlineStr">
        <is>
          <t>NORRTÄLJE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26909-2024</t>
        </is>
      </c>
      <c r="B3573" s="1" t="n">
        <v>45470</v>
      </c>
      <c r="C3573" s="1" t="n">
        <v>45672</v>
      </c>
      <c r="D3573" t="inlineStr">
        <is>
          <t>STOCKHOLMS LÄN</t>
        </is>
      </c>
      <c r="E3573" t="inlineStr">
        <is>
          <t>SÖDERTÄLJE</t>
        </is>
      </c>
      <c r="F3573" t="inlineStr">
        <is>
          <t>Kommuner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26813-2024</t>
        </is>
      </c>
      <c r="B3574" s="1" t="n">
        <v>45470</v>
      </c>
      <c r="C3574" s="1" t="n">
        <v>45672</v>
      </c>
      <c r="D3574" t="inlineStr">
        <is>
          <t>STOCKHOLMS LÄN</t>
        </is>
      </c>
      <c r="E3574" t="inlineStr">
        <is>
          <t>SÖDERTÄLJE</t>
        </is>
      </c>
      <c r="F3574" t="inlineStr">
        <is>
          <t>Kommuner</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27047-2024</t>
        </is>
      </c>
      <c r="B3575" s="1" t="n">
        <v>45471</v>
      </c>
      <c r="C3575" s="1" t="n">
        <v>45672</v>
      </c>
      <c r="D3575" t="inlineStr">
        <is>
          <t>STOCKHOLMS LÄN</t>
        </is>
      </c>
      <c r="E3575" t="inlineStr">
        <is>
          <t>SÖDERTÄLJE</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27059-2024</t>
        </is>
      </c>
      <c r="B3576" s="1" t="n">
        <v>45471</v>
      </c>
      <c r="C3576" s="1" t="n">
        <v>45672</v>
      </c>
      <c r="D3576" t="inlineStr">
        <is>
          <t>STOCKHOLMS LÄN</t>
        </is>
      </c>
      <c r="E3576" t="inlineStr">
        <is>
          <t>NORRTÄLJE</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27091-2024</t>
        </is>
      </c>
      <c r="B3577" s="1" t="n">
        <v>45471</v>
      </c>
      <c r="C3577" s="1" t="n">
        <v>45672</v>
      </c>
      <c r="D3577" t="inlineStr">
        <is>
          <t>STOCKHOLMS LÄN</t>
        </is>
      </c>
      <c r="E3577" t="inlineStr">
        <is>
          <t>NYNÄSHAMN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27248-2024</t>
        </is>
      </c>
      <c r="B3578" s="1" t="n">
        <v>45471</v>
      </c>
      <c r="C3578" s="1" t="n">
        <v>45672</v>
      </c>
      <c r="D3578" t="inlineStr">
        <is>
          <t>STOCKHOLMS LÄN</t>
        </is>
      </c>
      <c r="E3578" t="inlineStr">
        <is>
          <t>NORRTÄLJE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27058-2024</t>
        </is>
      </c>
      <c r="B3579" s="1" t="n">
        <v>45471</v>
      </c>
      <c r="C3579" s="1" t="n">
        <v>45672</v>
      </c>
      <c r="D3579" t="inlineStr">
        <is>
          <t>STOCKHOLMS LÄN</t>
        </is>
      </c>
      <c r="E3579" t="inlineStr">
        <is>
          <t>SÖDERTÄLJE</t>
        </is>
      </c>
      <c r="F3579" t="inlineStr">
        <is>
          <t>Kommuner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27092-2024</t>
        </is>
      </c>
      <c r="B3580" s="1" t="n">
        <v>45471</v>
      </c>
      <c r="C3580" s="1" t="n">
        <v>45672</v>
      </c>
      <c r="D3580" t="inlineStr">
        <is>
          <t>STOCKHOLMS LÄN</t>
        </is>
      </c>
      <c r="E3580" t="inlineStr">
        <is>
          <t>NYNÄSHAMN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27381-2024</t>
        </is>
      </c>
      <c r="B3581" s="1" t="n">
        <v>45474</v>
      </c>
      <c r="C3581" s="1" t="n">
        <v>45672</v>
      </c>
      <c r="D3581" t="inlineStr">
        <is>
          <t>STOCKHOLMS LÄN</t>
        </is>
      </c>
      <c r="E3581" t="inlineStr">
        <is>
          <t>NORRTÄLJE</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27831-2024</t>
        </is>
      </c>
      <c r="B3582" s="1" t="n">
        <v>45475</v>
      </c>
      <c r="C3582" s="1" t="n">
        <v>45672</v>
      </c>
      <c r="D3582" t="inlineStr">
        <is>
          <t>STOCKHOLMS LÄN</t>
        </is>
      </c>
      <c r="E3582" t="inlineStr">
        <is>
          <t>NORRTÄLJE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28143-2024</t>
        </is>
      </c>
      <c r="B3583" s="1" t="n">
        <v>45476</v>
      </c>
      <c r="C3583" s="1" t="n">
        <v>45672</v>
      </c>
      <c r="D3583" t="inlineStr">
        <is>
          <t>STOCKHOLMS LÄN</t>
        </is>
      </c>
      <c r="E3583" t="inlineStr">
        <is>
          <t>ÖSTERÅKER</t>
        </is>
      </c>
      <c r="F3583" t="inlineStr">
        <is>
          <t>Övriga Aktiebolag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28147-2024</t>
        </is>
      </c>
      <c r="B3584" s="1" t="n">
        <v>45476</v>
      </c>
      <c r="C3584" s="1" t="n">
        <v>45672</v>
      </c>
      <c r="D3584" t="inlineStr">
        <is>
          <t>STOCKHOLMS LÄN</t>
        </is>
      </c>
      <c r="E3584" t="inlineStr">
        <is>
          <t>ÖSTERÅKER</t>
        </is>
      </c>
      <c r="F3584" t="inlineStr">
        <is>
          <t>Övriga Aktiebolag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28144-2024</t>
        </is>
      </c>
      <c r="B3585" s="1" t="n">
        <v>45476</v>
      </c>
      <c r="C3585" s="1" t="n">
        <v>45672</v>
      </c>
      <c r="D3585" t="inlineStr">
        <is>
          <t>STOCKHOLMS LÄN</t>
        </is>
      </c>
      <c r="E3585" t="inlineStr">
        <is>
          <t>ÖSTERÅKER</t>
        </is>
      </c>
      <c r="F3585" t="inlineStr">
        <is>
          <t>Övriga Aktiebolag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28146-2024</t>
        </is>
      </c>
      <c r="B3586" s="1" t="n">
        <v>45476</v>
      </c>
      <c r="C3586" s="1" t="n">
        <v>45672</v>
      </c>
      <c r="D3586" t="inlineStr">
        <is>
          <t>STOCKHOLMS LÄN</t>
        </is>
      </c>
      <c r="E3586" t="inlineStr">
        <is>
          <t>ÖSTERÅKER</t>
        </is>
      </c>
      <c r="F3586" t="inlineStr">
        <is>
          <t>Övriga Aktiebolag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28190-2024</t>
        </is>
      </c>
      <c r="B3587" s="1" t="n">
        <v>45477</v>
      </c>
      <c r="C3587" s="1" t="n">
        <v>45672</v>
      </c>
      <c r="D3587" t="inlineStr">
        <is>
          <t>STOCKHOLMS LÄN</t>
        </is>
      </c>
      <c r="E3587" t="inlineStr">
        <is>
          <t>NORRTÄLJE</t>
        </is>
      </c>
      <c r="F3587" t="inlineStr">
        <is>
          <t>Kyrkan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28245-2024</t>
        </is>
      </c>
      <c r="B3588" s="1" t="n">
        <v>45477</v>
      </c>
      <c r="C3588" s="1" t="n">
        <v>45672</v>
      </c>
      <c r="D3588" t="inlineStr">
        <is>
          <t>STOCKHOLMS LÄN</t>
        </is>
      </c>
      <c r="E3588" t="inlineStr">
        <is>
          <t>NORRTÄLJE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28200-2024</t>
        </is>
      </c>
      <c r="B3589" s="1" t="n">
        <v>45477</v>
      </c>
      <c r="C3589" s="1" t="n">
        <v>45672</v>
      </c>
      <c r="D3589" t="inlineStr">
        <is>
          <t>STOCKHOLMS LÄN</t>
        </is>
      </c>
      <c r="E3589" t="inlineStr">
        <is>
          <t>NORRTÄLJE</t>
        </is>
      </c>
      <c r="F3589" t="inlineStr">
        <is>
          <t>Kyrkan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28603-2024</t>
        </is>
      </c>
      <c r="B3590" s="1" t="n">
        <v>45478</v>
      </c>
      <c r="C3590" s="1" t="n">
        <v>45672</v>
      </c>
      <c r="D3590" t="inlineStr">
        <is>
          <t>STOCKHOLMS LÄN</t>
        </is>
      </c>
      <c r="E3590" t="inlineStr">
        <is>
          <t>NORRTÄLJE</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28590-2024</t>
        </is>
      </c>
      <c r="B3591" s="1" t="n">
        <v>45478</v>
      </c>
      <c r="C3591" s="1" t="n">
        <v>45672</v>
      </c>
      <c r="D3591" t="inlineStr">
        <is>
          <t>STOCKHOLMS LÄN</t>
        </is>
      </c>
      <c r="E3591" t="inlineStr">
        <is>
          <t>VÄRMDÖ</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28752-2024</t>
        </is>
      </c>
      <c r="B3592" s="1" t="n">
        <v>45478</v>
      </c>
      <c r="C3592" s="1" t="n">
        <v>45672</v>
      </c>
      <c r="D3592" t="inlineStr">
        <is>
          <t>STOCKHOLMS LÄN</t>
        </is>
      </c>
      <c r="E3592" t="inlineStr">
        <is>
          <t>SIGTUNA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28764-2024</t>
        </is>
      </c>
      <c r="B3593" s="1" t="n">
        <v>45478</v>
      </c>
      <c r="C3593" s="1" t="n">
        <v>45672</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28982-2024</t>
        </is>
      </c>
      <c r="B3594" s="1" t="n">
        <v>45481</v>
      </c>
      <c r="C3594" s="1" t="n">
        <v>45672</v>
      </c>
      <c r="D3594" t="inlineStr">
        <is>
          <t>STOCKHOLMS LÄN</t>
        </is>
      </c>
      <c r="E3594" t="inlineStr">
        <is>
          <t>SÖDERTÄLJE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28983-2024</t>
        </is>
      </c>
      <c r="B3595" s="1" t="n">
        <v>45481</v>
      </c>
      <c r="C3595" s="1" t="n">
        <v>45672</v>
      </c>
      <c r="D3595" t="inlineStr">
        <is>
          <t>STOCKHOLMS LÄN</t>
        </is>
      </c>
      <c r="E3595" t="inlineStr">
        <is>
          <t>BOTKYRKA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29210-2024</t>
        </is>
      </c>
      <c r="B3596" s="1" t="n">
        <v>45482</v>
      </c>
      <c r="C3596" s="1" t="n">
        <v>45672</v>
      </c>
      <c r="D3596" t="inlineStr">
        <is>
          <t>STOCKHOLMS LÄN</t>
        </is>
      </c>
      <c r="E3596" t="inlineStr">
        <is>
          <t>NORRTÄLJE</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29176-2024</t>
        </is>
      </c>
      <c r="B3597" s="1" t="n">
        <v>45482</v>
      </c>
      <c r="C3597" s="1" t="n">
        <v>45672</v>
      </c>
      <c r="D3597" t="inlineStr">
        <is>
          <t>STOCKHOLMS LÄN</t>
        </is>
      </c>
      <c r="E3597" t="inlineStr">
        <is>
          <t>NORRTÄLJE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29369-2024</t>
        </is>
      </c>
      <c r="B3598" s="1" t="n">
        <v>45483</v>
      </c>
      <c r="C3598" s="1" t="n">
        <v>45672</v>
      </c>
      <c r="D3598" t="inlineStr">
        <is>
          <t>STOCKHOLMS LÄN</t>
        </is>
      </c>
      <c r="E3598" t="inlineStr">
        <is>
          <t>NORRTÄLJE</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29419-2024</t>
        </is>
      </c>
      <c r="B3599" s="1" t="n">
        <v>45483</v>
      </c>
      <c r="C3599" s="1" t="n">
        <v>45672</v>
      </c>
      <c r="D3599" t="inlineStr">
        <is>
          <t>STOCKHOLMS LÄN</t>
        </is>
      </c>
      <c r="E3599" t="inlineStr">
        <is>
          <t>NORRTÄLJE</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29504-2024</t>
        </is>
      </c>
      <c r="B3600" s="1" t="n">
        <v>45484</v>
      </c>
      <c r="C3600" s="1" t="n">
        <v>45672</v>
      </c>
      <c r="D3600" t="inlineStr">
        <is>
          <t>STOCKHOLMS LÄN</t>
        </is>
      </c>
      <c r="E3600" t="inlineStr">
        <is>
          <t>NORRTÄLJE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29589-2024</t>
        </is>
      </c>
      <c r="B3601" s="1" t="n">
        <v>45484</v>
      </c>
      <c r="C3601" s="1" t="n">
        <v>45672</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29583-2024</t>
        </is>
      </c>
      <c r="B3602" s="1" t="n">
        <v>45484</v>
      </c>
      <c r="C3602" s="1" t="n">
        <v>45672</v>
      </c>
      <c r="D3602" t="inlineStr">
        <is>
          <t>STOCKHOLMS LÄN</t>
        </is>
      </c>
      <c r="E3602" t="inlineStr">
        <is>
          <t>NORRTÄLJE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29578-2024</t>
        </is>
      </c>
      <c r="B3603" s="1" t="n">
        <v>45484</v>
      </c>
      <c r="C3603" s="1" t="n">
        <v>45672</v>
      </c>
      <c r="D3603" t="inlineStr">
        <is>
          <t>STOCKHOLMS LÄN</t>
        </is>
      </c>
      <c r="E3603" t="inlineStr">
        <is>
          <t>NORRTÄLJE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29505-2024</t>
        </is>
      </c>
      <c r="B3604" s="1" t="n">
        <v>45484</v>
      </c>
      <c r="C3604" s="1" t="n">
        <v>45672</v>
      </c>
      <c r="D3604" t="inlineStr">
        <is>
          <t>STOCKHOLMS LÄN</t>
        </is>
      </c>
      <c r="E3604" t="inlineStr">
        <is>
          <t>NORRTÄLJE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29972-2024</t>
        </is>
      </c>
      <c r="B3605" s="1" t="n">
        <v>45485</v>
      </c>
      <c r="C3605" s="1" t="n">
        <v>45672</v>
      </c>
      <c r="D3605" t="inlineStr">
        <is>
          <t>STOCKHOLMS LÄN</t>
        </is>
      </c>
      <c r="E3605" t="inlineStr">
        <is>
          <t>NORRTÄLJE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29841-2024</t>
        </is>
      </c>
      <c r="B3606" s="1" t="n">
        <v>45485</v>
      </c>
      <c r="C3606" s="1" t="n">
        <v>45672</v>
      </c>
      <c r="D3606" t="inlineStr">
        <is>
          <t>STOCKHOLMS LÄN</t>
        </is>
      </c>
      <c r="E3606" t="inlineStr">
        <is>
          <t>NORRTÄLJE</t>
        </is>
      </c>
      <c r="G3606" t="n">
        <v>15.9</v>
      </c>
      <c r="H3606" t="n">
        <v>0</v>
      </c>
      <c r="I3606" t="n">
        <v>0</v>
      </c>
      <c r="J3606" t="n">
        <v>0</v>
      </c>
      <c r="K3606" t="n">
        <v>0</v>
      </c>
      <c r="L3606" t="n">
        <v>0</v>
      </c>
      <c r="M3606" t="n">
        <v>0</v>
      </c>
      <c r="N3606" t="n">
        <v>0</v>
      </c>
      <c r="O3606" t="n">
        <v>0</v>
      </c>
      <c r="P3606" t="n">
        <v>0</v>
      </c>
      <c r="Q3606" t="n">
        <v>0</v>
      </c>
      <c r="R3606" s="2" t="inlineStr"/>
    </row>
    <row r="3607" ht="15" customHeight="1">
      <c r="A3607" t="inlineStr">
        <is>
          <t>A 30108-2024</t>
        </is>
      </c>
      <c r="B3607" s="1" t="n">
        <v>45487</v>
      </c>
      <c r="C3607" s="1" t="n">
        <v>45672</v>
      </c>
      <c r="D3607" t="inlineStr">
        <is>
          <t>STOCKHOLMS LÄN</t>
        </is>
      </c>
      <c r="E3607" t="inlineStr">
        <is>
          <t>NORRTÄLJE</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30033-2024</t>
        </is>
      </c>
      <c r="B3608" s="1" t="n">
        <v>45488</v>
      </c>
      <c r="C3608" s="1" t="n">
        <v>45672</v>
      </c>
      <c r="D3608" t="inlineStr">
        <is>
          <t>STOCKHOLMS LÄN</t>
        </is>
      </c>
      <c r="E3608" t="inlineStr">
        <is>
          <t>NORRTÄLJE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29994-2024</t>
        </is>
      </c>
      <c r="B3609" s="1" t="n">
        <v>45488</v>
      </c>
      <c r="C3609" s="1" t="n">
        <v>45672</v>
      </c>
      <c r="D3609" t="inlineStr">
        <is>
          <t>STOCKHOLMS LÄN</t>
        </is>
      </c>
      <c r="E3609" t="inlineStr">
        <is>
          <t>NORRTÄLJE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30096-2024</t>
        </is>
      </c>
      <c r="B3610" s="1" t="n">
        <v>45489</v>
      </c>
      <c r="C3610" s="1" t="n">
        <v>45672</v>
      </c>
      <c r="D3610" t="inlineStr">
        <is>
          <t>STOCKHOLMS LÄN</t>
        </is>
      </c>
      <c r="E3610" t="inlineStr">
        <is>
          <t>NORRTÄLJE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30221-2024</t>
        </is>
      </c>
      <c r="B3611" s="1" t="n">
        <v>45490</v>
      </c>
      <c r="C3611" s="1" t="n">
        <v>45672</v>
      </c>
      <c r="D3611" t="inlineStr">
        <is>
          <t>STOCKHOLMS LÄN</t>
        </is>
      </c>
      <c r="E3611" t="inlineStr">
        <is>
          <t>NORRTÄLJE</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30268-2024</t>
        </is>
      </c>
      <c r="B3612" s="1" t="n">
        <v>45490</v>
      </c>
      <c r="C3612" s="1" t="n">
        <v>45672</v>
      </c>
      <c r="D3612" t="inlineStr">
        <is>
          <t>STOCKHOLMS LÄN</t>
        </is>
      </c>
      <c r="E3612" t="inlineStr">
        <is>
          <t>NORRTÄLJE</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30323-2024</t>
        </is>
      </c>
      <c r="B3613" s="1" t="n">
        <v>45490</v>
      </c>
      <c r="C3613" s="1" t="n">
        <v>45672</v>
      </c>
      <c r="D3613" t="inlineStr">
        <is>
          <t>STOCKHOLMS LÄN</t>
        </is>
      </c>
      <c r="E3613" t="inlineStr">
        <is>
          <t>NORRTÄLJE</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30378-2024</t>
        </is>
      </c>
      <c r="B3614" s="1" t="n">
        <v>45491</v>
      </c>
      <c r="C3614" s="1" t="n">
        <v>45672</v>
      </c>
      <c r="D3614" t="inlineStr">
        <is>
          <t>STOCKHOLMS LÄN</t>
        </is>
      </c>
      <c r="E3614" t="inlineStr">
        <is>
          <t>BOTKYRKA</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30396-2024</t>
        </is>
      </c>
      <c r="B3615" s="1" t="n">
        <v>45491</v>
      </c>
      <c r="C3615" s="1" t="n">
        <v>45672</v>
      </c>
      <c r="D3615" t="inlineStr">
        <is>
          <t>STOCKHOLMS LÄN</t>
        </is>
      </c>
      <c r="E3615" t="inlineStr">
        <is>
          <t>NORRTÄLJE</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30553-2024</t>
        </is>
      </c>
      <c r="B3616" s="1" t="n">
        <v>45492</v>
      </c>
      <c r="C3616" s="1" t="n">
        <v>45672</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30594-2024</t>
        </is>
      </c>
      <c r="B3617" s="1" t="n">
        <v>45493</v>
      </c>
      <c r="C3617" s="1" t="n">
        <v>45672</v>
      </c>
      <c r="D3617" t="inlineStr">
        <is>
          <t>STOCKHOLMS LÄN</t>
        </is>
      </c>
      <c r="E3617" t="inlineStr">
        <is>
          <t>NYKVARN</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30622-2024</t>
        </is>
      </c>
      <c r="B3618" s="1" t="n">
        <v>45495</v>
      </c>
      <c r="C3618" s="1" t="n">
        <v>45672</v>
      </c>
      <c r="D3618" t="inlineStr">
        <is>
          <t>STOCKHOLMS LÄN</t>
        </is>
      </c>
      <c r="E3618" t="inlineStr">
        <is>
          <t>BOTKYRKA</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30666-2024</t>
        </is>
      </c>
      <c r="B3619" s="1" t="n">
        <v>45495</v>
      </c>
      <c r="C3619" s="1" t="n">
        <v>45672</v>
      </c>
      <c r="D3619" t="inlineStr">
        <is>
          <t>STOCKHOLMS LÄN</t>
        </is>
      </c>
      <c r="E3619" t="inlineStr">
        <is>
          <t>NORRTÄLJE</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30963-2024</t>
        </is>
      </c>
      <c r="B3620" s="1" t="n">
        <v>45499</v>
      </c>
      <c r="C3620" s="1" t="n">
        <v>45672</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31013-2024</t>
        </is>
      </c>
      <c r="B3621" s="1" t="n">
        <v>45499</v>
      </c>
      <c r="C3621" s="1" t="n">
        <v>45672</v>
      </c>
      <c r="D3621" t="inlineStr">
        <is>
          <t>STOCKHOLMS LÄN</t>
        </is>
      </c>
      <c r="E3621" t="inlineStr">
        <is>
          <t>ÖSTERÅKER</t>
        </is>
      </c>
      <c r="F3621" t="inlineStr">
        <is>
          <t>Övriga Aktiebolag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30949-2024</t>
        </is>
      </c>
      <c r="B3622" s="1" t="n">
        <v>45499</v>
      </c>
      <c r="C3622" s="1" t="n">
        <v>45672</v>
      </c>
      <c r="D3622" t="inlineStr">
        <is>
          <t>STOCKHOLMS LÄN</t>
        </is>
      </c>
      <c r="E3622" t="inlineStr">
        <is>
          <t>ÖSTERÅKER</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30995-2024</t>
        </is>
      </c>
      <c r="B3623" s="1" t="n">
        <v>45499</v>
      </c>
      <c r="C3623" s="1" t="n">
        <v>45672</v>
      </c>
      <c r="D3623" t="inlineStr">
        <is>
          <t>STOCKHOLMS LÄN</t>
        </is>
      </c>
      <c r="E3623" t="inlineStr">
        <is>
          <t>NORRTÄLJE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31027-2024</t>
        </is>
      </c>
      <c r="B3624" s="1" t="n">
        <v>45501</v>
      </c>
      <c r="C3624" s="1" t="n">
        <v>45672</v>
      </c>
      <c r="D3624" t="inlineStr">
        <is>
          <t>STOCKHOLMS LÄN</t>
        </is>
      </c>
      <c r="E3624" t="inlineStr">
        <is>
          <t>NORRTÄLJE</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31168-2024</t>
        </is>
      </c>
      <c r="B3625" s="1" t="n">
        <v>45503</v>
      </c>
      <c r="C3625" s="1" t="n">
        <v>45672</v>
      </c>
      <c r="D3625" t="inlineStr">
        <is>
          <t>STOCKHOLMS LÄN</t>
        </is>
      </c>
      <c r="E3625" t="inlineStr">
        <is>
          <t>NYNÄSHAMN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31212-2024</t>
        </is>
      </c>
      <c r="B3626" s="1" t="n">
        <v>45503</v>
      </c>
      <c r="C3626" s="1" t="n">
        <v>45672</v>
      </c>
      <c r="D3626" t="inlineStr">
        <is>
          <t>STOCKHOLMS LÄN</t>
        </is>
      </c>
      <c r="E3626" t="inlineStr">
        <is>
          <t>SÖDERTÄLJE</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31228-2024</t>
        </is>
      </c>
      <c r="B3627" s="1" t="n">
        <v>45503</v>
      </c>
      <c r="C3627" s="1" t="n">
        <v>45672</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31232-2024</t>
        </is>
      </c>
      <c r="B3628" s="1" t="n">
        <v>45503</v>
      </c>
      <c r="C3628" s="1" t="n">
        <v>45672</v>
      </c>
      <c r="D3628" t="inlineStr">
        <is>
          <t>STOCKHOLMS LÄN</t>
        </is>
      </c>
      <c r="E3628" t="inlineStr">
        <is>
          <t>NORRTÄLJE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31343-2024</t>
        </is>
      </c>
      <c r="B3629" s="1" t="n">
        <v>45504</v>
      </c>
      <c r="C3629" s="1" t="n">
        <v>45672</v>
      </c>
      <c r="D3629" t="inlineStr">
        <is>
          <t>STOCKHOLMS LÄN</t>
        </is>
      </c>
      <c r="E3629" t="inlineStr">
        <is>
          <t>NORRTÄLJE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31311-2024</t>
        </is>
      </c>
      <c r="B3630" s="1" t="n">
        <v>45504</v>
      </c>
      <c r="C3630" s="1" t="n">
        <v>45672</v>
      </c>
      <c r="D3630" t="inlineStr">
        <is>
          <t>STOCKHOLMS LÄN</t>
        </is>
      </c>
      <c r="E3630" t="inlineStr">
        <is>
          <t>NORRTÄLJE</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31279-2024</t>
        </is>
      </c>
      <c r="B3631" s="1" t="n">
        <v>45504</v>
      </c>
      <c r="C3631" s="1" t="n">
        <v>45672</v>
      </c>
      <c r="D3631" t="inlineStr">
        <is>
          <t>STOCKHOLMS LÄN</t>
        </is>
      </c>
      <c r="E3631" t="inlineStr">
        <is>
          <t>NORRTÄLJE</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31375-2024</t>
        </is>
      </c>
      <c r="B3632" s="1" t="n">
        <v>45505</v>
      </c>
      <c r="C3632" s="1" t="n">
        <v>45672</v>
      </c>
      <c r="D3632" t="inlineStr">
        <is>
          <t>STOCKHOLMS LÄN</t>
        </is>
      </c>
      <c r="E3632" t="inlineStr">
        <is>
          <t>SÖDERTÄLJE</t>
        </is>
      </c>
      <c r="F3632" t="inlineStr">
        <is>
          <t>Kommuner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31394-2024</t>
        </is>
      </c>
      <c r="B3633" s="1" t="n">
        <v>45505</v>
      </c>
      <c r="C3633" s="1" t="n">
        <v>45672</v>
      </c>
      <c r="D3633" t="inlineStr">
        <is>
          <t>STOCKHOLMS LÄN</t>
        </is>
      </c>
      <c r="E3633" t="inlineStr">
        <is>
          <t>NYKVARN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31397-2024</t>
        </is>
      </c>
      <c r="B3634" s="1" t="n">
        <v>45505</v>
      </c>
      <c r="C3634" s="1" t="n">
        <v>45672</v>
      </c>
      <c r="D3634" t="inlineStr">
        <is>
          <t>STOCKHOLMS LÄN</t>
        </is>
      </c>
      <c r="E3634" t="inlineStr">
        <is>
          <t>NYKVARN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31393-2024</t>
        </is>
      </c>
      <c r="B3635" s="1" t="n">
        <v>45505</v>
      </c>
      <c r="C3635" s="1" t="n">
        <v>45672</v>
      </c>
      <c r="D3635" t="inlineStr">
        <is>
          <t>STOCKHOLMS LÄN</t>
        </is>
      </c>
      <c r="E3635" t="inlineStr">
        <is>
          <t>NYKVARN</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31843-2024</t>
        </is>
      </c>
      <c r="B3636" s="1" t="n">
        <v>45509</v>
      </c>
      <c r="C3636" s="1" t="n">
        <v>45672</v>
      </c>
      <c r="D3636" t="inlineStr">
        <is>
          <t>STOCKHOLMS LÄN</t>
        </is>
      </c>
      <c r="E3636" t="inlineStr">
        <is>
          <t>VALLENTUNA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32200-2024</t>
        </is>
      </c>
      <c r="B3637" s="1" t="n">
        <v>45511</v>
      </c>
      <c r="C3637" s="1" t="n">
        <v>45672</v>
      </c>
      <c r="D3637" t="inlineStr">
        <is>
          <t>STOCKHOLMS LÄN</t>
        </is>
      </c>
      <c r="E3637" t="inlineStr">
        <is>
          <t>SÖDERTÄLJE</t>
        </is>
      </c>
      <c r="F3637" t="inlineStr">
        <is>
          <t>Kommuner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32874-2024</t>
        </is>
      </c>
      <c r="B3638" s="1" t="n">
        <v>45516</v>
      </c>
      <c r="C3638" s="1" t="n">
        <v>45672</v>
      </c>
      <c r="D3638" t="inlineStr">
        <is>
          <t>STOCKHOLMS LÄN</t>
        </is>
      </c>
      <c r="E3638" t="inlineStr">
        <is>
          <t>NORRTÄLJE</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32706-2024</t>
        </is>
      </c>
      <c r="B3639" s="1" t="n">
        <v>45516</v>
      </c>
      <c r="C3639" s="1" t="n">
        <v>45672</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33089-2024</t>
        </is>
      </c>
      <c r="B3640" s="1" t="n">
        <v>45517</v>
      </c>
      <c r="C3640" s="1" t="n">
        <v>45672</v>
      </c>
      <c r="D3640" t="inlineStr">
        <is>
          <t>STOCKHOLMS LÄN</t>
        </is>
      </c>
      <c r="E3640" t="inlineStr">
        <is>
          <t>VAXHOLM</t>
        </is>
      </c>
      <c r="F3640" t="inlineStr">
        <is>
          <t>Övriga statliga verk och myndigheter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33061-2024</t>
        </is>
      </c>
      <c r="B3641" s="1" t="n">
        <v>45517</v>
      </c>
      <c r="C3641" s="1" t="n">
        <v>45672</v>
      </c>
      <c r="D3641" t="inlineStr">
        <is>
          <t>STOCKHOLMS LÄN</t>
        </is>
      </c>
      <c r="E3641" t="inlineStr">
        <is>
          <t>VÄRMDÖ</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33049-2024</t>
        </is>
      </c>
      <c r="B3642" s="1" t="n">
        <v>45517</v>
      </c>
      <c r="C3642" s="1" t="n">
        <v>45672</v>
      </c>
      <c r="D3642" t="inlineStr">
        <is>
          <t>STOCKHOLMS LÄN</t>
        </is>
      </c>
      <c r="E3642" t="inlineStr">
        <is>
          <t>NYKVARN</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33173-2024</t>
        </is>
      </c>
      <c r="B3643" s="1" t="n">
        <v>45518</v>
      </c>
      <c r="C3643" s="1" t="n">
        <v>45672</v>
      </c>
      <c r="D3643" t="inlineStr">
        <is>
          <t>STOCKHOLMS LÄN</t>
        </is>
      </c>
      <c r="E3643" t="inlineStr">
        <is>
          <t>NORRTÄLJE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33226-2024</t>
        </is>
      </c>
      <c r="B3644" s="1" t="n">
        <v>45518</v>
      </c>
      <c r="C3644" s="1" t="n">
        <v>45672</v>
      </c>
      <c r="D3644" t="inlineStr">
        <is>
          <t>STOCKHOLMS LÄN</t>
        </is>
      </c>
      <c r="E3644" t="inlineStr">
        <is>
          <t>NORRTÄLJE</t>
        </is>
      </c>
      <c r="G3644" t="n">
        <v>13.8</v>
      </c>
      <c r="H3644" t="n">
        <v>0</v>
      </c>
      <c r="I3644" t="n">
        <v>0</v>
      </c>
      <c r="J3644" t="n">
        <v>0</v>
      </c>
      <c r="K3644" t="n">
        <v>0</v>
      </c>
      <c r="L3644" t="n">
        <v>0</v>
      </c>
      <c r="M3644" t="n">
        <v>0</v>
      </c>
      <c r="N3644" t="n">
        <v>0</v>
      </c>
      <c r="O3644" t="n">
        <v>0</v>
      </c>
      <c r="P3644" t="n">
        <v>0</v>
      </c>
      <c r="Q3644" t="n">
        <v>0</v>
      </c>
      <c r="R3644" s="2" t="inlineStr"/>
    </row>
    <row r="3645" ht="15" customHeight="1">
      <c r="A3645" t="inlineStr">
        <is>
          <t>A 33158-2024</t>
        </is>
      </c>
      <c r="B3645" s="1" t="n">
        <v>45518</v>
      </c>
      <c r="C3645" s="1" t="n">
        <v>45672</v>
      </c>
      <c r="D3645" t="inlineStr">
        <is>
          <t>STOCKHOLMS LÄN</t>
        </is>
      </c>
      <c r="E3645" t="inlineStr">
        <is>
          <t>ÖSTERÅKER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33175-2024</t>
        </is>
      </c>
      <c r="B3646" s="1" t="n">
        <v>45518</v>
      </c>
      <c r="C3646" s="1" t="n">
        <v>45672</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33329-2024</t>
        </is>
      </c>
      <c r="B3647" s="1" t="n">
        <v>45519</v>
      </c>
      <c r="C3647" s="1" t="n">
        <v>45672</v>
      </c>
      <c r="D3647" t="inlineStr">
        <is>
          <t>STOCKHOLMS LÄN</t>
        </is>
      </c>
      <c r="E3647" t="inlineStr">
        <is>
          <t>SIGTUNA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33385-2024</t>
        </is>
      </c>
      <c r="B3648" s="1" t="n">
        <v>45519</v>
      </c>
      <c r="C3648" s="1" t="n">
        <v>45672</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33592-2024</t>
        </is>
      </c>
      <c r="B3649" s="1" t="n">
        <v>45520</v>
      </c>
      <c r="C3649" s="1" t="n">
        <v>45672</v>
      </c>
      <c r="D3649" t="inlineStr">
        <is>
          <t>STOCKHOLMS LÄN</t>
        </is>
      </c>
      <c r="E3649" t="inlineStr">
        <is>
          <t>NORRTÄLJE</t>
        </is>
      </c>
      <c r="F3649" t="inlineStr">
        <is>
          <t>Kyrkan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33787-2024</t>
        </is>
      </c>
      <c r="B3650" s="1" t="n">
        <v>45520</v>
      </c>
      <c r="C3650" s="1" t="n">
        <v>45672</v>
      </c>
      <c r="D3650" t="inlineStr">
        <is>
          <t>STOCKHOLMS LÄN</t>
        </is>
      </c>
      <c r="E3650" t="inlineStr">
        <is>
          <t>NYNÄSHAMN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33878-2024</t>
        </is>
      </c>
      <c r="B3651" s="1" t="n">
        <v>45522</v>
      </c>
      <c r="C3651" s="1" t="n">
        <v>45672</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33959-2024</t>
        </is>
      </c>
      <c r="B3652" s="1" t="n">
        <v>45523</v>
      </c>
      <c r="C3652" s="1" t="n">
        <v>45672</v>
      </c>
      <c r="D3652" t="inlineStr">
        <is>
          <t>STOCKHOLMS LÄN</t>
        </is>
      </c>
      <c r="E3652" t="inlineStr">
        <is>
          <t>VALLENTUNA</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34067-2024</t>
        </is>
      </c>
      <c r="B3653" s="1" t="n">
        <v>45523</v>
      </c>
      <c r="C3653" s="1" t="n">
        <v>45672</v>
      </c>
      <c r="D3653" t="inlineStr">
        <is>
          <t>STOCKHOLMS LÄN</t>
        </is>
      </c>
      <c r="E3653" t="inlineStr">
        <is>
          <t>VALLENTUNA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34068-2024</t>
        </is>
      </c>
      <c r="B3654" s="1" t="n">
        <v>45523</v>
      </c>
      <c r="C3654" s="1" t="n">
        <v>45672</v>
      </c>
      <c r="D3654" t="inlineStr">
        <is>
          <t>STOCKHOLMS LÄN</t>
        </is>
      </c>
      <c r="E3654" t="inlineStr">
        <is>
          <t>VALLENTUNA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34193-2024</t>
        </is>
      </c>
      <c r="B3655" s="1" t="n">
        <v>45524</v>
      </c>
      <c r="C3655" s="1" t="n">
        <v>45672</v>
      </c>
      <c r="D3655" t="inlineStr">
        <is>
          <t>STOCKHOLMS LÄN</t>
        </is>
      </c>
      <c r="E3655" t="inlineStr">
        <is>
          <t>SÖDERTÄLJE</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34194-2024</t>
        </is>
      </c>
      <c r="B3656" s="1" t="n">
        <v>45524</v>
      </c>
      <c r="C3656" s="1" t="n">
        <v>45672</v>
      </c>
      <c r="D3656" t="inlineStr">
        <is>
          <t>STOCKHOLMS LÄN</t>
        </is>
      </c>
      <c r="E3656" t="inlineStr">
        <is>
          <t>SÖDERTÄLJE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34295-2024</t>
        </is>
      </c>
      <c r="B3657" s="1" t="n">
        <v>45524</v>
      </c>
      <c r="C3657" s="1" t="n">
        <v>45672</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34444-2024</t>
        </is>
      </c>
      <c r="B3658" s="1" t="n">
        <v>45525</v>
      </c>
      <c r="C3658" s="1" t="n">
        <v>45672</v>
      </c>
      <c r="D3658" t="inlineStr">
        <is>
          <t>STOCKHOLMS LÄN</t>
        </is>
      </c>
      <c r="E3658" t="inlineStr">
        <is>
          <t>NORRTÄLJE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34547-2024</t>
        </is>
      </c>
      <c r="B3659" s="1" t="n">
        <v>45525</v>
      </c>
      <c r="C3659" s="1" t="n">
        <v>45672</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34583-2024</t>
        </is>
      </c>
      <c r="B3660" s="1" t="n">
        <v>45526</v>
      </c>
      <c r="C3660" s="1" t="n">
        <v>45672</v>
      </c>
      <c r="D3660" t="inlineStr">
        <is>
          <t>STOCKHOLMS LÄN</t>
        </is>
      </c>
      <c r="E3660" t="inlineStr">
        <is>
          <t>NORRTÄLJE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35017-2024</t>
        </is>
      </c>
      <c r="B3661" s="1" t="n">
        <v>45527</v>
      </c>
      <c r="C3661" s="1" t="n">
        <v>45672</v>
      </c>
      <c r="D3661" t="inlineStr">
        <is>
          <t>STOCKHOLMS LÄN</t>
        </is>
      </c>
      <c r="E3661" t="inlineStr">
        <is>
          <t>VALLENTUNA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35197-2024</t>
        </is>
      </c>
      <c r="B3662" s="1" t="n">
        <v>45530</v>
      </c>
      <c r="C3662" s="1" t="n">
        <v>45672</v>
      </c>
      <c r="D3662" t="inlineStr">
        <is>
          <t>STOCKHOLMS LÄN</t>
        </is>
      </c>
      <c r="E3662" t="inlineStr">
        <is>
          <t>BOTKYRKA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35123-2024</t>
        </is>
      </c>
      <c r="B3663" s="1" t="n">
        <v>45530</v>
      </c>
      <c r="C3663" s="1" t="n">
        <v>45672</v>
      </c>
      <c r="D3663" t="inlineStr">
        <is>
          <t>STOCKHOLMS LÄN</t>
        </is>
      </c>
      <c r="E3663" t="inlineStr">
        <is>
          <t>UPPLANDS-BRO</t>
        </is>
      </c>
      <c r="F3663" t="inlineStr">
        <is>
          <t>Övriga statliga verk och myndigheter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35239-2024</t>
        </is>
      </c>
      <c r="B3664" s="1" t="n">
        <v>45530</v>
      </c>
      <c r="C3664" s="1" t="n">
        <v>45672</v>
      </c>
      <c r="D3664" t="inlineStr">
        <is>
          <t>STOCKHOLMS LÄN</t>
        </is>
      </c>
      <c r="E3664" t="inlineStr">
        <is>
          <t>NORRTÄLJE</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35235-2024</t>
        </is>
      </c>
      <c r="B3665" s="1" t="n">
        <v>45530</v>
      </c>
      <c r="C3665" s="1" t="n">
        <v>45672</v>
      </c>
      <c r="D3665" t="inlineStr">
        <is>
          <t>STOCKHOLMS LÄN</t>
        </is>
      </c>
      <c r="E3665" t="inlineStr">
        <is>
          <t>NORRTÄLJE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35180-2024</t>
        </is>
      </c>
      <c r="B3666" s="1" t="n">
        <v>45530</v>
      </c>
      <c r="C3666" s="1" t="n">
        <v>45672</v>
      </c>
      <c r="D3666" t="inlineStr">
        <is>
          <t>STOCKHOLMS LÄN</t>
        </is>
      </c>
      <c r="E3666" t="inlineStr">
        <is>
          <t>BOTKYRKA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35532-2024</t>
        </is>
      </c>
      <c r="B3667" s="1" t="n">
        <v>45531</v>
      </c>
      <c r="C3667" s="1" t="n">
        <v>45672</v>
      </c>
      <c r="D3667" t="inlineStr">
        <is>
          <t>STOCKHOLMS LÄN</t>
        </is>
      </c>
      <c r="E3667" t="inlineStr">
        <is>
          <t>NORRTÄLJE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35467-2024</t>
        </is>
      </c>
      <c r="B3668" s="1" t="n">
        <v>45531</v>
      </c>
      <c r="C3668" s="1" t="n">
        <v>45672</v>
      </c>
      <c r="D3668" t="inlineStr">
        <is>
          <t>STOCKHOLMS LÄN</t>
        </is>
      </c>
      <c r="E3668" t="inlineStr">
        <is>
          <t>NORRTÄLJE</t>
        </is>
      </c>
      <c r="F3668" t="inlineStr">
        <is>
          <t>Holmen skog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35561-2024</t>
        </is>
      </c>
      <c r="B3669" s="1" t="n">
        <v>45531</v>
      </c>
      <c r="C3669" s="1" t="n">
        <v>45672</v>
      </c>
      <c r="D3669" t="inlineStr">
        <is>
          <t>STOCKHOLMS LÄN</t>
        </is>
      </c>
      <c r="E3669" t="inlineStr">
        <is>
          <t>VÄRMDÖ</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35565-2024</t>
        </is>
      </c>
      <c r="B3670" s="1" t="n">
        <v>45531</v>
      </c>
      <c r="C3670" s="1" t="n">
        <v>45672</v>
      </c>
      <c r="D3670" t="inlineStr">
        <is>
          <t>STOCKHOLMS LÄN</t>
        </is>
      </c>
      <c r="E3670" t="inlineStr">
        <is>
          <t>VÄRMDÖ</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35640-2024</t>
        </is>
      </c>
      <c r="B3671" s="1" t="n">
        <v>45531</v>
      </c>
      <c r="C3671" s="1" t="n">
        <v>45672</v>
      </c>
      <c r="D3671" t="inlineStr">
        <is>
          <t>STOCKHOLMS LÄN</t>
        </is>
      </c>
      <c r="E3671" t="inlineStr">
        <is>
          <t>NORRTÄLJE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35719-2024</t>
        </is>
      </c>
      <c r="B3672" s="1" t="n">
        <v>45532</v>
      </c>
      <c r="C3672" s="1" t="n">
        <v>45672</v>
      </c>
      <c r="D3672" t="inlineStr">
        <is>
          <t>STOCKHOLMS LÄN</t>
        </is>
      </c>
      <c r="E3672" t="inlineStr">
        <is>
          <t>NORRTÄLJE</t>
        </is>
      </c>
      <c r="F3672" t="inlineStr">
        <is>
          <t>Holmen skog AB</t>
        </is>
      </c>
      <c r="G3672" t="n">
        <v>15.2</v>
      </c>
      <c r="H3672" t="n">
        <v>0</v>
      </c>
      <c r="I3672" t="n">
        <v>0</v>
      </c>
      <c r="J3672" t="n">
        <v>0</v>
      </c>
      <c r="K3672" t="n">
        <v>0</v>
      </c>
      <c r="L3672" t="n">
        <v>0</v>
      </c>
      <c r="M3672" t="n">
        <v>0</v>
      </c>
      <c r="N3672" t="n">
        <v>0</v>
      </c>
      <c r="O3672" t="n">
        <v>0</v>
      </c>
      <c r="P3672" t="n">
        <v>0</v>
      </c>
      <c r="Q3672" t="n">
        <v>0</v>
      </c>
      <c r="R3672" s="2" t="inlineStr"/>
    </row>
    <row r="3673" ht="15" customHeight="1">
      <c r="A3673" t="inlineStr">
        <is>
          <t>A 35782-2024</t>
        </is>
      </c>
      <c r="B3673" s="1" t="n">
        <v>45532</v>
      </c>
      <c r="C3673" s="1" t="n">
        <v>45672</v>
      </c>
      <c r="D3673" t="inlineStr">
        <is>
          <t>STOCKHOLMS LÄN</t>
        </is>
      </c>
      <c r="E3673" t="inlineStr">
        <is>
          <t>NORRTÄLJE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35647-2024</t>
        </is>
      </c>
      <c r="B3674" s="1" t="n">
        <v>45532</v>
      </c>
      <c r="C3674" s="1" t="n">
        <v>45672</v>
      </c>
      <c r="D3674" t="inlineStr">
        <is>
          <t>STOCKHOLMS LÄN</t>
        </is>
      </c>
      <c r="E3674" t="inlineStr">
        <is>
          <t>NORRTÄLJE</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35916-2024</t>
        </is>
      </c>
      <c r="B3675" s="1" t="n">
        <v>45533</v>
      </c>
      <c r="C3675" s="1" t="n">
        <v>45672</v>
      </c>
      <c r="D3675" t="inlineStr">
        <is>
          <t>STOCKHOLMS LÄN</t>
        </is>
      </c>
      <c r="E3675" t="inlineStr">
        <is>
          <t>NORRTÄLJE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35966-2024</t>
        </is>
      </c>
      <c r="B3676" s="1" t="n">
        <v>45533</v>
      </c>
      <c r="C3676" s="1" t="n">
        <v>45672</v>
      </c>
      <c r="D3676" t="inlineStr">
        <is>
          <t>STOCKHOLMS LÄN</t>
        </is>
      </c>
      <c r="E3676" t="inlineStr">
        <is>
          <t>SIGTUNA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35958-2024</t>
        </is>
      </c>
      <c r="B3677" s="1" t="n">
        <v>45533</v>
      </c>
      <c r="C3677" s="1" t="n">
        <v>45672</v>
      </c>
      <c r="D3677" t="inlineStr">
        <is>
          <t>STOCKHOLMS LÄN</t>
        </is>
      </c>
      <c r="E3677" t="inlineStr">
        <is>
          <t>SIGTUNA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35961-2024</t>
        </is>
      </c>
      <c r="B3678" s="1" t="n">
        <v>45533</v>
      </c>
      <c r="C3678" s="1" t="n">
        <v>45672</v>
      </c>
      <c r="D3678" t="inlineStr">
        <is>
          <t>STOCKHOLMS LÄN</t>
        </is>
      </c>
      <c r="E3678" t="inlineStr">
        <is>
          <t>SIGTUNA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36157-2024</t>
        </is>
      </c>
      <c r="B3679" s="1" t="n">
        <v>45534</v>
      </c>
      <c r="C3679" s="1" t="n">
        <v>45672</v>
      </c>
      <c r="D3679" t="inlineStr">
        <is>
          <t>STOCKHOLMS LÄN</t>
        </is>
      </c>
      <c r="E3679" t="inlineStr">
        <is>
          <t>NORRTÄLJE</t>
        </is>
      </c>
      <c r="F3679" t="inlineStr">
        <is>
          <t>Övriga Aktiebolag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36195-2024</t>
        </is>
      </c>
      <c r="B3680" s="1" t="n">
        <v>45534</v>
      </c>
      <c r="C3680" s="1" t="n">
        <v>45672</v>
      </c>
      <c r="D3680" t="inlineStr">
        <is>
          <t>STOCKHOLMS LÄN</t>
        </is>
      </c>
      <c r="E3680" t="inlineStr">
        <is>
          <t>SIGTUNA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36207-2024</t>
        </is>
      </c>
      <c r="B3681" s="1" t="n">
        <v>45534</v>
      </c>
      <c r="C3681" s="1" t="n">
        <v>45672</v>
      </c>
      <c r="D3681" t="inlineStr">
        <is>
          <t>STOCKHOLMS LÄN</t>
        </is>
      </c>
      <c r="E3681" t="inlineStr">
        <is>
          <t>SIGTUNA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36140-2024</t>
        </is>
      </c>
      <c r="B3682" s="1" t="n">
        <v>45534</v>
      </c>
      <c r="C3682" s="1" t="n">
        <v>45672</v>
      </c>
      <c r="D3682" t="inlineStr">
        <is>
          <t>STOCKHOLMS LÄN</t>
        </is>
      </c>
      <c r="E3682" t="inlineStr">
        <is>
          <t>VÄRMDÖ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36430-2024</t>
        </is>
      </c>
      <c r="B3683" s="1" t="n">
        <v>45536</v>
      </c>
      <c r="C3683" s="1" t="n">
        <v>45672</v>
      </c>
      <c r="D3683" t="inlineStr">
        <is>
          <t>STOCKHOLMS LÄN</t>
        </is>
      </c>
      <c r="E3683" t="inlineStr">
        <is>
          <t>NORRTÄLJE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36556-2024</t>
        </is>
      </c>
      <c r="B3684" s="1" t="n">
        <v>45537</v>
      </c>
      <c r="C3684" s="1" t="n">
        <v>45672</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36625-2024</t>
        </is>
      </c>
      <c r="B3685" s="1" t="n">
        <v>45537</v>
      </c>
      <c r="C3685" s="1" t="n">
        <v>45672</v>
      </c>
      <c r="D3685" t="inlineStr">
        <is>
          <t>STOCKHOLMS LÄN</t>
        </is>
      </c>
      <c r="E3685" t="inlineStr">
        <is>
          <t>NORRTÄLJE</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36821-2024</t>
        </is>
      </c>
      <c r="B3686" s="1" t="n">
        <v>45538</v>
      </c>
      <c r="C3686" s="1" t="n">
        <v>45672</v>
      </c>
      <c r="D3686" t="inlineStr">
        <is>
          <t>STOCKHOLMS LÄN</t>
        </is>
      </c>
      <c r="E3686" t="inlineStr">
        <is>
          <t>NYKVARN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36818-2024</t>
        </is>
      </c>
      <c r="B3687" s="1" t="n">
        <v>45538</v>
      </c>
      <c r="C3687" s="1" t="n">
        <v>45672</v>
      </c>
      <c r="D3687" t="inlineStr">
        <is>
          <t>STOCKHOLMS LÄN</t>
        </is>
      </c>
      <c r="E3687" t="inlineStr">
        <is>
          <t>NYKVARN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36957-2024</t>
        </is>
      </c>
      <c r="B3688" s="1" t="n">
        <v>45538</v>
      </c>
      <c r="C3688" s="1" t="n">
        <v>45672</v>
      </c>
      <c r="D3688" t="inlineStr">
        <is>
          <t>STOCKHOLMS LÄN</t>
        </is>
      </c>
      <c r="E3688" t="inlineStr">
        <is>
          <t>NYKVARN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37030-2024</t>
        </is>
      </c>
      <c r="B3689" s="1" t="n">
        <v>45539</v>
      </c>
      <c r="C3689" s="1" t="n">
        <v>45672</v>
      </c>
      <c r="D3689" t="inlineStr">
        <is>
          <t>STOCKHOLMS LÄN</t>
        </is>
      </c>
      <c r="E3689" t="inlineStr">
        <is>
          <t>UPPLANDS-BRO</t>
        </is>
      </c>
      <c r="F3689" t="inlineStr">
        <is>
          <t>Övriga statliga verk och myndigheter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37037-2024</t>
        </is>
      </c>
      <c r="B3690" s="1" t="n">
        <v>45539</v>
      </c>
      <c r="C3690" s="1" t="n">
        <v>45672</v>
      </c>
      <c r="D3690" t="inlineStr">
        <is>
          <t>STOCKHOLMS LÄN</t>
        </is>
      </c>
      <c r="E3690" t="inlineStr">
        <is>
          <t>UPPLANDS-BRO</t>
        </is>
      </c>
      <c r="F3690" t="inlineStr">
        <is>
          <t>Övriga statliga verk och myndigheter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37244-2024</t>
        </is>
      </c>
      <c r="B3691" s="1" t="n">
        <v>45540</v>
      </c>
      <c r="C3691" s="1" t="n">
        <v>45672</v>
      </c>
      <c r="D3691" t="inlineStr">
        <is>
          <t>STOCKHOLMS LÄN</t>
        </is>
      </c>
      <c r="E3691" t="inlineStr">
        <is>
          <t>ÖSTERÅKER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37273-2024</t>
        </is>
      </c>
      <c r="B3692" s="1" t="n">
        <v>45540</v>
      </c>
      <c r="C3692" s="1" t="n">
        <v>45672</v>
      </c>
      <c r="D3692" t="inlineStr">
        <is>
          <t>STOCKHOLMS LÄN</t>
        </is>
      </c>
      <c r="E3692" t="inlineStr">
        <is>
          <t>NORRTÄLJE</t>
        </is>
      </c>
      <c r="F3692" t="inlineStr">
        <is>
          <t>Sveaskog</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37388-2024</t>
        </is>
      </c>
      <c r="B3693" s="1" t="n">
        <v>45540</v>
      </c>
      <c r="C3693" s="1" t="n">
        <v>45672</v>
      </c>
      <c r="D3693" t="inlineStr">
        <is>
          <t>STOCKHOLMS LÄN</t>
        </is>
      </c>
      <c r="E3693" t="inlineStr">
        <is>
          <t>SIGTUNA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37392-2024</t>
        </is>
      </c>
      <c r="B3694" s="1" t="n">
        <v>45540</v>
      </c>
      <c r="C3694" s="1" t="n">
        <v>45672</v>
      </c>
      <c r="D3694" t="inlineStr">
        <is>
          <t>STOCKHOLMS LÄN</t>
        </is>
      </c>
      <c r="E3694" t="inlineStr">
        <is>
          <t>SIGTUNA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37396-2024</t>
        </is>
      </c>
      <c r="B3695" s="1" t="n">
        <v>45540</v>
      </c>
      <c r="C3695" s="1" t="n">
        <v>45672</v>
      </c>
      <c r="D3695" t="inlineStr">
        <is>
          <t>STOCKHOLMS LÄN</t>
        </is>
      </c>
      <c r="E3695" t="inlineStr">
        <is>
          <t>SIGTUNA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37398-2024</t>
        </is>
      </c>
      <c r="B3696" s="1" t="n">
        <v>45540</v>
      </c>
      <c r="C3696" s="1" t="n">
        <v>45672</v>
      </c>
      <c r="D3696" t="inlineStr">
        <is>
          <t>STOCKHOLMS LÄN</t>
        </is>
      </c>
      <c r="E3696" t="inlineStr">
        <is>
          <t>SIGTUNA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37385-2024</t>
        </is>
      </c>
      <c r="B3697" s="1" t="n">
        <v>45540</v>
      </c>
      <c r="C3697" s="1" t="n">
        <v>45672</v>
      </c>
      <c r="D3697" t="inlineStr">
        <is>
          <t>STOCKHOLMS LÄN</t>
        </is>
      </c>
      <c r="E3697" t="inlineStr">
        <is>
          <t>SIGTUNA</t>
        </is>
      </c>
      <c r="G3697" t="n">
        <v>5</v>
      </c>
      <c r="H3697" t="n">
        <v>0</v>
      </c>
      <c r="I3697" t="n">
        <v>0</v>
      </c>
      <c r="J3697" t="n">
        <v>0</v>
      </c>
      <c r="K3697" t="n">
        <v>0</v>
      </c>
      <c r="L3697" t="n">
        <v>0</v>
      </c>
      <c r="M3697" t="n">
        <v>0</v>
      </c>
      <c r="N3697" t="n">
        <v>0</v>
      </c>
      <c r="O3697" t="n">
        <v>0</v>
      </c>
      <c r="P3697" t="n">
        <v>0</v>
      </c>
      <c r="Q3697" t="n">
        <v>0</v>
      </c>
      <c r="R3697" s="2" t="inlineStr"/>
      <c r="U3697">
        <f>HYPERLINK("https://klasma.github.io/Logging_0191/knärot/A 37385-2024 karta knärot.png", "A 37385-2024")</f>
        <v/>
      </c>
      <c r="V3697">
        <f>HYPERLINK("https://klasma.github.io/Logging_0191/klagomål/A 37385-2024 FSC-klagomål.docx", "A 37385-2024")</f>
        <v/>
      </c>
      <c r="W3697">
        <f>HYPERLINK("https://klasma.github.io/Logging_0191/klagomålsmail/A 37385-2024 FSC-klagomål mail.docx", "A 37385-2024")</f>
        <v/>
      </c>
      <c r="X3697">
        <f>HYPERLINK("https://klasma.github.io/Logging_0191/tillsyn/A 37385-2024 tillsynsbegäran.docx", "A 37385-2024")</f>
        <v/>
      </c>
      <c r="Y3697">
        <f>HYPERLINK("https://klasma.github.io/Logging_0191/tillsynsmail/A 37385-2024 tillsynsbegäran mail.docx", "A 37385-2024")</f>
        <v/>
      </c>
    </row>
    <row r="3698" ht="15" customHeight="1">
      <c r="A3698" t="inlineStr">
        <is>
          <t>A 37452-2024</t>
        </is>
      </c>
      <c r="B3698" s="1" t="n">
        <v>45540</v>
      </c>
      <c r="C3698" s="1" t="n">
        <v>45672</v>
      </c>
      <c r="D3698" t="inlineStr">
        <is>
          <t>STOCKHOLMS LÄN</t>
        </is>
      </c>
      <c r="E3698" t="inlineStr">
        <is>
          <t>SÖDERTÄLJE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37511-2024</t>
        </is>
      </c>
      <c r="B3699" s="1" t="n">
        <v>45541</v>
      </c>
      <c r="C3699" s="1" t="n">
        <v>45672</v>
      </c>
      <c r="D3699" t="inlineStr">
        <is>
          <t>STOCKHOLMS LÄN</t>
        </is>
      </c>
      <c r="E3699" t="inlineStr">
        <is>
          <t>SÖDERTÄLJE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37536-2024</t>
        </is>
      </c>
      <c r="B3700" s="1" t="n">
        <v>45541</v>
      </c>
      <c r="C3700" s="1" t="n">
        <v>45672</v>
      </c>
      <c r="D3700" t="inlineStr">
        <is>
          <t>STOCKHOLMS LÄN</t>
        </is>
      </c>
      <c r="E3700" t="inlineStr">
        <is>
          <t>SÖDERTÄLJE</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37597-2024</t>
        </is>
      </c>
      <c r="B3701" s="1" t="n">
        <v>45541</v>
      </c>
      <c r="C3701" s="1" t="n">
        <v>45672</v>
      </c>
      <c r="D3701" t="inlineStr">
        <is>
          <t>STOCKHOLMS LÄN</t>
        </is>
      </c>
      <c r="E3701" t="inlineStr">
        <is>
          <t>NYKVARN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37601-2024</t>
        </is>
      </c>
      <c r="B3702" s="1" t="n">
        <v>45541</v>
      </c>
      <c r="C3702" s="1" t="n">
        <v>45672</v>
      </c>
      <c r="D3702" t="inlineStr">
        <is>
          <t>STOCKHOLMS LÄN</t>
        </is>
      </c>
      <c r="E3702" t="inlineStr">
        <is>
          <t>NYKVARN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37504-2024</t>
        </is>
      </c>
      <c r="B3703" s="1" t="n">
        <v>45541</v>
      </c>
      <c r="C3703" s="1" t="n">
        <v>45672</v>
      </c>
      <c r="D3703" t="inlineStr">
        <is>
          <t>STOCKHOLMS LÄN</t>
        </is>
      </c>
      <c r="E3703" t="inlineStr">
        <is>
          <t>SÖDERTÄLJE</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37663-2024</t>
        </is>
      </c>
      <c r="B3704" s="1" t="n">
        <v>45541</v>
      </c>
      <c r="C3704" s="1" t="n">
        <v>45672</v>
      </c>
      <c r="D3704" t="inlineStr">
        <is>
          <t>STOCKHOLMS LÄN</t>
        </is>
      </c>
      <c r="E3704" t="inlineStr">
        <is>
          <t>NORRTÄLJE</t>
        </is>
      </c>
      <c r="F3704" t="inlineStr">
        <is>
          <t>Holmen skog AB</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37684-2024</t>
        </is>
      </c>
      <c r="B3705" s="1" t="n">
        <v>45541</v>
      </c>
      <c r="C3705" s="1" t="n">
        <v>45672</v>
      </c>
      <c r="D3705" t="inlineStr">
        <is>
          <t>STOCKHOLMS LÄN</t>
        </is>
      </c>
      <c r="E3705" t="inlineStr">
        <is>
          <t>NORRTÄLJE</t>
        </is>
      </c>
      <c r="F3705" t="inlineStr">
        <is>
          <t>Holmen skog AB</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37927-2024</t>
        </is>
      </c>
      <c r="B3706" s="1" t="n">
        <v>45544</v>
      </c>
      <c r="C3706" s="1" t="n">
        <v>45672</v>
      </c>
      <c r="D3706" t="inlineStr">
        <is>
          <t>STOCKHOLMS LÄN</t>
        </is>
      </c>
      <c r="E3706" t="inlineStr">
        <is>
          <t>VALLENTUNA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37980-2024</t>
        </is>
      </c>
      <c r="B3707" s="1" t="n">
        <v>45544</v>
      </c>
      <c r="C3707" s="1" t="n">
        <v>45672</v>
      </c>
      <c r="D3707" t="inlineStr">
        <is>
          <t>STOCKHOLMS LÄN</t>
        </is>
      </c>
      <c r="E3707" t="inlineStr">
        <is>
          <t>NORRTÄLJE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38073-2024</t>
        </is>
      </c>
      <c r="B3708" s="1" t="n">
        <v>45544</v>
      </c>
      <c r="C3708" s="1" t="n">
        <v>45672</v>
      </c>
      <c r="D3708" t="inlineStr">
        <is>
          <t>STOCKHOLMS LÄN</t>
        </is>
      </c>
      <c r="E3708" t="inlineStr">
        <is>
          <t>NORRTÄLJE</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38102-2024</t>
        </is>
      </c>
      <c r="B3709" s="1" t="n">
        <v>45545</v>
      </c>
      <c r="C3709" s="1" t="n">
        <v>45672</v>
      </c>
      <c r="D3709" t="inlineStr">
        <is>
          <t>STOCKHOLMS LÄN</t>
        </is>
      </c>
      <c r="E3709" t="inlineStr">
        <is>
          <t>VALLENTUNA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38878-2024</t>
        </is>
      </c>
      <c r="B3710" s="1" t="n">
        <v>45547</v>
      </c>
      <c r="C3710" s="1" t="n">
        <v>45672</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38889-2024</t>
        </is>
      </c>
      <c r="B3711" s="1" t="n">
        <v>45547</v>
      </c>
      <c r="C3711" s="1" t="n">
        <v>45672</v>
      </c>
      <c r="D3711" t="inlineStr">
        <is>
          <t>STOCKHOLMS LÄN</t>
        </is>
      </c>
      <c r="E3711" t="inlineStr">
        <is>
          <t>NORRTÄLJE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38905-2024</t>
        </is>
      </c>
      <c r="B3712" s="1" t="n">
        <v>45547</v>
      </c>
      <c r="C3712" s="1" t="n">
        <v>45672</v>
      </c>
      <c r="D3712" t="inlineStr">
        <is>
          <t>STOCKHOLMS LÄN</t>
        </is>
      </c>
      <c r="E3712" t="inlineStr">
        <is>
          <t>UPPLANDS-BRO</t>
        </is>
      </c>
      <c r="F3712" t="inlineStr">
        <is>
          <t>Övriga statliga verk och myndigheter</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38902-2024</t>
        </is>
      </c>
      <c r="B3713" s="1" t="n">
        <v>45547</v>
      </c>
      <c r="C3713" s="1" t="n">
        <v>45672</v>
      </c>
      <c r="D3713" t="inlineStr">
        <is>
          <t>STOCKHOLMS LÄN</t>
        </is>
      </c>
      <c r="E3713" t="inlineStr">
        <is>
          <t>UPPLANDS-BRO</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39203-2024</t>
        </is>
      </c>
      <c r="B3714" s="1" t="n">
        <v>45548</v>
      </c>
      <c r="C3714" s="1" t="n">
        <v>45672</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39202-2024</t>
        </is>
      </c>
      <c r="B3715" s="1" t="n">
        <v>45548</v>
      </c>
      <c r="C3715" s="1" t="n">
        <v>45672</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39238-2024</t>
        </is>
      </c>
      <c r="B3716" s="1" t="n">
        <v>45549</v>
      </c>
      <c r="C3716" s="1" t="n">
        <v>45672</v>
      </c>
      <c r="D3716" t="inlineStr">
        <is>
          <t>STOCKHOLMS LÄN</t>
        </is>
      </c>
      <c r="E3716" t="inlineStr">
        <is>
          <t>NORRTÄLJE</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39237-2024</t>
        </is>
      </c>
      <c r="B3717" s="1" t="n">
        <v>45549</v>
      </c>
      <c r="C3717" s="1" t="n">
        <v>45672</v>
      </c>
      <c r="D3717" t="inlineStr">
        <is>
          <t>STOCKHOLMS LÄN</t>
        </is>
      </c>
      <c r="E3717" t="inlineStr">
        <is>
          <t>NORRTÄLJE</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39425-2024</t>
        </is>
      </c>
      <c r="B3718" s="1" t="n">
        <v>45551</v>
      </c>
      <c r="C3718" s="1" t="n">
        <v>45672</v>
      </c>
      <c r="D3718" t="inlineStr">
        <is>
          <t>STOCKHOLMS LÄN</t>
        </is>
      </c>
      <c r="E3718" t="inlineStr">
        <is>
          <t>NYNÄSHAMN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39669-2024</t>
        </is>
      </c>
      <c r="B3719" s="1" t="n">
        <v>45552</v>
      </c>
      <c r="C3719" s="1" t="n">
        <v>45672</v>
      </c>
      <c r="D3719" t="inlineStr">
        <is>
          <t>STOCKHOLMS LÄN</t>
        </is>
      </c>
      <c r="E3719" t="inlineStr">
        <is>
          <t>NORRTÄLJE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39667-2024</t>
        </is>
      </c>
      <c r="B3720" s="1" t="n">
        <v>45552</v>
      </c>
      <c r="C3720" s="1" t="n">
        <v>45672</v>
      </c>
      <c r="D3720" t="inlineStr">
        <is>
          <t>STOCKHOLMS LÄN</t>
        </is>
      </c>
      <c r="E3720" t="inlineStr">
        <is>
          <t>NORRTÄLJE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39876-2024</t>
        </is>
      </c>
      <c r="B3721" s="1" t="n">
        <v>45553</v>
      </c>
      <c r="C3721" s="1" t="n">
        <v>45672</v>
      </c>
      <c r="D3721" t="inlineStr">
        <is>
          <t>STOCKHOLMS LÄN</t>
        </is>
      </c>
      <c r="E3721" t="inlineStr">
        <is>
          <t>VAXHOLM</t>
        </is>
      </c>
      <c r="F3721" t="inlineStr">
        <is>
          <t>Övriga statliga verk och myndigheter</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39958-2024</t>
        </is>
      </c>
      <c r="B3722" s="1" t="n">
        <v>45553</v>
      </c>
      <c r="C3722" s="1" t="n">
        <v>45672</v>
      </c>
      <c r="D3722" t="inlineStr">
        <is>
          <t>STOCKHOLMS LÄN</t>
        </is>
      </c>
      <c r="E3722" t="inlineStr">
        <is>
          <t>VAXHOLM</t>
        </is>
      </c>
      <c r="F3722" t="inlineStr">
        <is>
          <t>Övriga statliga verk och myndigheter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39913-2024</t>
        </is>
      </c>
      <c r="B3723" s="1" t="n">
        <v>45553</v>
      </c>
      <c r="C3723" s="1" t="n">
        <v>45672</v>
      </c>
      <c r="D3723" t="inlineStr">
        <is>
          <t>STOCKHOLMS LÄN</t>
        </is>
      </c>
      <c r="E3723" t="inlineStr">
        <is>
          <t>NORRTÄLJE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40031-2024</t>
        </is>
      </c>
      <c r="B3724" s="1" t="n">
        <v>45553</v>
      </c>
      <c r="C3724" s="1" t="n">
        <v>45672</v>
      </c>
      <c r="D3724" t="inlineStr">
        <is>
          <t>STOCKHOLMS LÄN</t>
        </is>
      </c>
      <c r="E3724" t="inlineStr">
        <is>
          <t>VAXHOLM</t>
        </is>
      </c>
      <c r="F3724" t="inlineStr">
        <is>
          <t>Övriga statliga verk och myndigheter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40175-2024</t>
        </is>
      </c>
      <c r="B3725" s="1" t="n">
        <v>45554</v>
      </c>
      <c r="C3725" s="1" t="n">
        <v>45672</v>
      </c>
      <c r="D3725" t="inlineStr">
        <is>
          <t>STOCKHOLMS LÄN</t>
        </is>
      </c>
      <c r="E3725" t="inlineStr">
        <is>
          <t>NORRTÄLJE</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40517-2024</t>
        </is>
      </c>
      <c r="B3726" s="1" t="n">
        <v>45555</v>
      </c>
      <c r="C3726" s="1" t="n">
        <v>45672</v>
      </c>
      <c r="D3726" t="inlineStr">
        <is>
          <t>STOCKHOLMS LÄN</t>
        </is>
      </c>
      <c r="E3726" t="inlineStr">
        <is>
          <t>VAXHOLM</t>
        </is>
      </c>
      <c r="F3726" t="inlineStr">
        <is>
          <t>Övriga statliga verk och myndigheter</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40483-2024</t>
        </is>
      </c>
      <c r="B3727" s="1" t="n">
        <v>45555</v>
      </c>
      <c r="C3727" s="1" t="n">
        <v>45672</v>
      </c>
      <c r="D3727" t="inlineStr">
        <is>
          <t>STOCKHOLMS LÄN</t>
        </is>
      </c>
      <c r="E3727" t="inlineStr">
        <is>
          <t>NYNÄSHAMN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40643-2024</t>
        </is>
      </c>
      <c r="B3728" s="1" t="n">
        <v>45558</v>
      </c>
      <c r="C3728" s="1" t="n">
        <v>45672</v>
      </c>
      <c r="D3728" t="inlineStr">
        <is>
          <t>STOCKHOLMS LÄN</t>
        </is>
      </c>
      <c r="E3728" t="inlineStr">
        <is>
          <t>SIGTUNA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40761-2024</t>
        </is>
      </c>
      <c r="B3729" s="1" t="n">
        <v>45558</v>
      </c>
      <c r="C3729" s="1" t="n">
        <v>45672</v>
      </c>
      <c r="D3729" t="inlineStr">
        <is>
          <t>STOCKHOLMS LÄN</t>
        </is>
      </c>
      <c r="E3729" t="inlineStr">
        <is>
          <t>NORRTÄLJE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40895-2024</t>
        </is>
      </c>
      <c r="B3730" s="1" t="n">
        <v>45558</v>
      </c>
      <c r="C3730" s="1" t="n">
        <v>45672</v>
      </c>
      <c r="D3730" t="inlineStr">
        <is>
          <t>STOCKHOLMS LÄN</t>
        </is>
      </c>
      <c r="E3730" t="inlineStr">
        <is>
          <t>NYNÄSHAMN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41219-2024</t>
        </is>
      </c>
      <c r="B3731" s="1" t="n">
        <v>45559</v>
      </c>
      <c r="C3731" s="1" t="n">
        <v>45672</v>
      </c>
      <c r="D3731" t="inlineStr">
        <is>
          <t>STOCKHOLMS LÄN</t>
        </is>
      </c>
      <c r="E3731" t="inlineStr">
        <is>
          <t>NORRTÄLJE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41218-2024</t>
        </is>
      </c>
      <c r="B3732" s="1" t="n">
        <v>45559</v>
      </c>
      <c r="C3732" s="1" t="n">
        <v>45672</v>
      </c>
      <c r="D3732" t="inlineStr">
        <is>
          <t>STOCKHOLMS LÄN</t>
        </is>
      </c>
      <c r="E3732" t="inlineStr">
        <is>
          <t>NORRTÄLJE</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41243-2024</t>
        </is>
      </c>
      <c r="B3733" s="1" t="n">
        <v>45559</v>
      </c>
      <c r="C3733" s="1" t="n">
        <v>45672</v>
      </c>
      <c r="D3733" t="inlineStr">
        <is>
          <t>STOCKHOLMS LÄN</t>
        </is>
      </c>
      <c r="E3733" t="inlineStr">
        <is>
          <t>NORRTÄLJE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41253-2024</t>
        </is>
      </c>
      <c r="B3734" s="1" t="n">
        <v>45559</v>
      </c>
      <c r="C3734" s="1" t="n">
        <v>45672</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41310-2024</t>
        </is>
      </c>
      <c r="B3735" s="1" t="n">
        <v>45559</v>
      </c>
      <c r="C3735" s="1" t="n">
        <v>45672</v>
      </c>
      <c r="D3735" t="inlineStr">
        <is>
          <t>STOCKHOLMS LÄN</t>
        </is>
      </c>
      <c r="E3735" t="inlineStr">
        <is>
          <t>NORRTÄLJE</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41342-2024</t>
        </is>
      </c>
      <c r="B3736" s="1" t="n">
        <v>45559</v>
      </c>
      <c r="C3736" s="1" t="n">
        <v>45672</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41767-2024</t>
        </is>
      </c>
      <c r="B3737" s="1" t="n">
        <v>45561</v>
      </c>
      <c r="C3737" s="1" t="n">
        <v>45672</v>
      </c>
      <c r="D3737" t="inlineStr">
        <is>
          <t>STOCKHOLMS LÄN</t>
        </is>
      </c>
      <c r="E3737" t="inlineStr">
        <is>
          <t>NYNÄSHAMN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41976-2024</t>
        </is>
      </c>
      <c r="B3738" s="1" t="n">
        <v>45561</v>
      </c>
      <c r="C3738" s="1" t="n">
        <v>45672</v>
      </c>
      <c r="D3738" t="inlineStr">
        <is>
          <t>STOCKHOLMS LÄN</t>
        </is>
      </c>
      <c r="E3738" t="inlineStr">
        <is>
          <t>NORRTÄLJE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42339-2024</t>
        </is>
      </c>
      <c r="B3739" s="1" t="n">
        <v>45562</v>
      </c>
      <c r="C3739" s="1" t="n">
        <v>45672</v>
      </c>
      <c r="D3739" t="inlineStr">
        <is>
          <t>STOCKHOLMS LÄN</t>
        </is>
      </c>
      <c r="E3739" t="inlineStr">
        <is>
          <t>SÖDERTÄLJE</t>
        </is>
      </c>
      <c r="F3739" t="inlineStr">
        <is>
          <t>Övriga statliga verk och myndigheter</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42337-2024</t>
        </is>
      </c>
      <c r="B3740" s="1" t="n">
        <v>45562</v>
      </c>
      <c r="C3740" s="1" t="n">
        <v>45672</v>
      </c>
      <c r="D3740" t="inlineStr">
        <is>
          <t>STOCKHOLMS LÄN</t>
        </is>
      </c>
      <c r="E3740" t="inlineStr">
        <is>
          <t>SÖDERTÄLJE</t>
        </is>
      </c>
      <c r="F3740" t="inlineStr">
        <is>
          <t>Övriga statliga verk och myndigheter</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42572-2024</t>
        </is>
      </c>
      <c r="B3741" s="1" t="n">
        <v>45565</v>
      </c>
      <c r="C3741" s="1" t="n">
        <v>45672</v>
      </c>
      <c r="D3741" t="inlineStr">
        <is>
          <t>STOCKHOLMS LÄN</t>
        </is>
      </c>
      <c r="E3741" t="inlineStr">
        <is>
          <t>SIGTUNA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42569-2024</t>
        </is>
      </c>
      <c r="B3742" s="1" t="n">
        <v>45565</v>
      </c>
      <c r="C3742" s="1" t="n">
        <v>45672</v>
      </c>
      <c r="D3742" t="inlineStr">
        <is>
          <t>STOCKHOLMS LÄN</t>
        </is>
      </c>
      <c r="E3742" t="inlineStr">
        <is>
          <t>SIGTUNA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42567-2024</t>
        </is>
      </c>
      <c r="B3743" s="1" t="n">
        <v>45565</v>
      </c>
      <c r="C3743" s="1" t="n">
        <v>45672</v>
      </c>
      <c r="D3743" t="inlineStr">
        <is>
          <t>STOCKHOLMS LÄN</t>
        </is>
      </c>
      <c r="E3743" t="inlineStr">
        <is>
          <t>SIGTUNA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42563-2024</t>
        </is>
      </c>
      <c r="B3744" s="1" t="n">
        <v>45565</v>
      </c>
      <c r="C3744" s="1" t="n">
        <v>45672</v>
      </c>
      <c r="D3744" t="inlineStr">
        <is>
          <t>STOCKHOLMS LÄN</t>
        </is>
      </c>
      <c r="E3744" t="inlineStr">
        <is>
          <t>SIGTUNA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42772-2024</t>
        </is>
      </c>
      <c r="B3745" s="1" t="n">
        <v>45566</v>
      </c>
      <c r="C3745" s="1" t="n">
        <v>45672</v>
      </c>
      <c r="D3745" t="inlineStr">
        <is>
          <t>STOCKHOLMS LÄN</t>
        </is>
      </c>
      <c r="E3745" t="inlineStr">
        <is>
          <t>SIGTUNA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43159-2024</t>
        </is>
      </c>
      <c r="B3746" s="1" t="n">
        <v>45567</v>
      </c>
      <c r="C3746" s="1" t="n">
        <v>45672</v>
      </c>
      <c r="D3746" t="inlineStr">
        <is>
          <t>STOCKHOLMS LÄN</t>
        </is>
      </c>
      <c r="E3746" t="inlineStr">
        <is>
          <t>SIGTUNA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43158-2024</t>
        </is>
      </c>
      <c r="B3747" s="1" t="n">
        <v>45567</v>
      </c>
      <c r="C3747" s="1" t="n">
        <v>45672</v>
      </c>
      <c r="D3747" t="inlineStr">
        <is>
          <t>STOCKHOLMS LÄN</t>
        </is>
      </c>
      <c r="E3747" t="inlineStr">
        <is>
          <t>SIGTUNA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43152-2024</t>
        </is>
      </c>
      <c r="B3748" s="1" t="n">
        <v>45567</v>
      </c>
      <c r="C3748" s="1" t="n">
        <v>45672</v>
      </c>
      <c r="D3748" t="inlineStr">
        <is>
          <t>STOCKHOLMS LÄN</t>
        </is>
      </c>
      <c r="E3748" t="inlineStr">
        <is>
          <t>SIGTUNA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43742-2024</t>
        </is>
      </c>
      <c r="B3749" s="1" t="n">
        <v>45569</v>
      </c>
      <c r="C3749" s="1" t="n">
        <v>45672</v>
      </c>
      <c r="D3749" t="inlineStr">
        <is>
          <t>STOCKHOLMS LÄN</t>
        </is>
      </c>
      <c r="E3749" t="inlineStr">
        <is>
          <t>SALEM</t>
        </is>
      </c>
      <c r="F3749" t="inlineStr">
        <is>
          <t>Kommuner</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43817-2024</t>
        </is>
      </c>
      <c r="B3750" s="1" t="n">
        <v>45571</v>
      </c>
      <c r="C3750" s="1" t="n">
        <v>45672</v>
      </c>
      <c r="D3750" t="inlineStr">
        <is>
          <t>STOCKHOLMS LÄN</t>
        </is>
      </c>
      <c r="E3750" t="inlineStr">
        <is>
          <t>NYNÄSHAMN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44032-2024</t>
        </is>
      </c>
      <c r="B3751" s="1" t="n">
        <v>45572</v>
      </c>
      <c r="C3751" s="1" t="n">
        <v>45672</v>
      </c>
      <c r="D3751" t="inlineStr">
        <is>
          <t>STOCKHOLMS LÄN</t>
        </is>
      </c>
      <c r="E3751" t="inlineStr">
        <is>
          <t>NORRTÄLJE</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44205-2024</t>
        </is>
      </c>
      <c r="B3752" s="1" t="n">
        <v>45573</v>
      </c>
      <c r="C3752" s="1" t="n">
        <v>45672</v>
      </c>
      <c r="D3752" t="inlineStr">
        <is>
          <t>STOCKHOLMS LÄN</t>
        </is>
      </c>
      <c r="E3752" t="inlineStr">
        <is>
          <t>NYNÄSHAMN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44206-2024</t>
        </is>
      </c>
      <c r="B3753" s="1" t="n">
        <v>45573</v>
      </c>
      <c r="C3753" s="1" t="n">
        <v>45672</v>
      </c>
      <c r="D3753" t="inlineStr">
        <is>
          <t>STOCKHOLMS LÄN</t>
        </is>
      </c>
      <c r="E3753" t="inlineStr">
        <is>
          <t>NYNÄSHAMN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44776-2024</t>
        </is>
      </c>
      <c r="B3754" s="1" t="n">
        <v>45574</v>
      </c>
      <c r="C3754" s="1" t="n">
        <v>45672</v>
      </c>
      <c r="D3754" t="inlineStr">
        <is>
          <t>STOCKHOLMS LÄN</t>
        </is>
      </c>
      <c r="E3754" t="inlineStr">
        <is>
          <t>NORRTÄLJE</t>
        </is>
      </c>
      <c r="G3754" t="n">
        <v>12.6</v>
      </c>
      <c r="H3754" t="n">
        <v>0</v>
      </c>
      <c r="I3754" t="n">
        <v>0</v>
      </c>
      <c r="J3754" t="n">
        <v>0</v>
      </c>
      <c r="K3754" t="n">
        <v>0</v>
      </c>
      <c r="L3754" t="n">
        <v>0</v>
      </c>
      <c r="M3754" t="n">
        <v>0</v>
      </c>
      <c r="N3754" t="n">
        <v>0</v>
      </c>
      <c r="O3754" t="n">
        <v>0</v>
      </c>
      <c r="P3754" t="n">
        <v>0</v>
      </c>
      <c r="Q3754" t="n">
        <v>0</v>
      </c>
      <c r="R3754" s="2" t="inlineStr"/>
    </row>
    <row r="3755" ht="15" customHeight="1">
      <c r="A3755" t="inlineStr">
        <is>
          <t>A 44821-2024</t>
        </is>
      </c>
      <c r="B3755" s="1" t="n">
        <v>45574</v>
      </c>
      <c r="C3755" s="1" t="n">
        <v>45672</v>
      </c>
      <c r="D3755" t="inlineStr">
        <is>
          <t>STOCKHOLMS LÄN</t>
        </is>
      </c>
      <c r="E3755" t="inlineStr">
        <is>
          <t>NORRTÄLJE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45220-2024</t>
        </is>
      </c>
      <c r="B3756" s="1" t="n">
        <v>45575</v>
      </c>
      <c r="C3756" s="1" t="n">
        <v>45672</v>
      </c>
      <c r="D3756" t="inlineStr">
        <is>
          <t>STOCKHOLMS LÄN</t>
        </is>
      </c>
      <c r="E3756" t="inlineStr">
        <is>
          <t>NORRTÄLJE</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45219-2024</t>
        </is>
      </c>
      <c r="B3757" s="1" t="n">
        <v>45575</v>
      </c>
      <c r="C3757" s="1" t="n">
        <v>45672</v>
      </c>
      <c r="D3757" t="inlineStr">
        <is>
          <t>STOCKHOLMS LÄN</t>
        </is>
      </c>
      <c r="E3757" t="inlineStr">
        <is>
          <t>VALLENTUNA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45223-2024</t>
        </is>
      </c>
      <c r="B3758" s="1" t="n">
        <v>45575</v>
      </c>
      <c r="C3758" s="1" t="n">
        <v>45672</v>
      </c>
      <c r="D3758" t="inlineStr">
        <is>
          <t>STOCKHOLMS LÄN</t>
        </is>
      </c>
      <c r="E3758" t="inlineStr">
        <is>
          <t>VALLENTUNA</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45233-2024</t>
        </is>
      </c>
      <c r="B3759" s="1" t="n">
        <v>45575</v>
      </c>
      <c r="C3759" s="1" t="n">
        <v>45672</v>
      </c>
      <c r="D3759" t="inlineStr">
        <is>
          <t>STOCKHOLMS LÄN</t>
        </is>
      </c>
      <c r="E3759" t="inlineStr">
        <is>
          <t>SIGTUNA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45222-2024</t>
        </is>
      </c>
      <c r="B3760" s="1" t="n">
        <v>45575</v>
      </c>
      <c r="C3760" s="1" t="n">
        <v>45672</v>
      </c>
      <c r="D3760" t="inlineStr">
        <is>
          <t>STOCKHOLMS LÄN</t>
        </is>
      </c>
      <c r="E3760" t="inlineStr">
        <is>
          <t>VALLENTUNA</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45254-2024</t>
        </is>
      </c>
      <c r="B3761" s="1" t="n">
        <v>45576</v>
      </c>
      <c r="C3761" s="1" t="n">
        <v>45672</v>
      </c>
      <c r="D3761" t="inlineStr">
        <is>
          <t>STOCKHOLMS LÄN</t>
        </is>
      </c>
      <c r="E3761" t="inlineStr">
        <is>
          <t>NORRTÄLJE</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45451-2024</t>
        </is>
      </c>
      <c r="B3762" s="1" t="n">
        <v>45576</v>
      </c>
      <c r="C3762" s="1" t="n">
        <v>45672</v>
      </c>
      <c r="D3762" t="inlineStr">
        <is>
          <t>STOCKHOLMS LÄN</t>
        </is>
      </c>
      <c r="E3762" t="inlineStr">
        <is>
          <t>NORRTÄLJE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45247-2024</t>
        </is>
      </c>
      <c r="B3763" s="1" t="n">
        <v>45576</v>
      </c>
      <c r="C3763" s="1" t="n">
        <v>45672</v>
      </c>
      <c r="D3763" t="inlineStr">
        <is>
          <t>STOCKHOLMS LÄN</t>
        </is>
      </c>
      <c r="E3763" t="inlineStr">
        <is>
          <t>NORRTÄLJE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45739-2024</t>
        </is>
      </c>
      <c r="B3764" s="1" t="n">
        <v>45579</v>
      </c>
      <c r="C3764" s="1" t="n">
        <v>45672</v>
      </c>
      <c r="D3764" t="inlineStr">
        <is>
          <t>STOCKHOLMS LÄN</t>
        </is>
      </c>
      <c r="E3764" t="inlineStr">
        <is>
          <t>NORRTÄLJE</t>
        </is>
      </c>
      <c r="G3764" t="n">
        <v>21.9</v>
      </c>
      <c r="H3764" t="n">
        <v>0</v>
      </c>
      <c r="I3764" t="n">
        <v>0</v>
      </c>
      <c r="J3764" t="n">
        <v>0</v>
      </c>
      <c r="K3764" t="n">
        <v>0</v>
      </c>
      <c r="L3764" t="n">
        <v>0</v>
      </c>
      <c r="M3764" t="n">
        <v>0</v>
      </c>
      <c r="N3764" t="n">
        <v>0</v>
      </c>
      <c r="O3764" t="n">
        <v>0</v>
      </c>
      <c r="P3764" t="n">
        <v>0</v>
      </c>
      <c r="Q3764" t="n">
        <v>0</v>
      </c>
      <c r="R3764" s="2" t="inlineStr"/>
    </row>
    <row r="3765" ht="15" customHeight="1">
      <c r="A3765" t="inlineStr">
        <is>
          <t>A 45686-2024</t>
        </is>
      </c>
      <c r="B3765" s="1" t="n">
        <v>45579</v>
      </c>
      <c r="C3765" s="1" t="n">
        <v>45672</v>
      </c>
      <c r="D3765" t="inlineStr">
        <is>
          <t>STOCKHOLMS LÄN</t>
        </is>
      </c>
      <c r="E3765" t="inlineStr">
        <is>
          <t>VALLENTUNA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45817-2024</t>
        </is>
      </c>
      <c r="B3766" s="1" t="n">
        <v>45579</v>
      </c>
      <c r="C3766" s="1" t="n">
        <v>45672</v>
      </c>
      <c r="D3766" t="inlineStr">
        <is>
          <t>STOCKHOLMS LÄN</t>
        </is>
      </c>
      <c r="E3766" t="inlineStr">
        <is>
          <t>NYKVARN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45746-2024</t>
        </is>
      </c>
      <c r="B3767" s="1" t="n">
        <v>45579</v>
      </c>
      <c r="C3767" s="1" t="n">
        <v>45672</v>
      </c>
      <c r="D3767" t="inlineStr">
        <is>
          <t>STOCKHOLMS LÄN</t>
        </is>
      </c>
      <c r="E3767" t="inlineStr">
        <is>
          <t>NORRTÄLJE</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46073-2024</t>
        </is>
      </c>
      <c r="B3768" s="1" t="n">
        <v>45581</v>
      </c>
      <c r="C3768" s="1" t="n">
        <v>45672</v>
      </c>
      <c r="D3768" t="inlineStr">
        <is>
          <t>STOCKHOLMS LÄN</t>
        </is>
      </c>
      <c r="E3768" t="inlineStr">
        <is>
          <t>NORRTÄLJE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46326-2024</t>
        </is>
      </c>
      <c r="B3769" s="1" t="n">
        <v>45581</v>
      </c>
      <c r="C3769" s="1" t="n">
        <v>45672</v>
      </c>
      <c r="D3769" t="inlineStr">
        <is>
          <t>STOCKHOLMS LÄN</t>
        </is>
      </c>
      <c r="E3769" t="inlineStr">
        <is>
          <t>NORRTÄLJE</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46071-2024</t>
        </is>
      </c>
      <c r="B3770" s="1" t="n">
        <v>45581</v>
      </c>
      <c r="C3770" s="1" t="n">
        <v>45672</v>
      </c>
      <c r="D3770" t="inlineStr">
        <is>
          <t>STOCKHOLMS LÄN</t>
        </is>
      </c>
      <c r="E3770" t="inlineStr">
        <is>
          <t>NORRTÄLJE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46333-2024</t>
        </is>
      </c>
      <c r="B3771" s="1" t="n">
        <v>45581</v>
      </c>
      <c r="C3771" s="1" t="n">
        <v>45672</v>
      </c>
      <c r="D3771" t="inlineStr">
        <is>
          <t>STOCKHOLMS LÄN</t>
        </is>
      </c>
      <c r="E3771" t="inlineStr">
        <is>
          <t>NORRTÄLJE</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46448-2024</t>
        </is>
      </c>
      <c r="B3772" s="1" t="n">
        <v>45582</v>
      </c>
      <c r="C3772" s="1" t="n">
        <v>45672</v>
      </c>
      <c r="D3772" t="inlineStr">
        <is>
          <t>STOCKHOLMS LÄN</t>
        </is>
      </c>
      <c r="E3772" t="inlineStr">
        <is>
          <t>NORRTÄLJE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47258-2024</t>
        </is>
      </c>
      <c r="B3773" s="1" t="n">
        <v>45586</v>
      </c>
      <c r="C3773" s="1" t="n">
        <v>45672</v>
      </c>
      <c r="D3773" t="inlineStr">
        <is>
          <t>STOCKHOLMS LÄN</t>
        </is>
      </c>
      <c r="E3773" t="inlineStr">
        <is>
          <t>NYNÄSHAMN</t>
        </is>
      </c>
      <c r="F3773" t="inlineStr">
        <is>
          <t>Kyrkan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46988-2024</t>
        </is>
      </c>
      <c r="B3774" s="1" t="n">
        <v>45586</v>
      </c>
      <c r="C3774" s="1" t="n">
        <v>45672</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47140-2024</t>
        </is>
      </c>
      <c r="B3775" s="1" t="n">
        <v>45586</v>
      </c>
      <c r="C3775" s="1" t="n">
        <v>45672</v>
      </c>
      <c r="D3775" t="inlineStr">
        <is>
          <t>STOCKHOLMS LÄN</t>
        </is>
      </c>
      <c r="E3775" t="inlineStr">
        <is>
          <t>VALLENTUNA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47257-2024</t>
        </is>
      </c>
      <c r="B3776" s="1" t="n">
        <v>45586</v>
      </c>
      <c r="C3776" s="1" t="n">
        <v>45672</v>
      </c>
      <c r="D3776" t="inlineStr">
        <is>
          <t>STOCKHOLMS LÄN</t>
        </is>
      </c>
      <c r="E3776" t="inlineStr">
        <is>
          <t>NORRTÄLJE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47204-2024</t>
        </is>
      </c>
      <c r="B3777" s="1" t="n">
        <v>45586</v>
      </c>
      <c r="C3777" s="1" t="n">
        <v>45672</v>
      </c>
      <c r="D3777" t="inlineStr">
        <is>
          <t>STOCKHOLMS LÄN</t>
        </is>
      </c>
      <c r="E3777" t="inlineStr">
        <is>
          <t>VALLENTUNA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47259-2024</t>
        </is>
      </c>
      <c r="B3778" s="1" t="n">
        <v>45586</v>
      </c>
      <c r="C3778" s="1" t="n">
        <v>45672</v>
      </c>
      <c r="D3778" t="inlineStr">
        <is>
          <t>STOCKHOLMS LÄN</t>
        </is>
      </c>
      <c r="E3778" t="inlineStr">
        <is>
          <t>NORRTÄLJE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47521-2024</t>
        </is>
      </c>
      <c r="B3779" s="1" t="n">
        <v>45587</v>
      </c>
      <c r="C3779" s="1" t="n">
        <v>45672</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47481-2024</t>
        </is>
      </c>
      <c r="B3780" s="1" t="n">
        <v>45587</v>
      </c>
      <c r="C3780" s="1" t="n">
        <v>45672</v>
      </c>
      <c r="D3780" t="inlineStr">
        <is>
          <t>STOCKHOLMS LÄN</t>
        </is>
      </c>
      <c r="E3780" t="inlineStr">
        <is>
          <t>NORRTÄLJE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48145-2024</t>
        </is>
      </c>
      <c r="B3781" s="1" t="n">
        <v>45589</v>
      </c>
      <c r="C3781" s="1" t="n">
        <v>45672</v>
      </c>
      <c r="D3781" t="inlineStr">
        <is>
          <t>STOCKHOLMS LÄN</t>
        </is>
      </c>
      <c r="E3781" t="inlineStr">
        <is>
          <t>NORRTÄLJE</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48151-2024</t>
        </is>
      </c>
      <c r="B3782" s="1" t="n">
        <v>45589</v>
      </c>
      <c r="C3782" s="1" t="n">
        <v>45672</v>
      </c>
      <c r="D3782" t="inlineStr">
        <is>
          <t>STOCKHOLMS LÄN</t>
        </is>
      </c>
      <c r="E3782" t="inlineStr">
        <is>
          <t>NORRTÄLJE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48384-2024</t>
        </is>
      </c>
      <c r="B3783" s="1" t="n">
        <v>45590</v>
      </c>
      <c r="C3783" s="1" t="n">
        <v>45672</v>
      </c>
      <c r="D3783" t="inlineStr">
        <is>
          <t>STOCKHOLMS LÄN</t>
        </is>
      </c>
      <c r="E3783" t="inlineStr">
        <is>
          <t>SIGTUNA</t>
        </is>
      </c>
      <c r="F3783" t="inlineStr">
        <is>
          <t>Allmännings- och besparingsskogar</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48375-2024</t>
        </is>
      </c>
      <c r="B3784" s="1" t="n">
        <v>45590</v>
      </c>
      <c r="C3784" s="1" t="n">
        <v>45672</v>
      </c>
      <c r="D3784" t="inlineStr">
        <is>
          <t>STOCKHOLMS LÄN</t>
        </is>
      </c>
      <c r="E3784" t="inlineStr">
        <is>
          <t>SIGTUNA</t>
        </is>
      </c>
      <c r="F3784" t="inlineStr">
        <is>
          <t>Allmännings- och besparingsskogar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48564-2024</t>
        </is>
      </c>
      <c r="B3785" s="1" t="n">
        <v>45593</v>
      </c>
      <c r="C3785" s="1" t="n">
        <v>45672</v>
      </c>
      <c r="D3785" t="inlineStr">
        <is>
          <t>STOCKHOLMS LÄN</t>
        </is>
      </c>
      <c r="E3785" t="inlineStr">
        <is>
          <t>NORRTÄLJE</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48548-2024</t>
        </is>
      </c>
      <c r="B3786" s="1" t="n">
        <v>45593</v>
      </c>
      <c r="C3786" s="1" t="n">
        <v>45672</v>
      </c>
      <c r="D3786" t="inlineStr">
        <is>
          <t>STOCKHOLMS LÄN</t>
        </is>
      </c>
      <c r="E3786" t="inlineStr">
        <is>
          <t>NORRTÄLJE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48717-2024</t>
        </is>
      </c>
      <c r="B3787" s="1" t="n">
        <v>45593</v>
      </c>
      <c r="C3787" s="1" t="n">
        <v>45672</v>
      </c>
      <c r="D3787" t="inlineStr">
        <is>
          <t>STOCKHOLMS LÄN</t>
        </is>
      </c>
      <c r="E3787" t="inlineStr">
        <is>
          <t>VALLENTUNA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48852-2024</t>
        </is>
      </c>
      <c r="B3788" s="1" t="n">
        <v>45593</v>
      </c>
      <c r="C3788" s="1" t="n">
        <v>45672</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48850-2024</t>
        </is>
      </c>
      <c r="B3789" s="1" t="n">
        <v>45593</v>
      </c>
      <c r="C3789" s="1" t="n">
        <v>45672</v>
      </c>
      <c r="D3789" t="inlineStr">
        <is>
          <t>STOCKHOLMS LÄN</t>
        </is>
      </c>
      <c r="E3789" t="inlineStr">
        <is>
          <t>NORRTÄLJE</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48851-2024</t>
        </is>
      </c>
      <c r="B3790" s="1" t="n">
        <v>45593</v>
      </c>
      <c r="C3790" s="1" t="n">
        <v>45672</v>
      </c>
      <c r="D3790" t="inlineStr">
        <is>
          <t>STOCKHOLMS LÄN</t>
        </is>
      </c>
      <c r="E3790" t="inlineStr">
        <is>
          <t>NORRTÄLJE</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49985-2024</t>
        </is>
      </c>
      <c r="B3791" s="1" t="n">
        <v>45595</v>
      </c>
      <c r="C3791" s="1" t="n">
        <v>45672</v>
      </c>
      <c r="D3791" t="inlineStr">
        <is>
          <t>STOCKHOLMS LÄN</t>
        </is>
      </c>
      <c r="E3791" t="inlineStr">
        <is>
          <t>VÄRMDÖ</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49568-2024</t>
        </is>
      </c>
      <c r="B3792" s="1" t="n">
        <v>45596</v>
      </c>
      <c r="C3792" s="1" t="n">
        <v>45672</v>
      </c>
      <c r="D3792" t="inlineStr">
        <is>
          <t>STOCKHOLMS LÄN</t>
        </is>
      </c>
      <c r="E3792" t="inlineStr">
        <is>
          <t>VÄRMDÖ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49949-2024</t>
        </is>
      </c>
      <c r="B3793" s="1" t="n">
        <v>45597</v>
      </c>
      <c r="C3793" s="1" t="n">
        <v>45672</v>
      </c>
      <c r="D3793" t="inlineStr">
        <is>
          <t>STOCKHOLMS LÄN</t>
        </is>
      </c>
      <c r="E3793" t="inlineStr">
        <is>
          <t>NORRTÄLJE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50113-2024</t>
        </is>
      </c>
      <c r="B3794" s="1" t="n">
        <v>45600</v>
      </c>
      <c r="C3794" s="1" t="n">
        <v>45672</v>
      </c>
      <c r="D3794" t="inlineStr">
        <is>
          <t>STOCKHOLMS LÄN</t>
        </is>
      </c>
      <c r="E3794" t="inlineStr">
        <is>
          <t>NORRTÄLJE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50355-2024</t>
        </is>
      </c>
      <c r="B3795" s="1" t="n">
        <v>45600</v>
      </c>
      <c r="C3795" s="1" t="n">
        <v>45672</v>
      </c>
      <c r="D3795" t="inlineStr">
        <is>
          <t>STOCKHOLMS LÄN</t>
        </is>
      </c>
      <c r="E3795" t="inlineStr">
        <is>
          <t>NORRTÄLJE</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50195-2024</t>
        </is>
      </c>
      <c r="B3796" s="1" t="n">
        <v>45600</v>
      </c>
      <c r="C3796" s="1" t="n">
        <v>45672</v>
      </c>
      <c r="D3796" t="inlineStr">
        <is>
          <t>STOCKHOLMS LÄN</t>
        </is>
      </c>
      <c r="E3796" t="inlineStr">
        <is>
          <t>VALLENTUNA</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50154-2024</t>
        </is>
      </c>
      <c r="B3797" s="1" t="n">
        <v>45600</v>
      </c>
      <c r="C3797" s="1" t="n">
        <v>45672</v>
      </c>
      <c r="D3797" t="inlineStr">
        <is>
          <t>STOCKHOLMS LÄN</t>
        </is>
      </c>
      <c r="E3797" t="inlineStr">
        <is>
          <t>NORRTÄLJE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50182-2024</t>
        </is>
      </c>
      <c r="B3798" s="1" t="n">
        <v>45600</v>
      </c>
      <c r="C3798" s="1" t="n">
        <v>45672</v>
      </c>
      <c r="D3798" t="inlineStr">
        <is>
          <t>STOCKHOLMS LÄN</t>
        </is>
      </c>
      <c r="E3798" t="inlineStr">
        <is>
          <t>NORRTÄLJE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50440-2024</t>
        </is>
      </c>
      <c r="B3799" s="1" t="n">
        <v>45601</v>
      </c>
      <c r="C3799" s="1" t="n">
        <v>45672</v>
      </c>
      <c r="D3799" t="inlineStr">
        <is>
          <t>STOCKHOLMS LÄN</t>
        </is>
      </c>
      <c r="E3799" t="inlineStr">
        <is>
          <t>VALLENTUNA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50857-2024</t>
        </is>
      </c>
      <c r="B3800" s="1" t="n">
        <v>45601</v>
      </c>
      <c r="C3800" s="1" t="n">
        <v>45672</v>
      </c>
      <c r="D3800" t="inlineStr">
        <is>
          <t>STOCKHOLMS LÄN</t>
        </is>
      </c>
      <c r="E3800" t="inlineStr">
        <is>
          <t>UPPLANDS VÄSBY</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50534-2024</t>
        </is>
      </c>
      <c r="B3801" s="1" t="n">
        <v>45601</v>
      </c>
      <c r="C3801" s="1" t="n">
        <v>45672</v>
      </c>
      <c r="D3801" t="inlineStr">
        <is>
          <t>STOCKHOLMS LÄN</t>
        </is>
      </c>
      <c r="E3801" t="inlineStr">
        <is>
          <t>NORRTÄLJE</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50811-2024</t>
        </is>
      </c>
      <c r="B3802" s="1" t="n">
        <v>45602</v>
      </c>
      <c r="C3802" s="1" t="n">
        <v>45672</v>
      </c>
      <c r="D3802" t="inlineStr">
        <is>
          <t>STOCKHOLMS LÄN</t>
        </is>
      </c>
      <c r="E3802" t="inlineStr">
        <is>
          <t>NYKVARN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50935-2024</t>
        </is>
      </c>
      <c r="B3803" s="1" t="n">
        <v>45602</v>
      </c>
      <c r="C3803" s="1" t="n">
        <v>45672</v>
      </c>
      <c r="D3803" t="inlineStr">
        <is>
          <t>STOCKHOLMS LÄN</t>
        </is>
      </c>
      <c r="E3803" t="inlineStr">
        <is>
          <t>UPPLANDS VÄSBY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50814-2024</t>
        </is>
      </c>
      <c r="B3804" s="1" t="n">
        <v>45602</v>
      </c>
      <c r="C3804" s="1" t="n">
        <v>45672</v>
      </c>
      <c r="D3804" t="inlineStr">
        <is>
          <t>STOCKHOLMS LÄN</t>
        </is>
      </c>
      <c r="E3804" t="inlineStr">
        <is>
          <t>NYKVARN</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50934-2024</t>
        </is>
      </c>
      <c r="B3805" s="1" t="n">
        <v>45602</v>
      </c>
      <c r="C3805" s="1" t="n">
        <v>45672</v>
      </c>
      <c r="D3805" t="inlineStr">
        <is>
          <t>STOCKHOLMS LÄN</t>
        </is>
      </c>
      <c r="E3805" t="inlineStr">
        <is>
          <t>UPPLANDS VÄSBY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50933-2024</t>
        </is>
      </c>
      <c r="B3806" s="1" t="n">
        <v>45602</v>
      </c>
      <c r="C3806" s="1" t="n">
        <v>45672</v>
      </c>
      <c r="D3806" t="inlineStr">
        <is>
          <t>STOCKHOLMS LÄN</t>
        </is>
      </c>
      <c r="E3806" t="inlineStr">
        <is>
          <t>UPPLANDS VÄSBY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51026-2024</t>
        </is>
      </c>
      <c r="B3807" s="1" t="n">
        <v>45603</v>
      </c>
      <c r="C3807" s="1" t="n">
        <v>45672</v>
      </c>
      <c r="D3807" t="inlineStr">
        <is>
          <t>STOCKHOLMS LÄN</t>
        </is>
      </c>
      <c r="E3807" t="inlineStr">
        <is>
          <t>SÖDERTÄLJE</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51019-2024</t>
        </is>
      </c>
      <c r="B3808" s="1" t="n">
        <v>45603</v>
      </c>
      <c r="C3808" s="1" t="n">
        <v>45672</v>
      </c>
      <c r="D3808" t="inlineStr">
        <is>
          <t>STOCKHOLMS LÄN</t>
        </is>
      </c>
      <c r="E3808" t="inlineStr">
        <is>
          <t>SÖDERTÄLJE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51082-2024</t>
        </is>
      </c>
      <c r="B3809" s="1" t="n">
        <v>45603</v>
      </c>
      <c r="C3809" s="1" t="n">
        <v>45672</v>
      </c>
      <c r="D3809" t="inlineStr">
        <is>
          <t>STOCKHOLMS LÄN</t>
        </is>
      </c>
      <c r="E3809" t="inlineStr">
        <is>
          <t>SÖDERTÄLJE</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51354-2024</t>
        </is>
      </c>
      <c r="B3810" s="1" t="n">
        <v>45604</v>
      </c>
      <c r="C3810" s="1" t="n">
        <v>45672</v>
      </c>
      <c r="D3810" t="inlineStr">
        <is>
          <t>STOCKHOLMS LÄN</t>
        </is>
      </c>
      <c r="E3810" t="inlineStr">
        <is>
          <t>SÖDERTÄLJE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51353-2024</t>
        </is>
      </c>
      <c r="B3811" s="1" t="n">
        <v>45604</v>
      </c>
      <c r="C3811" s="1" t="n">
        <v>45672</v>
      </c>
      <c r="D3811" t="inlineStr">
        <is>
          <t>STOCKHOLMS LÄN</t>
        </is>
      </c>
      <c r="E3811" t="inlineStr">
        <is>
          <t>SÖDERTÄLJE</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51360-2024</t>
        </is>
      </c>
      <c r="B3812" s="1" t="n">
        <v>45604</v>
      </c>
      <c r="C3812" s="1" t="n">
        <v>45672</v>
      </c>
      <c r="D3812" t="inlineStr">
        <is>
          <t>STOCKHOLMS LÄN</t>
        </is>
      </c>
      <c r="E3812" t="inlineStr">
        <is>
          <t>VALLENTUNA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51902-2024</t>
        </is>
      </c>
      <c r="B3813" s="1" t="n">
        <v>45607</v>
      </c>
      <c r="C3813" s="1" t="n">
        <v>45672</v>
      </c>
      <c r="D3813" t="inlineStr">
        <is>
          <t>STOCKHOLMS LÄN</t>
        </is>
      </c>
      <c r="E3813" t="inlineStr">
        <is>
          <t>SIGTUNA</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51848-2024</t>
        </is>
      </c>
      <c r="B3814" s="1" t="n">
        <v>45607</v>
      </c>
      <c r="C3814" s="1" t="n">
        <v>45672</v>
      </c>
      <c r="D3814" t="inlineStr">
        <is>
          <t>STOCKHOLMS LÄN</t>
        </is>
      </c>
      <c r="E3814" t="inlineStr">
        <is>
          <t>SIGTUNA</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51813-2024</t>
        </is>
      </c>
      <c r="B3815" s="1" t="n">
        <v>45607</v>
      </c>
      <c r="C3815" s="1" t="n">
        <v>45672</v>
      </c>
      <c r="D3815" t="inlineStr">
        <is>
          <t>STOCKHOLMS LÄN</t>
        </is>
      </c>
      <c r="E3815" t="inlineStr">
        <is>
          <t>NYKVARN</t>
        </is>
      </c>
      <c r="F3815" t="inlineStr">
        <is>
          <t>Sveaskog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52287-2024</t>
        </is>
      </c>
      <c r="B3816" s="1" t="n">
        <v>45608</v>
      </c>
      <c r="C3816" s="1" t="n">
        <v>45672</v>
      </c>
      <c r="D3816" t="inlineStr">
        <is>
          <t>STOCKHOLMS LÄN</t>
        </is>
      </c>
      <c r="E3816" t="inlineStr">
        <is>
          <t>NORRTÄLJE</t>
        </is>
      </c>
      <c r="F3816" t="inlineStr">
        <is>
          <t>Holmen skog AB</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52321-2024</t>
        </is>
      </c>
      <c r="B3817" s="1" t="n">
        <v>45608</v>
      </c>
      <c r="C3817" s="1" t="n">
        <v>45672</v>
      </c>
      <c r="D3817" t="inlineStr">
        <is>
          <t>STOCKHOLMS LÄN</t>
        </is>
      </c>
      <c r="E3817" t="inlineStr">
        <is>
          <t>NORRTÄLJE</t>
        </is>
      </c>
      <c r="G3817" t="n">
        <v>18.1</v>
      </c>
      <c r="H3817" t="n">
        <v>0</v>
      </c>
      <c r="I3817" t="n">
        <v>0</v>
      </c>
      <c r="J3817" t="n">
        <v>0</v>
      </c>
      <c r="K3817" t="n">
        <v>0</v>
      </c>
      <c r="L3817" t="n">
        <v>0</v>
      </c>
      <c r="M3817" t="n">
        <v>0</v>
      </c>
      <c r="N3817" t="n">
        <v>0</v>
      </c>
      <c r="O3817" t="n">
        <v>0</v>
      </c>
      <c r="P3817" t="n">
        <v>0</v>
      </c>
      <c r="Q3817" t="n">
        <v>0</v>
      </c>
      <c r="R3817" s="2" t="inlineStr"/>
    </row>
    <row r="3818" ht="15" customHeight="1">
      <c r="A3818" t="inlineStr">
        <is>
          <t>A 52122-2024</t>
        </is>
      </c>
      <c r="B3818" s="1" t="n">
        <v>45608</v>
      </c>
      <c r="C3818" s="1" t="n">
        <v>45672</v>
      </c>
      <c r="D3818" t="inlineStr">
        <is>
          <t>STOCKHOLMS LÄN</t>
        </is>
      </c>
      <c r="E3818" t="inlineStr">
        <is>
          <t>SÖDERTÄLJE</t>
        </is>
      </c>
      <c r="G3818" t="n">
        <v>15.1</v>
      </c>
      <c r="H3818" t="n">
        <v>0</v>
      </c>
      <c r="I3818" t="n">
        <v>0</v>
      </c>
      <c r="J3818" t="n">
        <v>0</v>
      </c>
      <c r="K3818" t="n">
        <v>0</v>
      </c>
      <c r="L3818" t="n">
        <v>0</v>
      </c>
      <c r="M3818" t="n">
        <v>0</v>
      </c>
      <c r="N3818" t="n">
        <v>0</v>
      </c>
      <c r="O3818" t="n">
        <v>0</v>
      </c>
      <c r="P3818" t="n">
        <v>0</v>
      </c>
      <c r="Q3818" t="n">
        <v>0</v>
      </c>
      <c r="R3818" s="2" t="inlineStr"/>
    </row>
    <row r="3819" ht="15" customHeight="1">
      <c r="A3819" t="inlineStr">
        <is>
          <t>A 52263-2024</t>
        </is>
      </c>
      <c r="B3819" s="1" t="n">
        <v>45608</v>
      </c>
      <c r="C3819" s="1" t="n">
        <v>45672</v>
      </c>
      <c r="D3819" t="inlineStr">
        <is>
          <t>STOCKHOLMS LÄN</t>
        </is>
      </c>
      <c r="E3819" t="inlineStr">
        <is>
          <t>BOTKYRKA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52464-2024</t>
        </is>
      </c>
      <c r="B3820" s="1" t="n">
        <v>45609</v>
      </c>
      <c r="C3820" s="1" t="n">
        <v>45672</v>
      </c>
      <c r="D3820" t="inlineStr">
        <is>
          <t>STOCKHOLMS LÄN</t>
        </is>
      </c>
      <c r="E3820" t="inlineStr">
        <is>
          <t>BOTKYRKA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52407-2024</t>
        </is>
      </c>
      <c r="B3821" s="1" t="n">
        <v>45609</v>
      </c>
      <c r="C3821" s="1" t="n">
        <v>45672</v>
      </c>
      <c r="D3821" t="inlineStr">
        <is>
          <t>STOCKHOLMS LÄN</t>
        </is>
      </c>
      <c r="E3821" t="inlineStr">
        <is>
          <t>NORRTÄLJE</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52615-2024</t>
        </is>
      </c>
      <c r="B3822" s="1" t="n">
        <v>45609</v>
      </c>
      <c r="C3822" s="1" t="n">
        <v>45672</v>
      </c>
      <c r="D3822" t="inlineStr">
        <is>
          <t>STOCKHOLMS LÄN</t>
        </is>
      </c>
      <c r="E3822" t="inlineStr">
        <is>
          <t>NORRTÄLJE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52614-2024</t>
        </is>
      </c>
      <c r="B3823" s="1" t="n">
        <v>45609</v>
      </c>
      <c r="C3823" s="1" t="n">
        <v>45672</v>
      </c>
      <c r="D3823" t="inlineStr">
        <is>
          <t>STOCKHOLMS LÄN</t>
        </is>
      </c>
      <c r="E3823" t="inlineStr">
        <is>
          <t>NORRTÄLJE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52618-2024</t>
        </is>
      </c>
      <c r="B3824" s="1" t="n">
        <v>45609</v>
      </c>
      <c r="C3824" s="1" t="n">
        <v>45672</v>
      </c>
      <c r="D3824" t="inlineStr">
        <is>
          <t>STOCKHOLMS LÄN</t>
        </is>
      </c>
      <c r="E3824" t="inlineStr">
        <is>
          <t>NORRTÄLJE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52593-2024</t>
        </is>
      </c>
      <c r="B3825" s="1" t="n">
        <v>45609</v>
      </c>
      <c r="C3825" s="1" t="n">
        <v>45672</v>
      </c>
      <c r="D3825" t="inlineStr">
        <is>
          <t>STOCKHOLMS LÄN</t>
        </is>
      </c>
      <c r="E3825" t="inlineStr">
        <is>
          <t>NORRTÄLJE</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52617-2024</t>
        </is>
      </c>
      <c r="B3826" s="1" t="n">
        <v>45609</v>
      </c>
      <c r="C3826" s="1" t="n">
        <v>45672</v>
      </c>
      <c r="D3826" t="inlineStr">
        <is>
          <t>STOCKHOLMS LÄN</t>
        </is>
      </c>
      <c r="E3826" t="inlineStr">
        <is>
          <t>NORRTÄLJE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52773-2024</t>
        </is>
      </c>
      <c r="B3827" s="1" t="n">
        <v>45610</v>
      </c>
      <c r="C3827" s="1" t="n">
        <v>45672</v>
      </c>
      <c r="D3827" t="inlineStr">
        <is>
          <t>STOCKHOLMS LÄN</t>
        </is>
      </c>
      <c r="E3827" t="inlineStr">
        <is>
          <t>HANINGE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52700-2024</t>
        </is>
      </c>
      <c r="B3828" s="1" t="n">
        <v>45610</v>
      </c>
      <c r="C3828" s="1" t="n">
        <v>45672</v>
      </c>
      <c r="D3828" t="inlineStr">
        <is>
          <t>STOCKHOLMS LÄN</t>
        </is>
      </c>
      <c r="E3828" t="inlineStr">
        <is>
          <t>UPPLANDS-BRO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52715-2024</t>
        </is>
      </c>
      <c r="B3829" s="1" t="n">
        <v>45610</v>
      </c>
      <c r="C3829" s="1" t="n">
        <v>45672</v>
      </c>
      <c r="D3829" t="inlineStr">
        <is>
          <t>STOCKHOLMS LÄN</t>
        </is>
      </c>
      <c r="E3829" t="inlineStr">
        <is>
          <t>NORRTÄLJE</t>
        </is>
      </c>
      <c r="G3829" t="n">
        <v>11.1</v>
      </c>
      <c r="H3829" t="n">
        <v>0</v>
      </c>
      <c r="I3829" t="n">
        <v>0</v>
      </c>
      <c r="J3829" t="n">
        <v>0</v>
      </c>
      <c r="K3829" t="n">
        <v>0</v>
      </c>
      <c r="L3829" t="n">
        <v>0</v>
      </c>
      <c r="M3829" t="n">
        <v>0</v>
      </c>
      <c r="N3829" t="n">
        <v>0</v>
      </c>
      <c r="O3829" t="n">
        <v>0</v>
      </c>
      <c r="P3829" t="n">
        <v>0</v>
      </c>
      <c r="Q3829" t="n">
        <v>0</v>
      </c>
      <c r="R3829" s="2" t="inlineStr"/>
      <c r="U3829">
        <f>HYPERLINK("https://klasma.github.io/Logging_0188/knärot/A 52715-2024 karta knärot.png", "A 52715-2024")</f>
        <v/>
      </c>
      <c r="V3829">
        <f>HYPERLINK("https://klasma.github.io/Logging_0188/klagomål/A 52715-2024 FSC-klagomål.docx", "A 52715-2024")</f>
        <v/>
      </c>
      <c r="W3829">
        <f>HYPERLINK("https://klasma.github.io/Logging_0188/klagomålsmail/A 52715-2024 FSC-klagomål mail.docx", "A 52715-2024")</f>
        <v/>
      </c>
      <c r="X3829">
        <f>HYPERLINK("https://klasma.github.io/Logging_0188/tillsyn/A 52715-2024 tillsynsbegäran.docx", "A 52715-2024")</f>
        <v/>
      </c>
      <c r="Y3829">
        <f>HYPERLINK("https://klasma.github.io/Logging_0188/tillsynsmail/A 52715-2024 tillsynsbegäran mail.docx", "A 52715-2024")</f>
        <v/>
      </c>
    </row>
    <row r="3830" ht="15" customHeight="1">
      <c r="A3830" t="inlineStr">
        <is>
          <t>A 52743-2024</t>
        </is>
      </c>
      <c r="B3830" s="1" t="n">
        <v>45610</v>
      </c>
      <c r="C3830" s="1" t="n">
        <v>45672</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52836-2024</t>
        </is>
      </c>
      <c r="B3831" s="1" t="n">
        <v>45610</v>
      </c>
      <c r="C3831" s="1" t="n">
        <v>45672</v>
      </c>
      <c r="D3831" t="inlineStr">
        <is>
          <t>STOCKHOLMS LÄN</t>
        </is>
      </c>
      <c r="E3831" t="inlineStr">
        <is>
          <t>HANINGE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52859-2024</t>
        </is>
      </c>
      <c r="B3832" s="1" t="n">
        <v>45610</v>
      </c>
      <c r="C3832" s="1" t="n">
        <v>45672</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52911-2024</t>
        </is>
      </c>
      <c r="B3833" s="1" t="n">
        <v>45610</v>
      </c>
      <c r="C3833" s="1" t="n">
        <v>45672</v>
      </c>
      <c r="D3833" t="inlineStr">
        <is>
          <t>STOCKHOLMS LÄN</t>
        </is>
      </c>
      <c r="E3833" t="inlineStr">
        <is>
          <t>NYNÄSHAMN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52953-2024</t>
        </is>
      </c>
      <c r="B3834" s="1" t="n">
        <v>45610</v>
      </c>
      <c r="C3834" s="1" t="n">
        <v>45672</v>
      </c>
      <c r="D3834" t="inlineStr">
        <is>
          <t>STOCKHOLMS LÄN</t>
        </is>
      </c>
      <c r="E3834" t="inlineStr">
        <is>
          <t>NYNÄSHAMN</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52770-2024</t>
        </is>
      </c>
      <c r="B3835" s="1" t="n">
        <v>45610</v>
      </c>
      <c r="C3835" s="1" t="n">
        <v>45672</v>
      </c>
      <c r="D3835" t="inlineStr">
        <is>
          <t>STOCKHOLMS LÄN</t>
        </is>
      </c>
      <c r="E3835" t="inlineStr">
        <is>
          <t>HANINGE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52686-2024</t>
        </is>
      </c>
      <c r="B3836" s="1" t="n">
        <v>45610</v>
      </c>
      <c r="C3836" s="1" t="n">
        <v>45672</v>
      </c>
      <c r="D3836" t="inlineStr">
        <is>
          <t>STOCKHOLMS LÄN</t>
        </is>
      </c>
      <c r="E3836" t="inlineStr">
        <is>
          <t>NORRTÄLJE</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52910-2024</t>
        </is>
      </c>
      <c r="B3837" s="1" t="n">
        <v>45610</v>
      </c>
      <c r="C3837" s="1" t="n">
        <v>45672</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52950-2024</t>
        </is>
      </c>
      <c r="B3838" s="1" t="n">
        <v>45610</v>
      </c>
      <c r="C3838" s="1" t="n">
        <v>45672</v>
      </c>
      <c r="D3838" t="inlineStr">
        <is>
          <t>STOCKHOLMS LÄN</t>
        </is>
      </c>
      <c r="E3838" t="inlineStr">
        <is>
          <t>NYNÄSHAMN</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53408-2024</t>
        </is>
      </c>
      <c r="B3839" s="1" t="n">
        <v>45614</v>
      </c>
      <c r="C3839" s="1" t="n">
        <v>45672</v>
      </c>
      <c r="D3839" t="inlineStr">
        <is>
          <t>STOCKHOLMS LÄN</t>
        </is>
      </c>
      <c r="E3839" t="inlineStr">
        <is>
          <t>NYKVARN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53312-2024</t>
        </is>
      </c>
      <c r="B3840" s="1" t="n">
        <v>45614</v>
      </c>
      <c r="C3840" s="1" t="n">
        <v>45672</v>
      </c>
      <c r="D3840" t="inlineStr">
        <is>
          <t>STOCKHOLMS LÄN</t>
        </is>
      </c>
      <c r="E3840" t="inlineStr">
        <is>
          <t>NORRTÄLJE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53305-2024</t>
        </is>
      </c>
      <c r="B3841" s="1" t="n">
        <v>45614</v>
      </c>
      <c r="C3841" s="1" t="n">
        <v>45672</v>
      </c>
      <c r="D3841" t="inlineStr">
        <is>
          <t>STOCKHOLMS LÄN</t>
        </is>
      </c>
      <c r="E3841" t="inlineStr">
        <is>
          <t>NORRTÄLJE</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54113-2024</t>
        </is>
      </c>
      <c r="B3842" s="1" t="n">
        <v>45616</v>
      </c>
      <c r="C3842" s="1" t="n">
        <v>45672</v>
      </c>
      <c r="D3842" t="inlineStr">
        <is>
          <t>STOCKHOLMS LÄN</t>
        </is>
      </c>
      <c r="E3842" t="inlineStr">
        <is>
          <t>NORRTÄLJE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54315-2024</t>
        </is>
      </c>
      <c r="B3843" s="1" t="n">
        <v>45617</v>
      </c>
      <c r="C3843" s="1" t="n">
        <v>45672</v>
      </c>
      <c r="D3843" t="inlineStr">
        <is>
          <t>STOCKHOLMS LÄN</t>
        </is>
      </c>
      <c r="E3843" t="inlineStr">
        <is>
          <t>NORRTÄLJE</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54558-2024</t>
        </is>
      </c>
      <c r="B3844" s="1" t="n">
        <v>45617</v>
      </c>
      <c r="C3844" s="1" t="n">
        <v>45672</v>
      </c>
      <c r="D3844" t="inlineStr">
        <is>
          <t>STOCKHOLMS LÄN</t>
        </is>
      </c>
      <c r="E3844" t="inlineStr">
        <is>
          <t>NORRTÄLJE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54496-2024</t>
        </is>
      </c>
      <c r="B3845" s="1" t="n">
        <v>45617</v>
      </c>
      <c r="C3845" s="1" t="n">
        <v>45672</v>
      </c>
      <c r="D3845" t="inlineStr">
        <is>
          <t>STOCKHOLMS LÄN</t>
        </is>
      </c>
      <c r="E3845" t="inlineStr">
        <is>
          <t>NORRTÄLJE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54504-2024</t>
        </is>
      </c>
      <c r="B3846" s="1" t="n">
        <v>45617</v>
      </c>
      <c r="C3846" s="1" t="n">
        <v>45672</v>
      </c>
      <c r="D3846" t="inlineStr">
        <is>
          <t>STOCKHOLMS LÄN</t>
        </is>
      </c>
      <c r="E3846" t="inlineStr">
        <is>
          <t>NORRTÄLJE</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54596-2024</t>
        </is>
      </c>
      <c r="B3847" s="1" t="n">
        <v>45617</v>
      </c>
      <c r="C3847" s="1" t="n">
        <v>45672</v>
      </c>
      <c r="D3847" t="inlineStr">
        <is>
          <t>STOCKHOLMS LÄN</t>
        </is>
      </c>
      <c r="E3847" t="inlineStr">
        <is>
          <t>SÖDERTÄLJE</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54600-2024</t>
        </is>
      </c>
      <c r="B3848" s="1" t="n">
        <v>45617</v>
      </c>
      <c r="C3848" s="1" t="n">
        <v>45672</v>
      </c>
      <c r="D3848" t="inlineStr">
        <is>
          <t>STOCKHOLMS LÄN</t>
        </is>
      </c>
      <c r="E3848" t="inlineStr">
        <is>
          <t>SÖDERTÄLJE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45672</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55018-2024</t>
        </is>
      </c>
      <c r="B3850" s="1" t="n">
        <v>45621</v>
      </c>
      <c r="C3850" s="1" t="n">
        <v>45672</v>
      </c>
      <c r="D3850" t="inlineStr">
        <is>
          <t>STOCKHOLMS LÄN</t>
        </is>
      </c>
      <c r="E3850" t="inlineStr">
        <is>
          <t>NORRTÄLJE</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55010-2024</t>
        </is>
      </c>
      <c r="B3851" s="1" t="n">
        <v>45621</v>
      </c>
      <c r="C3851" s="1" t="n">
        <v>45672</v>
      </c>
      <c r="D3851" t="inlineStr">
        <is>
          <t>STOCKHOLMS LÄN</t>
        </is>
      </c>
      <c r="E3851" t="inlineStr">
        <is>
          <t>NORRTÄLJE</t>
        </is>
      </c>
      <c r="F3851" t="inlineStr">
        <is>
          <t>Sveaskog</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55021-2024</t>
        </is>
      </c>
      <c r="B3852" s="1" t="n">
        <v>45621</v>
      </c>
      <c r="C3852" s="1" t="n">
        <v>45672</v>
      </c>
      <c r="D3852" t="inlineStr">
        <is>
          <t>STOCKHOLMS LÄN</t>
        </is>
      </c>
      <c r="E3852" t="inlineStr">
        <is>
          <t>NYNÄSHAMN</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55287-2024</t>
        </is>
      </c>
      <c r="B3853" s="1" t="n">
        <v>45621</v>
      </c>
      <c r="C3853" s="1" t="n">
        <v>45672</v>
      </c>
      <c r="D3853" t="inlineStr">
        <is>
          <t>STOCKHOLMS LÄN</t>
        </is>
      </c>
      <c r="E3853" t="inlineStr">
        <is>
          <t>NORRTÄLJE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55012-2024</t>
        </is>
      </c>
      <c r="B3854" s="1" t="n">
        <v>45621</v>
      </c>
      <c r="C3854" s="1" t="n">
        <v>45672</v>
      </c>
      <c r="D3854" t="inlineStr">
        <is>
          <t>STOCKHOLMS LÄN</t>
        </is>
      </c>
      <c r="E3854" t="inlineStr">
        <is>
          <t>NORRTÄLJE</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55724-2024</t>
        </is>
      </c>
      <c r="B3855" s="1" t="n">
        <v>45622</v>
      </c>
      <c r="C3855" s="1" t="n">
        <v>45672</v>
      </c>
      <c r="D3855" t="inlineStr">
        <is>
          <t>STOCKHOLMS LÄN</t>
        </is>
      </c>
      <c r="E3855" t="inlineStr">
        <is>
          <t>EKERÖ</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55866-2024</t>
        </is>
      </c>
      <c r="B3856" s="1" t="n">
        <v>45623</v>
      </c>
      <c r="C3856" s="1" t="n">
        <v>45672</v>
      </c>
      <c r="D3856" t="inlineStr">
        <is>
          <t>STOCKHOLMS LÄN</t>
        </is>
      </c>
      <c r="E3856" t="inlineStr">
        <is>
          <t>EKERÖ</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55886-2024</t>
        </is>
      </c>
      <c r="B3857" s="1" t="n">
        <v>45623</v>
      </c>
      <c r="C3857" s="1" t="n">
        <v>45672</v>
      </c>
      <c r="D3857" t="inlineStr">
        <is>
          <t>STOCKHOLMS LÄN</t>
        </is>
      </c>
      <c r="E3857" t="inlineStr">
        <is>
          <t>EKERÖ</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55892-2024</t>
        </is>
      </c>
      <c r="B3858" s="1" t="n">
        <v>45623</v>
      </c>
      <c r="C3858" s="1" t="n">
        <v>45672</v>
      </c>
      <c r="D3858" t="inlineStr">
        <is>
          <t>STOCKHOLMS LÄN</t>
        </is>
      </c>
      <c r="E3858" t="inlineStr">
        <is>
          <t>EKERÖ</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55952-2024</t>
        </is>
      </c>
      <c r="B3859" s="1" t="n">
        <v>45623</v>
      </c>
      <c r="C3859" s="1" t="n">
        <v>45672</v>
      </c>
      <c r="D3859" t="inlineStr">
        <is>
          <t>STOCKHOLMS LÄN</t>
        </is>
      </c>
      <c r="E3859" t="inlineStr">
        <is>
          <t>NORRTÄLJE</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56002-2024</t>
        </is>
      </c>
      <c r="B3860" s="1" t="n">
        <v>45623</v>
      </c>
      <c r="C3860" s="1" t="n">
        <v>45672</v>
      </c>
      <c r="D3860" t="inlineStr">
        <is>
          <t>STOCKHOLMS LÄN</t>
        </is>
      </c>
      <c r="E3860" t="inlineStr">
        <is>
          <t>EKERÖ</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56152-2024</t>
        </is>
      </c>
      <c r="B3861" s="1" t="n">
        <v>45624</v>
      </c>
      <c r="C3861" s="1" t="n">
        <v>45672</v>
      </c>
      <c r="D3861" t="inlineStr">
        <is>
          <t>STOCKHOLMS LÄN</t>
        </is>
      </c>
      <c r="E3861" t="inlineStr">
        <is>
          <t>VALLENTUNA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56166-2024</t>
        </is>
      </c>
      <c r="B3862" s="1" t="n">
        <v>45624</v>
      </c>
      <c r="C3862" s="1" t="n">
        <v>45672</v>
      </c>
      <c r="D3862" t="inlineStr">
        <is>
          <t>STOCKHOLMS LÄN</t>
        </is>
      </c>
      <c r="E3862" t="inlineStr">
        <is>
          <t>ÖSTERÅKER</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56631-2024</t>
        </is>
      </c>
      <c r="B3863" s="1" t="n">
        <v>45625</v>
      </c>
      <c r="C3863" s="1" t="n">
        <v>45672</v>
      </c>
      <c r="D3863" t="inlineStr">
        <is>
          <t>STOCKHOLMS LÄN</t>
        </is>
      </c>
      <c r="E3863" t="inlineStr">
        <is>
          <t>NORRTÄLJE</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56845-2024</t>
        </is>
      </c>
      <c r="B3864" s="1" t="n">
        <v>45628</v>
      </c>
      <c r="C3864" s="1" t="n">
        <v>45672</v>
      </c>
      <c r="D3864" t="inlineStr">
        <is>
          <t>STOCKHOLMS LÄN</t>
        </is>
      </c>
      <c r="E3864" t="inlineStr">
        <is>
          <t>EKERÖ</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56849-2024</t>
        </is>
      </c>
      <c r="B3865" s="1" t="n">
        <v>45628</v>
      </c>
      <c r="C3865" s="1" t="n">
        <v>45672</v>
      </c>
      <c r="D3865" t="inlineStr">
        <is>
          <t>STOCKHOLMS LÄN</t>
        </is>
      </c>
      <c r="E3865" t="inlineStr">
        <is>
          <t>EKERÖ</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56909-2024</t>
        </is>
      </c>
      <c r="B3866" s="1" t="n">
        <v>45628</v>
      </c>
      <c r="C3866" s="1" t="n">
        <v>45672</v>
      </c>
      <c r="D3866" t="inlineStr">
        <is>
          <t>STOCKHOLMS LÄN</t>
        </is>
      </c>
      <c r="E3866" t="inlineStr">
        <is>
          <t>ÖSTERÅKER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57010-2024</t>
        </is>
      </c>
      <c r="B3867" s="1" t="n">
        <v>45628</v>
      </c>
      <c r="C3867" s="1" t="n">
        <v>45672</v>
      </c>
      <c r="D3867" t="inlineStr">
        <is>
          <t>STOCKHOLMS LÄN</t>
        </is>
      </c>
      <c r="E3867" t="inlineStr">
        <is>
          <t>SÖDERTÄLJE</t>
        </is>
      </c>
      <c r="F3867" t="inlineStr">
        <is>
          <t>Kyrkan</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57155-2024</t>
        </is>
      </c>
      <c r="B3868" s="1" t="n">
        <v>45629</v>
      </c>
      <c r="C3868" s="1" t="n">
        <v>45672</v>
      </c>
      <c r="D3868" t="inlineStr">
        <is>
          <t>STOCKHOLMS LÄN</t>
        </is>
      </c>
      <c r="E3868" t="inlineStr">
        <is>
          <t>NORRTÄLJE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57048-2024</t>
        </is>
      </c>
      <c r="B3869" s="1" t="n">
        <v>45629</v>
      </c>
      <c r="C3869" s="1" t="n">
        <v>45672</v>
      </c>
      <c r="D3869" t="inlineStr">
        <is>
          <t>STOCKHOLMS LÄN</t>
        </is>
      </c>
      <c r="E3869" t="inlineStr">
        <is>
          <t>ÖSTERÅKER</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57050-2024</t>
        </is>
      </c>
      <c r="B3870" s="1" t="n">
        <v>45629</v>
      </c>
      <c r="C3870" s="1" t="n">
        <v>45672</v>
      </c>
      <c r="D3870" t="inlineStr">
        <is>
          <t>STOCKHOLMS LÄN</t>
        </is>
      </c>
      <c r="E3870" t="inlineStr">
        <is>
          <t>ÖSTERÅKER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57055-2024</t>
        </is>
      </c>
      <c r="B3871" s="1" t="n">
        <v>45629</v>
      </c>
      <c r="C3871" s="1" t="n">
        <v>45672</v>
      </c>
      <c r="D3871" t="inlineStr">
        <is>
          <t>STOCKHOLMS LÄN</t>
        </is>
      </c>
      <c r="E3871" t="inlineStr">
        <is>
          <t>ÖSTERÅKER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57353-2024</t>
        </is>
      </c>
      <c r="B3872" s="1" t="n">
        <v>45629</v>
      </c>
      <c r="C3872" s="1" t="n">
        <v>45672</v>
      </c>
      <c r="D3872" t="inlineStr">
        <is>
          <t>STOCKHOLMS LÄN</t>
        </is>
      </c>
      <c r="E3872" t="inlineStr">
        <is>
          <t>NORRTÄLJE</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57389-2024</t>
        </is>
      </c>
      <c r="B3873" s="1" t="n">
        <v>45629</v>
      </c>
      <c r="C3873" s="1" t="n">
        <v>45672</v>
      </c>
      <c r="D3873" t="inlineStr">
        <is>
          <t>STOCKHOLMS LÄN</t>
        </is>
      </c>
      <c r="E3873" t="inlineStr">
        <is>
          <t>NYKVARN</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57375-2024</t>
        </is>
      </c>
      <c r="B3874" s="1" t="n">
        <v>45629</v>
      </c>
      <c r="C3874" s="1" t="n">
        <v>45672</v>
      </c>
      <c r="D3874" t="inlineStr">
        <is>
          <t>STOCKHOLMS LÄN</t>
        </is>
      </c>
      <c r="E3874" t="inlineStr">
        <is>
          <t>NYNÄSHAMN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57428-2024</t>
        </is>
      </c>
      <c r="B3875" s="1" t="n">
        <v>45629</v>
      </c>
      <c r="C3875" s="1" t="n">
        <v>45672</v>
      </c>
      <c r="D3875" t="inlineStr">
        <is>
          <t>STOCKHOLMS LÄN</t>
        </is>
      </c>
      <c r="E3875" t="inlineStr">
        <is>
          <t>NYKVARN</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57602-2024</t>
        </is>
      </c>
      <c r="B3876" s="1" t="n">
        <v>45630</v>
      </c>
      <c r="C3876" s="1" t="n">
        <v>45672</v>
      </c>
      <c r="D3876" t="inlineStr">
        <is>
          <t>STOCKHOLMS LÄN</t>
        </is>
      </c>
      <c r="E3876" t="inlineStr">
        <is>
          <t>NORRTÄLJE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57821-2024</t>
        </is>
      </c>
      <c r="B3877" s="1" t="n">
        <v>45631</v>
      </c>
      <c r="C3877" s="1" t="n">
        <v>45672</v>
      </c>
      <c r="D3877" t="inlineStr">
        <is>
          <t>STOCKHOLMS LÄN</t>
        </is>
      </c>
      <c r="E3877" t="inlineStr">
        <is>
          <t>SÖDERTÄLJE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57828-2024</t>
        </is>
      </c>
      <c r="B3878" s="1" t="n">
        <v>45631</v>
      </c>
      <c r="C3878" s="1" t="n">
        <v>45672</v>
      </c>
      <c r="D3878" t="inlineStr">
        <is>
          <t>STOCKHOLMS LÄN</t>
        </is>
      </c>
      <c r="E3878" t="inlineStr">
        <is>
          <t>SÖDERTÄLJE</t>
        </is>
      </c>
      <c r="F3878" t="inlineStr">
        <is>
          <t>Sveaskog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57832-2024</t>
        </is>
      </c>
      <c r="B3879" s="1" t="n">
        <v>45631</v>
      </c>
      <c r="C3879" s="1" t="n">
        <v>45672</v>
      </c>
      <c r="D3879" t="inlineStr">
        <is>
          <t>STOCKHOLMS LÄN</t>
        </is>
      </c>
      <c r="E3879" t="inlineStr">
        <is>
          <t>SÖDERTÄLJE</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58040-2024</t>
        </is>
      </c>
      <c r="B3880" s="1" t="n">
        <v>45631</v>
      </c>
      <c r="C3880" s="1" t="n">
        <v>45672</v>
      </c>
      <c r="D3880" t="inlineStr">
        <is>
          <t>STOCKHOLMS LÄN</t>
        </is>
      </c>
      <c r="E3880" t="inlineStr">
        <is>
          <t>NORRTÄLJE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58041-2024</t>
        </is>
      </c>
      <c r="B3881" s="1" t="n">
        <v>45631</v>
      </c>
      <c r="C3881" s="1" t="n">
        <v>45672</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58530-2024</t>
        </is>
      </c>
      <c r="B3882" s="1" t="n">
        <v>45635</v>
      </c>
      <c r="C3882" s="1" t="n">
        <v>45672</v>
      </c>
      <c r="D3882" t="inlineStr">
        <is>
          <t>STOCKHOLMS LÄN</t>
        </is>
      </c>
      <c r="E3882" t="inlineStr">
        <is>
          <t>NORRTÄLJE</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58785-2024</t>
        </is>
      </c>
      <c r="B3883" s="1" t="n">
        <v>45635</v>
      </c>
      <c r="C3883" s="1" t="n">
        <v>45672</v>
      </c>
      <c r="D3883" t="inlineStr">
        <is>
          <t>STOCKHOLMS LÄN</t>
        </is>
      </c>
      <c r="E3883" t="inlineStr">
        <is>
          <t>NORRTÄLJE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59156-2024</t>
        </is>
      </c>
      <c r="B3884" s="1" t="n">
        <v>45636</v>
      </c>
      <c r="C3884" s="1" t="n">
        <v>45672</v>
      </c>
      <c r="D3884" t="inlineStr">
        <is>
          <t>STOCKHOLMS LÄN</t>
        </is>
      </c>
      <c r="E3884" t="inlineStr">
        <is>
          <t>SIGTUNA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58839-2024</t>
        </is>
      </c>
      <c r="B3885" s="1" t="n">
        <v>45636</v>
      </c>
      <c r="C3885" s="1" t="n">
        <v>45672</v>
      </c>
      <c r="D3885" t="inlineStr">
        <is>
          <t>STOCKHOLMS LÄN</t>
        </is>
      </c>
      <c r="E3885" t="inlineStr">
        <is>
          <t>SIGTUNA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58863-2024</t>
        </is>
      </c>
      <c r="B3886" s="1" t="n">
        <v>45636</v>
      </c>
      <c r="C3886" s="1" t="n">
        <v>45672</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58853-2024</t>
        </is>
      </c>
      <c r="B3887" s="1" t="n">
        <v>45636</v>
      </c>
      <c r="C3887" s="1" t="n">
        <v>45672</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59091-2024</t>
        </is>
      </c>
      <c r="B3888" s="1" t="n">
        <v>45637</v>
      </c>
      <c r="C3888" s="1" t="n">
        <v>45672</v>
      </c>
      <c r="D3888" t="inlineStr">
        <is>
          <t>STOCKHOLMS LÄN</t>
        </is>
      </c>
      <c r="E3888" t="inlineStr">
        <is>
          <t>NORRTÄLJE</t>
        </is>
      </c>
      <c r="F3888" t="inlineStr">
        <is>
          <t>Övriga Aktiebolag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59274-2024</t>
        </is>
      </c>
      <c r="B3889" s="1" t="n">
        <v>45637</v>
      </c>
      <c r="C3889" s="1" t="n">
        <v>45672</v>
      </c>
      <c r="D3889" t="inlineStr">
        <is>
          <t>STOCKHOLMS LÄN</t>
        </is>
      </c>
      <c r="E3889" t="inlineStr">
        <is>
          <t>NORRTÄLJE</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59337-2024</t>
        </is>
      </c>
      <c r="B3890" s="1" t="n">
        <v>45637</v>
      </c>
      <c r="C3890" s="1" t="n">
        <v>45672</v>
      </c>
      <c r="D3890" t="inlineStr">
        <is>
          <t>STOCKHOLMS LÄN</t>
        </is>
      </c>
      <c r="E3890" t="inlineStr">
        <is>
          <t>NYNÄSHAMN</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59534-2024</t>
        </is>
      </c>
      <c r="B3891" s="1" t="n">
        <v>45638</v>
      </c>
      <c r="C3891" s="1" t="n">
        <v>45672</v>
      </c>
      <c r="D3891" t="inlineStr">
        <is>
          <t>STOCKHOLMS LÄN</t>
        </is>
      </c>
      <c r="E3891" t="inlineStr">
        <is>
          <t>NORRTÄLJE</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59535-2024</t>
        </is>
      </c>
      <c r="B3892" s="1" t="n">
        <v>45638</v>
      </c>
      <c r="C3892" s="1" t="n">
        <v>45672</v>
      </c>
      <c r="D3892" t="inlineStr">
        <is>
          <t>STOCKHOLMS LÄN</t>
        </is>
      </c>
      <c r="E3892" t="inlineStr">
        <is>
          <t>NORRTÄLJE</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59377-2024</t>
        </is>
      </c>
      <c r="B3893" s="1" t="n">
        <v>45638</v>
      </c>
      <c r="C3893" s="1" t="n">
        <v>45672</v>
      </c>
      <c r="D3893" t="inlineStr">
        <is>
          <t>STOCKHOLMS LÄN</t>
        </is>
      </c>
      <c r="E3893" t="inlineStr">
        <is>
          <t>UPPLANDS-BRO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59364-2024</t>
        </is>
      </c>
      <c r="B3894" s="1" t="n">
        <v>45638</v>
      </c>
      <c r="C3894" s="1" t="n">
        <v>45672</v>
      </c>
      <c r="D3894" t="inlineStr">
        <is>
          <t>STOCKHOLMS LÄN</t>
        </is>
      </c>
      <c r="E3894" t="inlineStr">
        <is>
          <t>NYNÄSHAMN</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45672</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59712-2024</t>
        </is>
      </c>
      <c r="B3896" s="1" t="n">
        <v>45639</v>
      </c>
      <c r="C3896" s="1" t="n">
        <v>45672</v>
      </c>
      <c r="D3896" t="inlineStr">
        <is>
          <t>STOCKHOLMS LÄN</t>
        </is>
      </c>
      <c r="E3896" t="inlineStr">
        <is>
          <t>NORRTÄLJE</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59876-2024</t>
        </is>
      </c>
      <c r="B3897" s="1" t="n">
        <v>45640</v>
      </c>
      <c r="C3897" s="1" t="n">
        <v>45672</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59875-2024</t>
        </is>
      </c>
      <c r="B3898" s="1" t="n">
        <v>45640</v>
      </c>
      <c r="C3898" s="1" t="n">
        <v>45672</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59873-2024</t>
        </is>
      </c>
      <c r="B3899" s="1" t="n">
        <v>45640</v>
      </c>
      <c r="C3899" s="1" t="n">
        <v>45672</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59877-2024</t>
        </is>
      </c>
      <c r="B3900" s="1" t="n">
        <v>45640</v>
      </c>
      <c r="C3900" s="1" t="n">
        <v>45672</v>
      </c>
      <c r="D3900" t="inlineStr">
        <is>
          <t>STOCKHOLMS LÄN</t>
        </is>
      </c>
      <c r="E3900" t="inlineStr">
        <is>
          <t>NORRTÄLJE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59874-2024</t>
        </is>
      </c>
      <c r="B3901" s="1" t="n">
        <v>45640</v>
      </c>
      <c r="C3901" s="1" t="n">
        <v>45672</v>
      </c>
      <c r="D3901" t="inlineStr">
        <is>
          <t>STOCKHOLMS LÄN</t>
        </is>
      </c>
      <c r="E3901" t="inlineStr">
        <is>
          <t>NORRTÄLJE</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59878-2024</t>
        </is>
      </c>
      <c r="B3902" s="1" t="n">
        <v>45640</v>
      </c>
      <c r="C3902" s="1" t="n">
        <v>45672</v>
      </c>
      <c r="D3902" t="inlineStr">
        <is>
          <t>STOCKHOLMS LÄN</t>
        </is>
      </c>
      <c r="E3902" t="inlineStr">
        <is>
          <t>NORRTÄLJE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45672</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45672</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45672</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60160-2024</t>
        </is>
      </c>
      <c r="B3906" s="1" t="n">
        <v>45642</v>
      </c>
      <c r="C3906" s="1" t="n">
        <v>45672</v>
      </c>
      <c r="D3906" t="inlineStr">
        <is>
          <t>STOCKHOLMS LÄN</t>
        </is>
      </c>
      <c r="E3906" t="inlineStr">
        <is>
          <t>NORRTÄLJE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60317-2024</t>
        </is>
      </c>
      <c r="B3907" s="1" t="n">
        <v>45643</v>
      </c>
      <c r="C3907" s="1" t="n">
        <v>45672</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60434-2024</t>
        </is>
      </c>
      <c r="B3908" s="1" t="n">
        <v>45643</v>
      </c>
      <c r="C3908" s="1" t="n">
        <v>45672</v>
      </c>
      <c r="D3908" t="inlineStr">
        <is>
          <t>STOCKHOLMS LÄN</t>
        </is>
      </c>
      <c r="E3908" t="inlineStr">
        <is>
          <t>SIGTUNA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60423-2024</t>
        </is>
      </c>
      <c r="B3909" s="1" t="n">
        <v>45643</v>
      </c>
      <c r="C3909" s="1" t="n">
        <v>45672</v>
      </c>
      <c r="D3909" t="inlineStr">
        <is>
          <t>STOCKHOLMS LÄN</t>
        </is>
      </c>
      <c r="E3909" t="inlineStr">
        <is>
          <t>SIGTUNA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60455-2024</t>
        </is>
      </c>
      <c r="B3910" s="1" t="n">
        <v>45643</v>
      </c>
      <c r="C3910" s="1" t="n">
        <v>45672</v>
      </c>
      <c r="D3910" t="inlineStr">
        <is>
          <t>STOCKHOLMS LÄN</t>
        </is>
      </c>
      <c r="E3910" t="inlineStr">
        <is>
          <t>SIGTUNA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60509-2024</t>
        </is>
      </c>
      <c r="B3911" s="1" t="n">
        <v>45643</v>
      </c>
      <c r="C3911" s="1" t="n">
        <v>45672</v>
      </c>
      <c r="D3911" t="inlineStr">
        <is>
          <t>STOCKHOLMS LÄN</t>
        </is>
      </c>
      <c r="E3911" t="inlineStr">
        <is>
          <t>EKERÖ</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60532-2024</t>
        </is>
      </c>
      <c r="B3912" s="1" t="n">
        <v>45643</v>
      </c>
      <c r="C3912" s="1" t="n">
        <v>45672</v>
      </c>
      <c r="D3912" t="inlineStr">
        <is>
          <t>STOCKHOLMS LÄN</t>
        </is>
      </c>
      <c r="E3912" t="inlineStr">
        <is>
          <t>NACKA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45672</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60755-2024</t>
        </is>
      </c>
      <c r="B3914" s="1" t="n">
        <v>45644</v>
      </c>
      <c r="C3914" s="1" t="n">
        <v>45672</v>
      </c>
      <c r="D3914" t="inlineStr">
        <is>
          <t>STOCKHOLMS LÄN</t>
        </is>
      </c>
      <c r="E3914" t="inlineStr">
        <is>
          <t>EKERÖ</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45672</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60884-2024</t>
        </is>
      </c>
      <c r="B3916" s="1" t="n">
        <v>45644</v>
      </c>
      <c r="C3916" s="1" t="n">
        <v>45672</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60635-2024</t>
        </is>
      </c>
      <c r="B3917" s="1" t="n">
        <v>45644</v>
      </c>
      <c r="C3917" s="1" t="n">
        <v>45672</v>
      </c>
      <c r="D3917" t="inlineStr">
        <is>
          <t>STOCKHOLMS LÄN</t>
        </is>
      </c>
      <c r="E3917" t="inlineStr">
        <is>
          <t>SÖDERTÄLJE</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61039-2024</t>
        </is>
      </c>
      <c r="B3918" s="1" t="n">
        <v>45645</v>
      </c>
      <c r="C3918" s="1" t="n">
        <v>45672</v>
      </c>
      <c r="D3918" t="inlineStr">
        <is>
          <t>STOCKHOLMS LÄN</t>
        </is>
      </c>
      <c r="E3918" t="inlineStr">
        <is>
          <t>EKERÖ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61080-2024</t>
        </is>
      </c>
      <c r="B3919" s="1" t="n">
        <v>45645</v>
      </c>
      <c r="C3919" s="1" t="n">
        <v>45672</v>
      </c>
      <c r="D3919" t="inlineStr">
        <is>
          <t>STOCKHOLMS LÄN</t>
        </is>
      </c>
      <c r="E3919" t="inlineStr">
        <is>
          <t>EKERÖ</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61217-2024</t>
        </is>
      </c>
      <c r="B3920" s="1" t="n">
        <v>45645</v>
      </c>
      <c r="C3920" s="1" t="n">
        <v>45672</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61209-2024</t>
        </is>
      </c>
      <c r="B3921" s="1" t="n">
        <v>45645</v>
      </c>
      <c r="C3921" s="1" t="n">
        <v>45672</v>
      </c>
      <c r="D3921" t="inlineStr">
        <is>
          <t>STOCKHOLMS LÄN</t>
        </is>
      </c>
      <c r="E3921" t="inlineStr">
        <is>
          <t>EKERÖ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61320-2024</t>
        </is>
      </c>
      <c r="B3922" s="1" t="n">
        <v>45646</v>
      </c>
      <c r="C3922" s="1" t="n">
        <v>45672</v>
      </c>
      <c r="D3922" t="inlineStr">
        <is>
          <t>STOCKHOLMS LÄN</t>
        </is>
      </c>
      <c r="E3922" t="inlineStr">
        <is>
          <t>BOTKYRKA</t>
        </is>
      </c>
      <c r="F3922" t="inlineStr">
        <is>
          <t>Övriga Aktiebolag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61442-2024</t>
        </is>
      </c>
      <c r="B3923" s="1" t="n">
        <v>45646</v>
      </c>
      <c r="C3923" s="1" t="n">
        <v>45672</v>
      </c>
      <c r="D3923" t="inlineStr">
        <is>
          <t>STOCKHOLMS LÄN</t>
        </is>
      </c>
      <c r="E3923" t="inlineStr">
        <is>
          <t>VALLENTUNA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61582-2024</t>
        </is>
      </c>
      <c r="B3924" s="1" t="n">
        <v>45646</v>
      </c>
      <c r="C3924" s="1" t="n">
        <v>45672</v>
      </c>
      <c r="D3924" t="inlineStr">
        <is>
          <t>STOCKHOLMS LÄN</t>
        </is>
      </c>
      <c r="E3924" t="inlineStr">
        <is>
          <t>SIGTUNA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61576-2024</t>
        </is>
      </c>
      <c r="B3925" s="1" t="n">
        <v>45646</v>
      </c>
      <c r="C3925" s="1" t="n">
        <v>45672</v>
      </c>
      <c r="D3925" t="inlineStr">
        <is>
          <t>STOCKHOLMS LÄN</t>
        </is>
      </c>
      <c r="E3925" t="inlineStr">
        <is>
          <t>SIGTUNA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62129-2024</t>
        </is>
      </c>
      <c r="B3926" s="1" t="n">
        <v>45646</v>
      </c>
      <c r="C3926" s="1" t="n">
        <v>45672</v>
      </c>
      <c r="D3926" t="inlineStr">
        <is>
          <t>STOCKHOLMS LÄN</t>
        </is>
      </c>
      <c r="E3926" t="inlineStr">
        <is>
          <t>NORRTÄLJE</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61516-2024</t>
        </is>
      </c>
      <c r="B3927" s="1" t="n">
        <v>45646</v>
      </c>
      <c r="C3927" s="1" t="n">
        <v>45672</v>
      </c>
      <c r="D3927" t="inlineStr">
        <is>
          <t>STOCKHOLMS LÄN</t>
        </is>
      </c>
      <c r="E3927" t="inlineStr">
        <is>
          <t>NORRTÄLJE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61569-2024</t>
        </is>
      </c>
      <c r="B3928" s="1" t="n">
        <v>45646</v>
      </c>
      <c r="C3928" s="1" t="n">
        <v>45672</v>
      </c>
      <c r="D3928" t="inlineStr">
        <is>
          <t>STOCKHOLMS LÄN</t>
        </is>
      </c>
      <c r="E3928" t="inlineStr">
        <is>
          <t>SIGTUNA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61589-2024</t>
        </is>
      </c>
      <c r="B3929" s="1" t="n">
        <v>45646</v>
      </c>
      <c r="C3929" s="1" t="n">
        <v>45672</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273-2025</t>
        </is>
      </c>
      <c r="B3930" s="1" t="n">
        <v>45653</v>
      </c>
      <c r="C3930" s="1" t="n">
        <v>45672</v>
      </c>
      <c r="D3930" t="inlineStr">
        <is>
          <t>STOCKHOLMS LÄN</t>
        </is>
      </c>
      <c r="E3930" t="inlineStr">
        <is>
          <t>SIGTUNA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62168-2024</t>
        </is>
      </c>
      <c r="B3931" s="1" t="n">
        <v>45657</v>
      </c>
      <c r="C3931" s="1" t="n">
        <v>45672</v>
      </c>
      <c r="D3931" t="inlineStr">
        <is>
          <t>STOCKHOLMS LÄN</t>
        </is>
      </c>
      <c r="E3931" t="inlineStr">
        <is>
          <t>NORRTÄLJE</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25-2025</t>
        </is>
      </c>
      <c r="B3932" s="1" t="n">
        <v>45658</v>
      </c>
      <c r="C3932" s="1" t="n">
        <v>45672</v>
      </c>
      <c r="D3932" t="inlineStr">
        <is>
          <t>STOCKHOLMS LÄN</t>
        </is>
      </c>
      <c r="E3932" t="inlineStr">
        <is>
          <t>BOTKYRKA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19-2025</t>
        </is>
      </c>
      <c r="B3933" s="1" t="n">
        <v>45658</v>
      </c>
      <c r="C3933" s="1" t="n">
        <v>45672</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27-2025</t>
        </is>
      </c>
      <c r="B3934" s="1" t="n">
        <v>45659</v>
      </c>
      <c r="C3934" s="1" t="n">
        <v>45672</v>
      </c>
      <c r="D3934" t="inlineStr">
        <is>
          <t>STOCKHOLMS LÄN</t>
        </is>
      </c>
      <c r="E3934" t="inlineStr">
        <is>
          <t>BOTKYRKA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22-2025</t>
        </is>
      </c>
      <c r="B3935" s="1" t="n">
        <v>45658</v>
      </c>
      <c r="C3935" s="1" t="n">
        <v>45672</v>
      </c>
      <c r="D3935" t="inlineStr">
        <is>
          <t>STOCKHOLMS LÄN</t>
        </is>
      </c>
      <c r="E3935" t="inlineStr">
        <is>
          <t>NORRTÄLJE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44-2025</t>
        </is>
      </c>
      <c r="B3936" s="1" t="n">
        <v>45659</v>
      </c>
      <c r="C3936" s="1" t="n">
        <v>45672</v>
      </c>
      <c r="D3936" t="inlineStr">
        <is>
          <t>STOCKHOLMS LÄN</t>
        </is>
      </c>
      <c r="E3936" t="inlineStr">
        <is>
          <t>BOTKYRKA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520-2025</t>
        </is>
      </c>
      <c r="B3937" s="1" t="n">
        <v>45664</v>
      </c>
      <c r="C3937" s="1" t="n">
        <v>45672</v>
      </c>
      <c r="D3937" t="inlineStr">
        <is>
          <t>STOCKHOLMS LÄN</t>
        </is>
      </c>
      <c r="E3937" t="inlineStr">
        <is>
          <t>NORRTÄLJE</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652-2025</t>
        </is>
      </c>
      <c r="B3938" s="1" t="n">
        <v>45664</v>
      </c>
      <c r="C3938" s="1" t="n">
        <v>45672</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636-2025</t>
        </is>
      </c>
      <c r="B3939" s="1" t="n">
        <v>45664</v>
      </c>
      <c r="C3939" s="1" t="n">
        <v>45672</v>
      </c>
      <c r="D3939" t="inlineStr">
        <is>
          <t>STOCKHOLMS LÄN</t>
        </is>
      </c>
      <c r="E3939" t="inlineStr">
        <is>
          <t>NYNÄSHAMN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827-2025</t>
        </is>
      </c>
      <c r="B3940" s="1" t="n">
        <v>45665</v>
      </c>
      <c r="C3940" s="1" t="n">
        <v>45672</v>
      </c>
      <c r="D3940" t="inlineStr">
        <is>
          <t>STOCKHOLMS LÄN</t>
        </is>
      </c>
      <c r="E3940" t="inlineStr">
        <is>
          <t>NORRTÄLJE</t>
        </is>
      </c>
      <c r="F3940" t="inlineStr">
        <is>
          <t>Övriga Aktiebolag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824-2025</t>
        </is>
      </c>
      <c r="B3941" s="1" t="n">
        <v>45665</v>
      </c>
      <c r="C3941" s="1" t="n">
        <v>45672</v>
      </c>
      <c r="D3941" t="inlineStr">
        <is>
          <t>STOCKHOLMS LÄN</t>
        </is>
      </c>
      <c r="E3941" t="inlineStr">
        <is>
          <t>NORRTÄLJE</t>
        </is>
      </c>
      <c r="F3941" t="inlineStr">
        <is>
          <t>Övriga Aktiebolag</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1240-2025</t>
        </is>
      </c>
      <c r="B3942" s="1" t="n">
        <v>45667</v>
      </c>
      <c r="C3942" s="1" t="n">
        <v>45672</v>
      </c>
      <c r="D3942" t="inlineStr">
        <is>
          <t>STOCKHOLMS LÄN</t>
        </is>
      </c>
      <c r="E3942" t="inlineStr">
        <is>
          <t>BOTKYRKA</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1283-2025</t>
        </is>
      </c>
      <c r="B3943" s="1" t="n">
        <v>45667</v>
      </c>
      <c r="C3943" s="1" t="n">
        <v>45672</v>
      </c>
      <c r="D3943" t="inlineStr">
        <is>
          <t>STOCKHOLMS LÄN</t>
        </is>
      </c>
      <c r="E3943" t="inlineStr">
        <is>
          <t>NORRTÄLJE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1360-2025</t>
        </is>
      </c>
      <c r="B3944" s="1" t="n">
        <v>45667</v>
      </c>
      <c r="C3944" s="1" t="n">
        <v>45672</v>
      </c>
      <c r="D3944" t="inlineStr">
        <is>
          <t>STOCKHOLMS LÄN</t>
        </is>
      </c>
      <c r="E3944" t="inlineStr">
        <is>
          <t>NORRTÄLJE</t>
        </is>
      </c>
      <c r="F3944" t="inlineStr">
        <is>
          <t>Kyrkan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1425-2025</t>
        </is>
      </c>
      <c r="B3945" s="1" t="n">
        <v>45668</v>
      </c>
      <c r="C3945" s="1" t="n">
        <v>45672</v>
      </c>
      <c r="D3945" t="inlineStr">
        <is>
          <t>STOCKHOLMS LÄN</t>
        </is>
      </c>
      <c r="E3945" t="inlineStr">
        <is>
          <t>NORRTÄLJE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1453-2025</t>
        </is>
      </c>
      <c r="B3946" s="1" t="n">
        <v>45670</v>
      </c>
      <c r="C3946" s="1" t="n">
        <v>45672</v>
      </c>
      <c r="D3946" t="inlineStr">
        <is>
          <t>STOCKHOLMS LÄN</t>
        </is>
      </c>
      <c r="E3946" t="inlineStr">
        <is>
          <t>NORRTÄLJE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1628-2025</t>
        </is>
      </c>
      <c r="B3947" s="1" t="n">
        <v>45670</v>
      </c>
      <c r="C3947" s="1" t="n">
        <v>45672</v>
      </c>
      <c r="D3947" t="inlineStr">
        <is>
          <t>STOCKHOLMS LÄN</t>
        </is>
      </c>
      <c r="E3947" t="inlineStr">
        <is>
          <t>SIGTUNA</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1654-2025</t>
        </is>
      </c>
      <c r="B3948" s="1" t="n">
        <v>45670</v>
      </c>
      <c r="C3948" s="1" t="n">
        <v>45672</v>
      </c>
      <c r="D3948" t="inlineStr">
        <is>
          <t>STOCKHOLMS LÄN</t>
        </is>
      </c>
      <c r="E3948" t="inlineStr">
        <is>
          <t>NORRTÄLJE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1759-2025</t>
        </is>
      </c>
      <c r="B3949" s="1" t="n">
        <v>45671</v>
      </c>
      <c r="C3949" s="1" t="n">
        <v>45672</v>
      </c>
      <c r="D3949" t="inlineStr">
        <is>
          <t>STOCKHOLMS LÄN</t>
        </is>
      </c>
      <c r="E3949" t="inlineStr">
        <is>
          <t>SÖDERTÄLJE</t>
        </is>
      </c>
      <c r="G3949" t="n">
        <v>3.1</v>
      </c>
      <c r="H3949" t="n">
        <v>0</v>
      </c>
      <c r="I3949" t="n">
        <v>0</v>
      </c>
      <c r="J3949" t="n">
        <v>0</v>
      </c>
      <c r="K3949" t="n">
        <v>0</v>
      </c>
      <c r="L3949" t="n">
        <v>0</v>
      </c>
      <c r="M3949" t="n">
        <v>0</v>
      </c>
      <c r="N3949" t="n">
        <v>0</v>
      </c>
      <c r="O3949" t="n">
        <v>0</v>
      </c>
      <c r="P3949" t="n">
        <v>0</v>
      </c>
      <c r="Q3949" t="n">
        <v>0</v>
      </c>
      <c r="R3949" s="2" t="inlineStr"/>
    </row>
    <row r="3950">
      <c r="A3950" t="inlineStr">
        <is>
          <t>A 1890-2025</t>
        </is>
      </c>
      <c r="B3950" s="1" t="n">
        <v>45671</v>
      </c>
      <c r="C3950" s="1" t="n">
        <v>45672</v>
      </c>
      <c r="D3950" t="inlineStr">
        <is>
          <t>STOCKHOLMS LÄN</t>
        </is>
      </c>
      <c r="E3950" t="inlineStr">
        <is>
          <t>NORRTÄLJE</t>
        </is>
      </c>
      <c r="G3950" t="n">
        <v>3.6</v>
      </c>
      <c r="H3950" t="n">
        <v>0</v>
      </c>
      <c r="I3950" t="n">
        <v>0</v>
      </c>
      <c r="J3950" t="n">
        <v>0</v>
      </c>
      <c r="K3950" t="n">
        <v>0</v>
      </c>
      <c r="L3950" t="n">
        <v>0</v>
      </c>
      <c r="M3950" t="n">
        <v>0</v>
      </c>
      <c r="N3950" t="n">
        <v>0</v>
      </c>
      <c r="O3950" t="n">
        <v>0</v>
      </c>
      <c r="P3950" t="n">
        <v>0</v>
      </c>
      <c r="Q3950" t="n">
        <v>0</v>
      </c>
      <c r="R3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2025-01-15T15:53:52Z</dcterms:created>
  <dcterms:modified xmlns:dcterms="http://purl.org/dc/terms/" xmlns:xsi="http://www.w3.org/2001/XMLSchema-instance" xsi:type="dcterms:W3CDTF">2025-01-15T15:53:56Z</dcterms:modified>
</cp:coreProperties>
</file>
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45847</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45847</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45847</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45847</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45847</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45847</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45847</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45847</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45847</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45847</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45847</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45847</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45847</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45847</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45847</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45847</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45847</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45847</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45847</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45847</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45847</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45847</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45847</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45847</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45847</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45847</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45847</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45847</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45847</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45847</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45847</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45847</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45847</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45847</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45847</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45847</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45847</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45847</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45847</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45847</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45847</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45847</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45847</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45847</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45847</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45847</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45847</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45847</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45847</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45847</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45847</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45847</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45847</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45847</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45847</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45847</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45847</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45847</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45847</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45847</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45847</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45847</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45847</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45847</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45847</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45847</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45847</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45847</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45847</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45847</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45847</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45847</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45847</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45847</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45847</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45847</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45847</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45847</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45847</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45847</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45847</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45847</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45847</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45847</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45847</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45847</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45847</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45847</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45847</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45847</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45847</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45847</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45847</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45847</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45847</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45847</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45847</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45847</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45847</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45847</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45847</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45847</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45847</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45847</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45847</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45847</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45847</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45847</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45847</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45847</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45847</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45847</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45847</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45847</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45847</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45847</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45847</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45847</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45847</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45847</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45847</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45847</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45847</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45847</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45847</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45847</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45847</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45847</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45847</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45847</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45847</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45847</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45847</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45847</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45847</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45847</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45847</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45847</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45847</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45847</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45847</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45847</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45847</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45847</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45847</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45847</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45847</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45847</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45847</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45847</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45847</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45847</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45847</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45847</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45847</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45847</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45847</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45847</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45847</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45847</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45847</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45847</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45847</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45847</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45847</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45847</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45847</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45847</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45847</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45847</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45847</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45847</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45847</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45847</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45847</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45847</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45847</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45847</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45847</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45847</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45847</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45847</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45847</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45847</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45847</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45847</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45847</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45847</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45847</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45847</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45847</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45847</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45847</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45847</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45847</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45847</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45847</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45847</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45847</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45847</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45847</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45847</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45847</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45847</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45847</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45847</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45847</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45847</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45847</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45847</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45847</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45847</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45847</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45847</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45847</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45847</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45847</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45847</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45847</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45847</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45847</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45847</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45847</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45847</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45847</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45847</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45847</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45847</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45847</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45847</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45847</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45847</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45847</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45847</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45847</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45847</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45847</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45847</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45847</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45847</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45847</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45847</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45847</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45847</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45847</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45847</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45847</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45847</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45847</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45847</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45847</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45847</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45847</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45847</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45847</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45847</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45847</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45847</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45847</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45847</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45847</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45847</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45847</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45847</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45847</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45847</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45847</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45847</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45847</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45847</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45847</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45847</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45847</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45847</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45847</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45847</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45847</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45847</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45847</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45847</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45847</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45847</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45847</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45847</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45847</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45847</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45847</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45847</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45847</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45847</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45847</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45847</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45847</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45847</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45847</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45847</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45847</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45847</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45847</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45847</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45847</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45847</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45847</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45847</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45847</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45847</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45847</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45847</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45847</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45847</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45847</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45847</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45847</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45847</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45847</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45847</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45847</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45847</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45847</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45847</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45847</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45847</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45847</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45847</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45847</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45847</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45847</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45847</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45847</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45847</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45847</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45847</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45847</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45847</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45847</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45847</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45847</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45847</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45847</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45847</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45847</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45847</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45847</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45847</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45847</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45847</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45847</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45847</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45847</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45847</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45847</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45847</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45847</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45847</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45847</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45847</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45847</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45847</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45847</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45847</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45847</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45847</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45847</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45847</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45847</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45847</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45847</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45847</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45847</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45847</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45847</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45847</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45847</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45847</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45847</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45847</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45847</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45847</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45847</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45847</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45847</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45847</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45847</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45847</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45847</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45847</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45847</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45847</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45847</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45847</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45847</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45847</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45847</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45847</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45847</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45847</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45847</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45847</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45847</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45847</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45847</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45847</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45847</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45847</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45847</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45847</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45847</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45847</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45847</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45847</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45847</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45847</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45847</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45847</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45847</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45847</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45847</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45847</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45847</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45847</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45847</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45847</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45847</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45847</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45847</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45847</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45847</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45847</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45847</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45847</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45847</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45847</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45847</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45847</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45847</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45847</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45847</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45847</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45847</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45847</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45847</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45847</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45847</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45847</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45847</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45847</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45847</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45847</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45847</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45847</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45847</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45847</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45847</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45847</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45847</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45847</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45847</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45847</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45847</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45847</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45847</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45847</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45847</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45847</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45847</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45847</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45847</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45847</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45847</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45847</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45847</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45847</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45847</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45847</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45847</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45847</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45847</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45847</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45847</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45847</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45847</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45847</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45847</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45847</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45847</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45847</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45847</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45847</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45847</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45847</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45847</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45847</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45847</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45847</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45847</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45847</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45847</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45847</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45847</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45847</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45847</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45847</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45847</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45847</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45847</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45847</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45847</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45847</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45847</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45847</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45847</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45847</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45847</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45847</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45847</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45847</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45847</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45847</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45847</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45847</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45847</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45847</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45847</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45847</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45847</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45847</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45847</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45847</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45847</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45847</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45847</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45847</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45847</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45847</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45847</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45847</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45847</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45847</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45847</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45847</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45847</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45847</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45847</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45847</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45847</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45847</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45847</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45847</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45847</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45847</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45847</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45847</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45847</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45847</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45847</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45847</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45847</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45847</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45847</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45847</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45847</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45847</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45847</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45847</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45847</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45847</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45847</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45847</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45847</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45847</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45847</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45847</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45847</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45847</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45847</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45847</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45847</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45847</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45847</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45847</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45847</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45847</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45847</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45847</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45847</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45847</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45847</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45847</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45847</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45847</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45847</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45847</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45847</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45847</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45847</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45847</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45847</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45847</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45847</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45847</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45847</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45847</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45847</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45847</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45847</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45847</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45847</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45847</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45847</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45847</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45847</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45847</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45847</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45847</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45847</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45847</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45847</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45847</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45847</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45847</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45847</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45847</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45847</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45847</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45847</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45847</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33411-2025</t>
        </is>
      </c>
      <c r="B658" s="1" t="n">
        <v>45839</v>
      </c>
      <c r="C658" s="1" t="n">
        <v>45847</v>
      </c>
      <c r="D658" t="inlineStr">
        <is>
          <t>STOCKHOLMS LÄN</t>
        </is>
      </c>
      <c r="E658" t="inlineStr">
        <is>
          <t>SALEM</t>
        </is>
      </c>
      <c r="G658" t="n">
        <v>2.8</v>
      </c>
      <c r="H658" t="n">
        <v>1</v>
      </c>
      <c r="I658" t="n">
        <v>0</v>
      </c>
      <c r="J658" t="n">
        <v>1</v>
      </c>
      <c r="K658" t="n">
        <v>0</v>
      </c>
      <c r="L658" t="n">
        <v>0</v>
      </c>
      <c r="M658" t="n">
        <v>0</v>
      </c>
      <c r="N658" t="n">
        <v>0</v>
      </c>
      <c r="O658" t="n">
        <v>1</v>
      </c>
      <c r="P658" t="n">
        <v>0</v>
      </c>
      <c r="Q658" t="n">
        <v>1</v>
      </c>
      <c r="R658" s="2" t="inlineStr">
        <is>
          <t>Spillkråka</t>
        </is>
      </c>
      <c r="S658">
        <f>HYPERLINK("https://klasma.github.io/Logging_010128/artfynd/A 33411-2025 artfynd.xlsx", "A 33411-2025")</f>
        <v/>
      </c>
      <c r="T658">
        <f>HYPERLINK("https://klasma.github.io/Logging_010128/kartor/A 33411-2025 karta.png", "A 33411-2025")</f>
        <v/>
      </c>
      <c r="V658">
        <f>HYPERLINK("https://klasma.github.io/Logging_010128/klagomål/A 33411-2025 FSC-klagomål.docx", "A 33411-2025")</f>
        <v/>
      </c>
      <c r="W658">
        <f>HYPERLINK("https://klasma.github.io/Logging_010128/klagomålsmail/A 33411-2025 FSC-klagomål mail.docx", "A 33411-2025")</f>
        <v/>
      </c>
      <c r="X658">
        <f>HYPERLINK("https://klasma.github.io/Logging_010128/tillsyn/A 33411-2025 tillsynsbegäran.docx", "A 33411-2025")</f>
        <v/>
      </c>
      <c r="Y658">
        <f>HYPERLINK("https://klasma.github.io/Logging_010128/tillsynsmail/A 33411-2025 tillsynsbegäran mail.docx", "A 33411-2025")</f>
        <v/>
      </c>
      <c r="Z658">
        <f>HYPERLINK("https://klasma.github.io/Logging_010128/fåglar/A 33411-2025 prioriterade fågelarter.docx", "A 33411-2025")</f>
        <v/>
      </c>
    </row>
    <row r="659" ht="15" customHeight="1">
      <c r="A659" t="inlineStr">
        <is>
          <t>A 32951-2025</t>
        </is>
      </c>
      <c r="B659" s="1" t="n">
        <v>45839</v>
      </c>
      <c r="C659" s="1" t="n">
        <v>45847</v>
      </c>
      <c r="D659" t="inlineStr">
        <is>
          <t>STOCKHOLMS LÄN</t>
        </is>
      </c>
      <c r="E659" t="inlineStr">
        <is>
          <t>SALEM</t>
        </is>
      </c>
      <c r="G659" t="n">
        <v>2.6</v>
      </c>
      <c r="H659" t="n">
        <v>0</v>
      </c>
      <c r="I659" t="n">
        <v>0</v>
      </c>
      <c r="J659" t="n">
        <v>1</v>
      </c>
      <c r="K659" t="n">
        <v>0</v>
      </c>
      <c r="L659" t="n">
        <v>0</v>
      </c>
      <c r="M659" t="n">
        <v>0</v>
      </c>
      <c r="N659" t="n">
        <v>0</v>
      </c>
      <c r="O659" t="n">
        <v>1</v>
      </c>
      <c r="P659" t="n">
        <v>0</v>
      </c>
      <c r="Q659" t="n">
        <v>1</v>
      </c>
      <c r="R659" s="2" t="inlineStr">
        <is>
          <t>Etternässla</t>
        </is>
      </c>
      <c r="S659">
        <f>HYPERLINK("https://klasma.github.io/Logging_010128/artfynd/A 32951-2025 artfynd.xlsx", "A 32951-2025")</f>
        <v/>
      </c>
      <c r="T659">
        <f>HYPERLINK("https://klasma.github.io/Logging_010128/kartor/A 32951-2025 karta.png", "A 32951-2025")</f>
        <v/>
      </c>
      <c r="V659">
        <f>HYPERLINK("https://klasma.github.io/Logging_010128/klagomål/A 32951-2025 FSC-klagomål.docx", "A 32951-2025")</f>
        <v/>
      </c>
      <c r="W659">
        <f>HYPERLINK("https://klasma.github.io/Logging_010128/klagomålsmail/A 32951-2025 FSC-klagomål mail.docx", "A 32951-2025")</f>
        <v/>
      </c>
      <c r="X659">
        <f>HYPERLINK("https://klasma.github.io/Logging_010128/tillsyn/A 32951-2025 tillsynsbegäran.docx", "A 32951-2025")</f>
        <v/>
      </c>
      <c r="Y659">
        <f>HYPERLINK("https://klasma.github.io/Logging_010128/tillsynsmail/A 32951-2025 tillsynsbegäran mail.docx", "A 32951-2025")</f>
        <v/>
      </c>
    </row>
    <row r="660" ht="15" customHeight="1">
      <c r="A660" t="inlineStr">
        <is>
          <t>A 33548-2025</t>
        </is>
      </c>
      <c r="B660" s="1" t="n">
        <v>45841</v>
      </c>
      <c r="C660" s="1" t="n">
        <v>45847</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45847</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45847</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45847</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45847</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45847</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45847</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45847</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45847</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45847</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45847</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45847</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45847</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45847</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45847</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45847</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45847</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45847</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45847</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45847</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45847</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45847</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45847</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45847</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45847</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45847</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45847</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45847</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45847</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45847</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45847</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45847</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45847</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45847</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45847</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45847</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45847</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45847</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45847</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45847</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45847</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45847</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45847</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45847</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45847</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45847</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45847</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45847</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45847</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45847</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45847</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45847</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45847</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45847</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45847</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45847</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45847</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45847</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45847</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45847</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45847</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45847</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45847</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45847</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45847</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45847</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45847</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45847</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45847</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45847</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45847</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45847</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45847</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45847</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45847</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45847</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45847</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45847</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45847</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45847</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45847</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45847</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45847</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45847</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45847</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45847</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45847</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45847</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45847</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45847</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45847</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45847</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45847</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45847</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45847</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45847</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45847</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45847</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45847</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45847</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45847</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45847</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45847</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45847</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45847</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45847</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45847</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45847</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45847</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45847</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45847</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45847</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45847</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45847</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45847</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45847</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45847</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45847</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45847</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45847</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45847</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45847</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45847</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45847</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45847</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45847</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45847</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45847</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45847</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45847</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45847</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45847</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45847</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45847</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45847</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45847</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45847</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45847</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45847</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45847</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45847</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45847</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45847</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45847</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45847</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45847</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45847</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45847</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45847</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45847</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45847</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45847</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45847</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45847</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45847</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45847</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45847</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45847</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45847</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45847</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45847</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45847</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45847</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45847</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45847</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45847</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45847</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45847</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45847</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45847</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45847</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45847</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45847</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45847</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45847</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45847</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45847</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45847</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45847</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45847</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45847</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45847</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45847</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45847</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45847</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45847</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45847</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45847</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45847</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45847</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45847</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45847</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45847</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45847</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45847</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45847</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45847</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45847</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45847</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45847</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45847</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45847</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45847</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45847</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45847</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45847</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45847</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45847</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45847</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45847</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45847</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45847</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45847</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45847</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45847</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45847</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45847</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45847</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45847</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45847</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45847</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45847</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45847</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45847</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45847</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45847</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45847</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45847</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45847</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45847</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45847</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45847</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45847</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45847</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45847</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45847</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45847</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45847</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45847</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45847</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45847</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45847</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45847</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45847</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45847</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45847</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45847</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45847</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45847</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45847</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45847</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45847</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45847</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45847</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45847</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45847</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45847</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45847</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45847</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45847</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45847</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45847</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45847</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45847</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45847</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45847</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45847</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45847</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45847</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45847</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45847</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45847</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45847</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45847</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45847</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45847</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45847</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45847</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45847</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45847</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45847</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45847</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45847</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45847</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45847</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45847</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45847</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45847</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45847</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45847</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45847</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45847</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45847</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45847</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45847</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45847</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45847</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45847</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45847</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45847</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45847</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45847</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45847</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45847</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45847</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45847</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45847</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45847</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45847</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45847</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45847</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45847</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45847</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45847</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45847</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45847</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45847</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45847</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45847</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45847</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45847</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45847</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45847</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45847</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45847</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45847</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45847</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45847</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45847</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45847</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45847</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45847</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45847</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45847</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45847</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45847</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45847</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45847</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45847</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45847</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45847</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45847</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45847</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45847</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45847</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45847</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45847</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45847</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45847</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45847</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45847</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45847</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45847</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45847</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45847</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45847</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45847</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45847</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45847</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45847</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45847</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45847</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45847</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45847</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45847</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45847</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45847</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45847</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45847</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45847</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45847</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45847</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45847</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45847</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45847</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45847</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45847</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45847</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45847</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45847</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45847</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45847</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45847</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45847</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45847</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45847</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45847</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45847</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45847</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45847</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45847</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45847</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45847</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45847</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45847</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45847</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45847</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45847</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45847</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45847</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45847</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45847</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45847</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45847</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45847</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45847</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45847</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45847</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45847</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45847</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45847</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45847</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45847</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45847</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45847</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45847</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45847</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45847</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45847</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45847</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45847</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45847</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45847</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45847</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45847</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45847</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45847</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45847</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45847</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45847</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45847</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45847</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45847</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45847</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45847</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45847</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45847</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45847</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45847</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45847</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45847</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45847</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45847</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45847</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45847</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45847</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45847</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45847</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45847</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45847</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45847</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45847</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45847</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45847</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45847</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45847</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45847</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45847</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45847</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45847</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45847</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45847</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45847</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45847</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45847</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45847</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45847</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45847</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45847</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45847</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45847</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45847</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45847</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45847</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45847</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45847</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45847</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45847</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45847</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45847</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45847</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45847</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45847</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45847</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45847</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45847</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45847</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45847</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45847</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45847</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45847</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45847</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45847</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45847</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45847</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45847</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45847</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45847</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45847</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45847</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45847</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45847</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45847</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45847</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45847</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45847</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45847</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45847</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45847</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45847</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45847</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45847</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45847</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45847</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45847</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45847</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45847</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45847</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45847</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45847</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45847</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45847</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45847</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45847</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45847</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45847</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45847</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45847</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45847</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45847</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45847</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45847</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45847</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45847</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45847</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45847</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45847</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45847</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45847</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45847</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45847</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45847</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45847</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45847</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45847</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45847</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45847</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45847</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45847</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45847</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45847</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45847</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45847</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45847</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45847</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45847</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45847</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45847</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45847</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45847</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45847</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45847</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45847</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45847</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45847</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45847</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45847</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45847</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45847</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45847</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45847</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45847</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45847</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45847</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45847</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45847</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45847</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45847</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45847</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45847</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45847</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45847</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45847</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45847</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45847</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45847</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45847</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45847</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45847</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45847</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45847</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45847</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45847</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45847</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45847</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45847</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45847</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45847</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45847</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45847</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45847</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45847</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45847</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45847</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45847</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45847</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45847</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45847</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45847</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45847</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45847</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45847</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45847</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45847</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45847</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45847</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45847</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45847</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45847</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45847</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45847</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45847</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45847</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45847</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45847</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45847</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45847</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45847</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45847</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45847</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45847</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45847</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45847</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45847</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45847</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45847</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45847</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45847</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45847</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45847</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45847</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45847</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45847</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45847</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45847</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45847</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45847</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45847</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45847</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45847</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45847</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45847</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45847</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45847</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45847</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45847</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45847</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45847</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45847</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45847</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45847</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45847</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45847</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45847</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45847</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45847</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45847</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45847</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45847</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45847</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45847</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45847</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45847</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45847</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45847</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45847</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45847</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45847</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45847</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45847</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45847</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45847</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45847</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45847</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45847</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45847</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45847</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45847</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45847</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45847</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45847</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45847</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45847</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45847</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45847</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45847</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45847</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45847</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45847</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45847</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45847</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45847</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45847</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45847</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45847</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45847</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45847</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45847</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45847</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45847</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45847</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45847</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45847</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45847</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45847</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45847</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45847</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45847</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45847</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45847</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45847</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45847</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45847</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45847</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45847</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45847</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45847</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45847</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45847</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45847</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45847</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45847</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45847</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45847</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45847</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45847</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45847</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45847</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45847</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45847</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45847</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45847</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45847</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45847</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45847</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45847</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45847</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45847</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45847</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45847</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45847</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45847</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45847</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45847</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45847</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45847</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45847</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45847</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45847</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45847</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45847</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45847</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45847</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45847</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45847</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45847</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45847</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45847</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45847</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45847</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45847</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45847</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45847</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45847</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45847</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45847</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45847</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45847</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45847</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45847</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45847</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45847</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45847</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45847</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45847</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45847</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45847</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45847</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45847</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45847</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45847</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45847</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45847</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45847</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45847</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45847</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45847</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45847</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45847</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45847</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45847</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45847</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45847</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45847</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45847</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45847</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45847</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45847</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45847</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45847</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45847</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45847</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45847</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45847</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45847</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45847</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45847</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45847</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45847</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45847</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45847</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45847</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45847</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45847</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45847</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45847</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45847</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45847</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45847</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45847</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45847</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45847</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45847</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45847</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45847</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45847</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45847</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45847</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45847</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45847</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45847</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45847</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45847</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45847</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45847</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45847</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45847</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45847</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45847</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45847</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45847</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45847</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45847</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45847</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45847</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45847</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45847</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45847</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45847</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45847</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45847</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45847</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45847</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45847</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45847</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45847</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45847</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45847</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45847</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45847</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45847</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45847</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45847</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45847</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45847</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45847</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45847</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45847</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45847</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45847</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45847</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45847</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45847</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45847</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45847</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45847</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45847</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45847</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45847</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45847</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45847</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45847</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45847</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45847</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45847</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45847</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45847</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45847</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45847</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45847</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45847</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45847</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45847</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45847</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45847</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45847</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45847</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45847</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45847</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45847</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45847</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45847</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45847</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45847</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45847</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45847</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45847</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45847</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45847</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45847</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45847</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45847</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45847</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45847</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45847</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45847</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45847</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45847</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45847</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45847</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45847</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45847</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45847</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45847</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45847</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45847</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45847</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45847</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45847</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45847</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45847</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45847</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45847</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45847</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45847</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45847</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45847</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45847</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45847</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45847</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45847</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45847</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45847</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45847</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45847</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45847</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45847</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45847</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45847</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45847</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45847</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45847</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45847</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45847</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45847</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45847</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45847</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45847</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45847</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45847</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45847</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45847</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45847</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45847</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45847</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45847</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45847</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45847</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45847</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45847</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45847</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45847</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45847</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45847</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45847</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45847</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45847</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45847</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45847</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45847</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45847</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45847</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45847</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45847</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45847</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45847</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45847</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45847</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45847</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45847</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45847</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45847</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45847</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45847</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45847</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45847</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45847</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45847</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45847</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45847</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45847</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45847</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45847</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45847</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45847</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45847</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45847</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45847</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45847</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45847</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45847</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45847</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45847</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45847</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45847</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45847</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45847</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45847</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45847</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45847</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45847</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45847</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45847</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45847</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45847</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45847</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45847</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45847</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45847</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45847</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45847</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45847</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45847</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45847</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45847</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45847</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45847</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45847</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45847</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45847</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45847</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45847</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45847</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45847</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45847</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45847</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45847</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45847</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45847</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45847</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45847</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45847</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45847</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45847</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45847</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45847</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45847</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45847</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45847</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45847</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45847</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45847</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45847</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45847</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45847</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45847</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45847</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45847</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45847</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45847</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45847</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45847</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45847</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45847</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45847</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45847</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45847</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45847</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45847</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45847</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45847</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45847</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45847</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45847</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45847</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45847</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45847</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45847</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45847</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45847</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45847</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45847</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45847</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45847</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45847</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45847</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45847</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45847</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45847</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45847</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45847</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45847</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45847</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45847</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45847</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45847</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45847</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45847</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45847</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45847</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45847</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45847</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45847</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45847</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45847</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45847</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45847</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45847</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45847</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45847</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45847</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45847</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45847</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45847</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45847</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45847</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45847</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45847</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45847</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45847</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45847</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45847</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45847</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45847</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45847</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45847</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45847</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45847</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45847</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45847</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45847</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45847</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45847</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45847</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45847</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45847</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45847</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45847</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45847</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45847</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45847</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45847</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45847</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45847</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45847</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45847</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45847</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45847</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45847</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45847</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45847</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45847</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45847</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45847</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45847</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45847</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45847</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45847</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45847</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45847</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45847</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45847</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45847</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45847</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45847</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45847</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45847</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45847</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45847</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45847</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45847</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45847</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45847</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45847</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45847</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45847</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45847</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45847</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45847</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45847</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45847</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45847</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45847</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45847</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45847</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45847</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45847</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45847</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45847</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45847</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45847</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45847</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45847</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45847</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45847</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45847</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45847</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45847</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45847</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45847</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45847</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45847</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45847</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45847</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45847</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45847</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45847</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45847</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45847</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45847</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45847</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45847</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45847</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45847</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45847</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45847</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45847</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45847</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45847</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45847</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45847</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45847</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45847</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45847</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45847</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45847</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45847</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45847</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45847</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45847</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45847</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45847</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45847</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45847</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45847</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45847</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45847</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45847</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45847</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45847</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45847</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45847</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45847</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45847</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45847</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45847</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45847</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45847</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45847</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45847</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45847</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45847</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45847</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45847</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45847</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45847</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45847</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45847</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45847</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45847</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45847</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45847</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45847</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45847</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45847</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45847</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45847</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45847</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45847</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45847</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45847</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45847</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45847</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45847</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45847</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45847</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45847</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45847</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45847</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45847</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45847</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45847</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45847</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45847</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45847</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45847</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45847</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45847</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45847</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45847</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45847</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45847</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45847</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45847</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45847</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45847</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45847</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45847</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45847</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45847</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45847</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45847</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45847</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45847</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45847</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45847</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45847</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45847</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45847</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45847</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45847</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45847</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45847</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45847</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45847</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45847</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45847</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45847</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45847</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45847</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45847</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45847</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45847</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45847</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45847</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45847</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45847</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45847</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45847</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45847</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45847</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45847</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45847</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45847</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45847</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45847</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45847</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45847</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45847</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45847</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45847</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45847</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45847</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45847</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45847</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45847</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45847</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45847</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45847</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45847</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45847</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45847</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45847</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45847</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45847</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45847</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45847</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45847</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45847</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45847</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45847</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45847</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45847</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45847</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45847</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45847</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45847</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45847</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45847</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45847</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45847</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45847</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45847</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45847</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45847</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45847</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45847</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45847</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45847</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45847</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45847</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45847</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45847</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45847</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45847</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45847</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45847</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45847</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45847</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45847</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45847</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45847</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45847</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45847</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45847</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45847</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45847</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45847</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45847</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45847</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45847</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45847</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45847</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45847</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45847</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45847</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45847</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45847</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45847</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45847</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45847</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45847</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45847</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45847</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45847</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45847</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45847</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45847</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45847</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45847</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45847</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45847</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45847</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45847</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45847</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45847</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45847</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45847</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45847</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45847</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45847</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45847</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45847</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45847</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45847</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45847</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45847</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45847</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45847</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45847</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45847</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45847</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45847</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45847</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45847</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45847</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45847</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45847</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45847</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45847</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45847</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45847</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45847</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45847</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45847</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45847</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45847</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45847</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45847</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45847</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45847</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45847</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45847</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45847</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45847</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45847</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45847</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45847</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45847</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45847</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45847</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45847</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45847</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45847</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45847</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45847</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45847</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45847</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45847</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45847</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45847</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45847</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45847</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45847</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45847</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45847</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45847</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45847</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45847</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45847</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45847</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45847</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45847</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45847</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45847</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45847</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45847</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45847</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45847</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45847</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45847</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45847</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45847</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45847</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45847</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45847</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45847</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45847</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45847</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45847</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45847</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45847</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45847</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45847</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45847</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45847</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45847</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45847</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45847</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45847</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45847</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45847</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45847</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45847</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45847</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45847</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45847</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45847</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45847</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45847</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45847</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45847</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45847</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45847</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45847</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45847</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45847</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45847</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45847</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45847</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45847</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45847</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45847</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45847</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45847</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45847</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45847</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45847</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45847</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45847</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45847</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45847</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45847</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45847</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45847</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45847</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45847</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45847</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45847</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45847</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45847</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45847</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45847</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45847</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45847</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45847</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45847</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45847</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45847</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45847</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45847</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45847</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45847</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45847</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45847</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45847</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45847</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45847</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45847</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45847</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45847</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45847</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45847</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45847</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45847</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45847</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45847</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45847</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45847</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45847</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45847</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45847</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45847</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45847</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45847</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45847</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45847</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45847</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45847</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45847</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45847</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45847</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45847</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45847</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45847</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45847</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45847</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45847</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45847</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45847</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45847</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45847</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45847</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45847</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45847</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45847</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45847</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45847</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45847</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45847</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45847</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45847</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45847</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45847</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45847</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45847</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45847</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45847</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45847</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45847</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45847</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45847</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45847</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45847</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45847</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45847</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45847</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45847</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45847</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45847</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45847</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45847</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45847</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45847</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45847</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45847</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45847</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45847</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45847</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45847</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45847</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45847</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45847</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45847</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45847</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45847</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45847</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45847</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45847</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45847</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45847</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45847</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45847</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45847</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45847</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45847</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45847</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45847</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45847</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45847</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45847</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45847</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45847</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45847</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45847</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45847</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45847</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45847</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45847</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45847</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45847</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45847</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45847</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45847</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45847</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45847</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45847</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45847</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45847</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45847</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45847</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45847</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45847</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45847</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45847</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45847</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45847</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45847</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45847</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45847</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45847</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45847</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45847</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45847</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45847</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45847</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45847</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45847</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45847</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45847</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45847</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45847</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45847</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45847</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45847</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45847</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45847</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45847</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45847</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45847</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45847</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45847</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45847</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45847</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45847</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45847</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45847</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45847</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45847</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45847</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45847</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45847</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45847</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45847</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45847</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45847</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45847</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45847</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45847</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45847</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45847</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45847</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45847</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45847</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45847</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45847</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45847</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45847</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45847</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45847</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45847</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45847</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45847</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45847</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45847</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45847</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45847</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45847</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45847</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45847</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45847</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45847</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45847</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45847</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45847</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45847</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45847</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45847</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45847</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45847</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45847</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45847</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45847</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45847</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45847</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45847</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45847</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45847</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45847</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45847</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45847</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45847</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45847</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45847</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45847</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45847</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45847</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45847</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45847</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45847</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45847</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45847</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45847</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45847</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45847</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45847</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45847</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45847</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45847</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45847</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45847</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45847</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45847</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45847</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45847</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45847</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45847</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45847</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45847</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45847</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45847</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45847</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45847</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45847</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45847</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45847</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45847</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45847</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45847</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45847</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45847</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45847</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45847</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45847</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45847</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45847</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45847</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45847</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45847</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45847</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45847</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45847</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45847</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45847</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45847</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45847</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45847</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45847</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45847</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45847</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45847</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45847</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45847</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45847</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45847</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45847</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45847</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45847</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45847</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45847</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45847</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45847</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45847</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45847</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45847</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45847</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45847</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45847</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45847</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45847</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45847</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45847</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45847</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45847</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45847</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45847</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45847</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45847</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45847</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45847</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45847</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45847</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45847</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45847</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45847</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45847</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45847</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45847</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45847</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45847</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45847</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45847</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45847</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45847</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45847</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45847</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45847</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45847</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45847</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45847</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45847</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45847</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45847</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45847</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45847</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45847</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45847</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45847</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45847</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45847</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45847</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45847</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45847</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45847</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45847</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45847</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45847</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45847</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45847</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45847</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45847</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45847</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45847</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45847</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45847</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45847</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45847</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45847</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45847</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45847</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45847</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45847</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45847</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45847</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45847</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45847</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45847</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45847</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45847</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45847</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45847</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45847</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45847</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45847</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45847</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45847</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45847</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45847</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45847</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45847</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45847</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45847</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45847</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45847</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45847</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45847</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45847</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45847</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45847</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45847</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45847</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45847</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45847</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45847</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45847</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45847</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45847</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45847</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45847</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45847</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45847</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45847</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45847</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45847</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45847</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45847</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45847</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45847</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45847</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45847</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45847</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45847</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45847</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45847</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45847</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45847</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45847</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45847</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45847</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45847</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45847</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45847</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45847</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45847</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45847</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45847</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45847</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45847</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45847</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45847</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45847</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45847</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45847</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45847</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45847</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45847</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45847</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45847</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45847</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45847</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45847</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45847</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45847</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45847</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45847</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45847</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45847</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45847</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45847</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45847</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45847</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45847</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45847</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45847</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45847</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45847</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45847</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45847</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45847</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45847</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45847</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45847</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45847</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45847</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45847</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45847</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45847</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45847</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45847</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45847</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45847</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45847</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45847</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45847</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45847</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45847</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45847</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45847</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45847</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45847</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45847</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45847</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45847</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45847</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45847</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45847</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45847</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45847</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45847</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45847</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45847</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45847</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45847</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45847</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45847</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45847</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45847</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45847</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45847</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45847</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45847</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45847</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45847</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45847</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45847</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45847</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45847</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45847</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45847</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45847</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45847</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45847</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45847</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45847</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45847</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45847</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45847</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45847</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45847</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45847</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45847</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45847</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45847</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45847</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45847</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45847</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45847</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45847</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45847</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45847</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45847</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45847</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45847</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45847</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45847</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45847</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45847</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45847</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45847</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45847</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45847</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45847</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45847</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45847</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45847</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45847</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45847</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45847</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45847</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45847</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45847</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45847</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45847</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45847</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45847</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45847</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45847</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45847</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45847</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45847</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45847</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45847</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45847</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45847</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45847</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45847</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45847</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45847</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45847</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45847</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45847</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45847</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45847</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45847</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45847</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45847</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45847</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45847</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45847</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45847</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45847</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45847</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45847</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45847</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45847</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45847</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45847</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45847</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45847</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45847</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45847</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45847</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45847</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45847</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45847</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45847</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45847</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45847</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45847</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45847</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45847</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45847</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45847</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45847</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45847</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45847</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45847</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45847</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45847</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45847</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45847</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45847</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45847</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45847</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45847</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45847</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45847</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45847</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45847</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45847</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45847</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45847</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45847</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45847</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45847</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45847</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45847</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45847</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45847</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45847</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45847</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45847</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45847</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45847</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45847</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45847</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45847</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45847</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45847</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45847</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45847</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45847</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45847</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45847</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45847</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45847</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45847</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45847</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45847</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45847</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45847</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45847</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45847</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45847</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45847</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45847</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45847</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45847</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45847</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45847</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45847</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45847</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45847</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45847</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45847</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45847</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45847</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45847</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45847</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45847</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45847</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45847</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45847</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45847</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45847</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45847</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45847</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45847</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45847</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45847</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45847</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45847</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45847</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45847</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45847</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45847</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45847</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45847</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45847</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45847</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45847</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45847</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45847</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45847</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45847</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45847</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45847</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45847</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45847</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45847</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45847</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45847</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45847</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45847</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45847</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45847</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45847</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45847</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45847</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45847</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45847</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45847</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45847</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45847</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45847</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45847</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45847</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45847</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45847</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45847</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45847</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45847</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45847</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45847</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45847</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45847</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45847</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45847</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45847</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45847</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45847</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45847</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45847</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45847</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45847</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45847</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45847</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45847</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45847</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45847</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45847</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45847</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45847</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45847</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45847</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45847</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45847</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45847</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45847</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45847</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45847</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45847</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45847</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45847</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45847</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45847</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45847</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45847</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45847</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45847</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45847</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45847</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45847</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45847</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45847</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45847</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45847</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45847</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45847</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45847</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45847</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45847</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45847</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45847</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45847</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45847</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45847</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45847</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45847</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45847</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45847</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45847</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45847</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45847</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45847</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45847</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45847</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45847</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45847</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45847</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45847</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45847</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45847</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45847</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45847</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45847</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45847</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45847</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45847</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45847</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45847</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45847</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45847</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45847</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45847</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45847</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45847</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45847</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45847</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45847</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45847</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45847</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45847</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45847</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45847</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45847</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45847</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45847</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45847</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45847</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45847</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45847</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45847</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45847</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45847</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45847</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45847</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45847</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45847</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45847</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45847</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45847</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45847</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45847</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45847</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45847</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45847</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45847</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45847</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45847</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45847</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45847</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45847</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45847</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45847</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45847</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45847</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45847</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45847</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45847</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45847</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45847</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45847</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45847</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45847</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45847</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45847</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45847</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45847</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45847</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45847</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45847</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45847</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45847</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45847</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45847</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45847</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45847</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45847</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45847</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45847</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45847</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45847</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45847</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45847</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45847</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45847</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45847</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45847</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45847</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45847</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45847</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45847</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45847</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45847</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45847</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45847</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45847</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45847</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45847</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45847</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45847</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45847</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45847</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45847</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45847</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45847</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45847</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45847</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45847</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45847</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45847</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45847</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45847</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45847</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45847</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45847</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45847</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45847</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45847</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45847</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45847</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45847</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45847</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45847</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45847</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45847</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45847</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45847</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45847</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45847</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45847</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45847</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45847</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45847</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45847</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45847</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45847</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45847</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45847</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45847</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45847</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45847</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45847</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45847</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45847</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45847</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45847</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45847</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45847</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45847</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45847</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45847</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45847</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45847</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45847</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45847</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45847</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45847</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45847</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45847</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45847</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45847</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45847</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45847</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45847</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45847</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45847</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45847</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45847</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45847</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45847</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45847</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45847</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45847</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45847</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45847</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45847</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45847</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45847</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45847</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45847</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45847</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45847</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45847</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45847</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45847</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45847</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45847</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45847</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45847</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45847</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45847</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45847</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45847</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45847</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45847</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45847</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45847</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45847</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45847</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45847</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45847</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45847</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45847</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45847</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45847</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45847</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45847</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45847</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45847</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45847</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45847</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45847</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45847</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45847</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45847</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45847</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45847</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45847</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45847</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45847</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45847</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45847</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45847</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45847</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45847</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45847</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45847</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45847</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45847</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45847</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45847</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45847</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45847</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45847</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45847</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45847</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45847</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45847</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45847</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45847</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45847</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45847</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45847</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45847</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45847</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45847</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45847</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45847</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45847</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45847</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45847</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45847</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45847</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45847</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45847</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45847</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45847</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45847</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45847</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45847</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45847</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45847</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45847</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45847</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45847</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45847</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45847</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45847</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45847</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45847</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45847</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45847</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45847</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45847</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45847</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45847</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45847</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45847</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45847</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45847</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45847</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45847</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45847</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45847</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45847</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45847</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45847</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45847</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45847</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45847</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45847</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45847</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45847</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45847</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45847</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45847</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45847</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45847</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45847</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45847</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45847</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45847</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45847</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45847</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45847</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45847</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45847</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45847</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45847</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45847</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45847</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45847</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45847</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45847</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45847</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45847</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45847</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45847</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45847</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45847</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45847</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45847</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45847</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45847</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45847</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45847</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45847</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45847</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45847</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45847</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45847</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45847</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45847</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45847</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45847</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45847</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45847</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45847</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45847</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45847</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45847</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45847</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45847</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45847</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45847</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45847</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45847</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45847</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45847</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45847</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45847</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45847</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45847</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45847</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45847</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45847</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45847</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45847</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45847</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45847</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45847</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45847</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45847</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45847</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45847</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45847</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45847</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45847</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45847</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45847</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45847</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45847</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45847</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45847</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45847</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45847</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45847</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45847</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45847</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45847</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45847</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45847</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45847</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45847</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45847</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45847</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45847</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45847</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45847</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45847</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45847</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45847</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45847</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45847</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45847</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45847</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45847</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45847</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45847</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45847</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45847</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45847</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45847</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45847</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45847</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45847</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45847</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45847</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45847</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45847</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45847</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45847</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45847</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45847</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45847</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45847</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45847</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45847</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45847</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45847</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45847</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45847</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45847</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45847</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45847</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45847</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45847</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45847</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45847</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45847</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45847</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45847</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45847</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45847</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45847</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45847</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45847</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45847</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45847</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45847</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45847</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45847</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45847</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45847</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45847</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45847</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45847</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45847</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45847</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45847</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45847</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45847</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45847</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45847</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45847</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45847</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45847</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45847</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45847</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45847</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45847</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45847</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45847</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45847</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45847</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45847</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45847</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45847</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45847</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45847</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45847</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45847</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45847</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45847</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45847</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45847</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45847</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45847</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45847</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45847</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45847</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45847</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45847</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45847</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45847</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45847</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45847</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45847</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45847</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45847</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45847</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45847</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45847</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45847</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45847</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45847</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45847</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45847</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45847</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45847</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45847</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45847</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45847</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45847</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45847</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45847</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45847</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45847</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45847</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45847</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45847</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45847</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45847</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45847</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45847</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45847</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45847</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45847</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45847</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45847</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45847</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45847</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45847</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45847</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45847</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45847</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45847</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45847</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45847</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45847</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45847</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45847</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45847</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45847</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45847</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45847</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45847</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45847</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45847</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45847</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45847</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45847</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45847</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45847</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45847</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45847</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45847</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45847</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45847</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45847</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45847</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45847</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45847</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45847</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45847</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45847</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45847</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45847</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45847</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45847</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45847</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45847</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45847</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45847</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45847</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45847</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45847</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45847</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45847</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45847</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45847</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45847</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45847</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45847</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45847</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45847</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45847</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45847</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45847</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45847</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45847</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45847</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45847</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45847</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45847</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45847</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45847</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45847</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45847</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45847</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45847</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45847</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45847</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45847</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45847</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45847</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45847</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45847</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45847</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45847</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45847</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45847</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45847</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45847</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45847</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45847</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45847</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45847</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45847</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45847</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45847</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45847</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45847</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45847</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45847</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45847</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45847</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45847</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45847</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45847</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45847</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45847</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45847</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45847</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45847</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45847</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45847</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45847</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45847</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45847</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45847</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45847</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45847</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45847</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45847</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45847</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45847</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45847</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45847</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45847</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45847</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45847</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45847</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45847</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45847</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45847</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45847</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45847</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45847</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45847</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45847</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45847</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45847</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45847</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45847</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45847</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45847</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45847</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45847</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45847</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45847</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45847</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45847</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45847</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45847</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45847</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45847</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45847</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45847</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45847</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45847</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45847</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45847</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45847</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45847</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45847</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45847</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45847</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45847</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45847</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45847</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45847</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45847</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45847</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45847</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45847</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45847</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45847</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45847</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45847</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45847</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45847</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45847</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45847</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45847</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45847</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45847</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45847</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45847</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45847</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45847</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45847</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45847</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45847</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45847</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45847</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45847</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45847</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45847</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45847</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45847</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45847</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45847</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45847</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45847</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45847</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45847</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45847</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45847</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45847</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45847</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45847</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45847</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45847</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45847</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45847</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45847</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45847</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45847</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45847</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45847</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45847</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45847</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45847</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45847</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45847</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45847</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45847</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45847</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45847</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45847</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45847</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45847</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45847</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45847</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45847</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45847</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45847</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45847</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45847</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45847</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45847</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45847</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45847</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45847</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45847</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45847</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45847</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45847</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45847</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45847</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45847</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45847</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45847</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45847</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45847</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45847</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45847</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45847</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45847</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45847</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45847</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45847</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45847</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45847</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45847</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45847</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45847</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45847</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45847</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45847</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45847</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45847</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45847</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45847</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45847</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45847</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45847</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45847</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45847</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45847</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45847</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45847</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45847</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45847</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45847</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45847</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45847</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45847</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45847</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45847</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45847</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45847</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45847</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45847</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45847</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45847</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45847</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45847</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45847</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45847</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45847</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45847</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45847</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45847</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45847</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45847</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45847</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45847</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45847</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45847</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45847</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45847</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45847</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45847</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45847</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45847</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45847</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45847</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45847</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45847</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45847</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45847</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45847</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45847</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45847</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45847</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45847</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45847</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45847</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45847</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45847</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45847</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45847</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45847</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45847</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45847</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45847</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45847</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45847</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45847</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45847</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45847</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45847</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45847</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45847</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45847</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45847</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45847</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45847</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45847</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45847</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45847</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45847</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45847</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45847</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45847</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45847</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45847</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45847</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45847</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45847</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45847</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45847</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45847</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45847</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45847</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45847</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45847</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45847</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45847</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45847</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45847</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45847</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45847</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45847</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45847</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45847</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45847</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45847</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45847</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45847</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45847</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45847</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45847</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45847</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45847</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45847</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45847</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45847</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45847</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45847</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45847</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45847</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45847</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45847</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45847</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45847</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45847</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45847</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45847</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45847</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45847</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45847</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45847</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45847</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45847</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45847</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45847</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45847</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45847</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45847</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45847</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45847</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45847</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45847</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45847</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45847</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45847</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45847</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45847</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45847</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45847</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45847</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45847</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45847</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45847</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45847</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45847</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45847</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45847</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45847</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45847</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45847</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45847</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45847</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45847</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45847</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45847</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45847</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45847</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45847</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45847</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45847</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45847</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45847</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45847</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45847</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45847</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45847</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45847</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45847</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45847</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45847</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45847</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45847</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45847</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45847</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45847</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45847</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45847</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45847</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45847</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45847</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45847</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45847</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45847</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45847</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45847</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45847</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45847</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45847</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45847</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45847</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45847</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45847</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45847</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45847</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45847</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45847</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45847</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45847</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45847</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45847</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45847</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45847</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45847</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45847</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45847</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45847</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45847</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45847</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45847</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45847</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45847</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45847</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45847</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45847</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45847</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45847</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45847</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45847</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45847</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45847</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45847</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45847</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45847</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45847</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45847</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45847</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45847</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45847</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45847</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45847</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45847</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45847</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45847</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45847</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45847</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45847</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45847</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45847</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45847</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45847</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45847</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45847</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45847</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45847</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45847</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45847</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45847</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45847</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45847</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45847</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45847</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45847</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45847</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45847</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45847</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45847</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45847</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45847</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45847</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45847</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45847</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45847</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45847</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45847</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45847</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45847</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45847</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45847</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45847</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45847</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45847</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45847</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45847</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45847</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45847</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45847</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45847</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45847</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45847</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45847</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45847</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45847</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45847</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45847</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45847</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45847</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45847</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45847</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45847</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45847</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45847</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45847</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45847</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45847</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45847</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45847</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45847</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45847</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45847</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45847</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45847</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45847</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45847</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45847</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45847</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45847</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45847</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45847</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45847</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45847</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45847</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45847</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45847</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45847</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45847</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45847</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45847</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45847</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45847</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45847</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45847</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45847</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45847</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45847</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45847</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45847</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45847</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45847</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45847</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45847</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45847</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45847</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45847</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45847</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45847</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45847</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45847</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45847</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45847</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45847</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45847</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45847</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45847</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45847</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45847</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45847</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45847</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45847</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45847</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45847</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45847</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45847</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45847</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45847</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45847</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45847</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45847</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45847</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45847</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45847</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45847</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45847</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45847</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45847</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45847</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45847</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45847</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45847</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45847</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45847</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45847</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45847</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45847</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45847</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45847</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45847</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45847</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45847</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45847</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45847</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45847</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45847</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45847</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45847</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45847</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45847</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45847</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45847</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45847</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45847</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45847</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45847</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45847</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45847</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45847</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45847</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45847</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45847</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45847</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45847</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45847</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45847</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45847</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45847</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45847</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45847</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45847</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45847</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45847</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45847</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45847</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45847</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45847</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45847</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45847</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45847</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45847</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45847</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45847</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45847</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45847</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45847</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45847</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45847</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45847</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45847</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45847</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45847</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45847</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45847</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45847</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45847</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45847</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45847</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45847</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45847</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45847</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45847</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45847</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45847</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45847</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45847</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45847</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45847</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45847</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45847</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45847</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45847</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45847</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45847</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45847</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45847</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45847</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45847</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45847</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45847</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45847</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45847</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45847</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45847</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45847</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45847</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45847</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45847</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45847</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45847</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45847</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45847</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45847</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45847</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45847</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45847</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45847</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45847</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45847</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45847</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45847</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45847</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45847</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45847</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45847</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45847</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45847</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45847</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45847</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45847</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45847</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45847</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45847</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45847</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45847</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45847</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45847</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45847</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45847</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45847</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45847</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45847</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45847</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45847</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45847</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45847</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45847</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45847</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45847</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45847</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45847</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45847</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45847</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45847</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45847</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45847</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45847</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45847</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45847</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45847</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45847</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45847</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45847</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45847</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45847</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45847</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45847</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45847</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45847</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45847</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45847</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45847</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45847</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45847</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45847</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45847</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45847</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45847</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45847</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45847</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45847</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45847</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45847</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45847</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45847</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27554-2025</t>
        </is>
      </c>
      <c r="B4377" s="1" t="n">
        <v>45813</v>
      </c>
      <c r="C4377" s="1" t="n">
        <v>45847</v>
      </c>
      <c r="D4377" t="inlineStr">
        <is>
          <t>STOCKHOLMS LÄN</t>
        </is>
      </c>
      <c r="E4377" t="inlineStr">
        <is>
          <t>NORRTÄLJE</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27561-2025</t>
        </is>
      </c>
      <c r="B4378" s="1" t="n">
        <v>45813</v>
      </c>
      <c r="C4378" s="1" t="n">
        <v>45847</v>
      </c>
      <c r="D4378" t="inlineStr">
        <is>
          <t>STOCKHOLMS LÄN</t>
        </is>
      </c>
      <c r="E4378" t="inlineStr">
        <is>
          <t>HUDDINGE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45847</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27589-2025</t>
        </is>
      </c>
      <c r="B4380" s="1" t="n">
        <v>45813</v>
      </c>
      <c r="C4380" s="1" t="n">
        <v>45847</v>
      </c>
      <c r="D4380" t="inlineStr">
        <is>
          <t>STOCKHOLMS LÄN</t>
        </is>
      </c>
      <c r="E4380" t="inlineStr">
        <is>
          <t>HUDDINGE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27677-2025</t>
        </is>
      </c>
      <c r="B4381" s="1" t="n">
        <v>45813</v>
      </c>
      <c r="C4381" s="1" t="n">
        <v>45847</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27700-2025</t>
        </is>
      </c>
      <c r="B4382" s="1" t="n">
        <v>45813</v>
      </c>
      <c r="C4382" s="1" t="n">
        <v>45847</v>
      </c>
      <c r="D4382" t="inlineStr">
        <is>
          <t>STOCKHOLMS LÄN</t>
        </is>
      </c>
      <c r="E4382" t="inlineStr">
        <is>
          <t>NORRTÄLJE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27596-2025</t>
        </is>
      </c>
      <c r="B4383" s="1" t="n">
        <v>45813</v>
      </c>
      <c r="C4383" s="1" t="n">
        <v>45847</v>
      </c>
      <c r="D4383" t="inlineStr">
        <is>
          <t>STOCKHOLMS LÄN</t>
        </is>
      </c>
      <c r="E4383" t="inlineStr">
        <is>
          <t>HANINGE</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45847</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27803-2025</t>
        </is>
      </c>
      <c r="B4385" s="1" t="n">
        <v>45817</v>
      </c>
      <c r="C4385" s="1" t="n">
        <v>45847</v>
      </c>
      <c r="D4385" t="inlineStr">
        <is>
          <t>STOCKHOLMS LÄN</t>
        </is>
      </c>
      <c r="E4385" t="inlineStr">
        <is>
          <t>NORRTÄLJE</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45847</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45847</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27868-2025</t>
        </is>
      </c>
      <c r="B4388" s="1" t="n">
        <v>45817</v>
      </c>
      <c r="C4388" s="1" t="n">
        <v>45847</v>
      </c>
      <c r="D4388" t="inlineStr">
        <is>
          <t>STOCKHOLMS LÄN</t>
        </is>
      </c>
      <c r="E4388" t="inlineStr">
        <is>
          <t>VALLENTUNA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27813-2025</t>
        </is>
      </c>
      <c r="B4389" s="1" t="n">
        <v>45817</v>
      </c>
      <c r="C4389" s="1" t="n">
        <v>45847</v>
      </c>
      <c r="D4389" t="inlineStr">
        <is>
          <t>STOCKHOLMS LÄN</t>
        </is>
      </c>
      <c r="E4389" t="inlineStr">
        <is>
          <t>NORRTÄLJE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27808-2025</t>
        </is>
      </c>
      <c r="B4390" s="1" t="n">
        <v>45817</v>
      </c>
      <c r="C4390" s="1" t="n">
        <v>45847</v>
      </c>
      <c r="D4390" t="inlineStr">
        <is>
          <t>STOCKHOLMS LÄN</t>
        </is>
      </c>
      <c r="E4390" t="inlineStr">
        <is>
          <t>NORRTÄLJE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27821-2025</t>
        </is>
      </c>
      <c r="B4391" s="1" t="n">
        <v>45817</v>
      </c>
      <c r="C4391" s="1" t="n">
        <v>45847</v>
      </c>
      <c r="D4391" t="inlineStr">
        <is>
          <t>STOCKHOLMS LÄN</t>
        </is>
      </c>
      <c r="E4391" t="inlineStr">
        <is>
          <t>NORRTÄLJE</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27801-2025</t>
        </is>
      </c>
      <c r="B4392" s="1" t="n">
        <v>45817</v>
      </c>
      <c r="C4392" s="1" t="n">
        <v>45847</v>
      </c>
      <c r="D4392" t="inlineStr">
        <is>
          <t>STOCKHOLMS LÄN</t>
        </is>
      </c>
      <c r="E4392" t="inlineStr">
        <is>
          <t>NORRTÄLJE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27802-2025</t>
        </is>
      </c>
      <c r="B4393" s="1" t="n">
        <v>45817</v>
      </c>
      <c r="C4393" s="1" t="n">
        <v>45847</v>
      </c>
      <c r="D4393" t="inlineStr">
        <is>
          <t>STOCKHOLMS LÄN</t>
        </is>
      </c>
      <c r="E4393" t="inlineStr">
        <is>
          <t>NORRTÄLJE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27806-2025</t>
        </is>
      </c>
      <c r="B4394" s="1" t="n">
        <v>45817</v>
      </c>
      <c r="C4394" s="1" t="n">
        <v>45847</v>
      </c>
      <c r="D4394" t="inlineStr">
        <is>
          <t>STOCKHOLMS LÄN</t>
        </is>
      </c>
      <c r="E4394" t="inlineStr">
        <is>
          <t>NORRTÄLJE</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27810-2025</t>
        </is>
      </c>
      <c r="B4395" s="1" t="n">
        <v>45817</v>
      </c>
      <c r="C4395" s="1" t="n">
        <v>45847</v>
      </c>
      <c r="D4395" t="inlineStr">
        <is>
          <t>STOCKHOLMS LÄN</t>
        </is>
      </c>
      <c r="E4395" t="inlineStr">
        <is>
          <t>NORRTÄLJE</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45847</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45847</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28598-2025</t>
        </is>
      </c>
      <c r="B4398" s="1" t="n">
        <v>45819</v>
      </c>
      <c r="C4398" s="1" t="n">
        <v>45847</v>
      </c>
      <c r="D4398" t="inlineStr">
        <is>
          <t>STOCKHOLMS LÄN</t>
        </is>
      </c>
      <c r="E4398" t="inlineStr">
        <is>
          <t>NYKVARN</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28607-2025</t>
        </is>
      </c>
      <c r="B4399" s="1" t="n">
        <v>45819</v>
      </c>
      <c r="C4399" s="1" t="n">
        <v>45847</v>
      </c>
      <c r="D4399" t="inlineStr">
        <is>
          <t>STOCKHOLMS LÄN</t>
        </is>
      </c>
      <c r="E4399" t="inlineStr">
        <is>
          <t>NYKVARN</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28681-2025</t>
        </is>
      </c>
      <c r="B4400" s="1" t="n">
        <v>45819</v>
      </c>
      <c r="C4400" s="1" t="n">
        <v>45847</v>
      </c>
      <c r="D4400" t="inlineStr">
        <is>
          <t>STOCKHOLMS LÄN</t>
        </is>
      </c>
      <c r="E4400" t="inlineStr">
        <is>
          <t>SIGTUNA</t>
        </is>
      </c>
      <c r="G4400" t="n">
        <v>7.5</v>
      </c>
      <c r="H4400" t="n">
        <v>0</v>
      </c>
      <c r="I4400" t="n">
        <v>0</v>
      </c>
      <c r="J4400" t="n">
        <v>0</v>
      </c>
      <c r="K4400" t="n">
        <v>0</v>
      </c>
      <c r="L4400" t="n">
        <v>0</v>
      </c>
      <c r="M4400" t="n">
        <v>0</v>
      </c>
      <c r="N4400" t="n">
        <v>0</v>
      </c>
      <c r="O4400" t="n">
        <v>0</v>
      </c>
      <c r="P4400" t="n">
        <v>0</v>
      </c>
      <c r="Q4400" t="n">
        <v>0</v>
      </c>
      <c r="R4400" s="2" t="inlineStr"/>
    </row>
    <row r="4401" ht="15" customHeight="1">
      <c r="A4401" t="inlineStr">
        <is>
          <t>A 28431-2025</t>
        </is>
      </c>
      <c r="B4401" s="1" t="n">
        <v>45819</v>
      </c>
      <c r="C4401" s="1" t="n">
        <v>45847</v>
      </c>
      <c r="D4401" t="inlineStr">
        <is>
          <t>STOCKHOLMS LÄN</t>
        </is>
      </c>
      <c r="E4401" t="inlineStr">
        <is>
          <t>VALLENTUNA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45847</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45847</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45847</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29811-2025</t>
        </is>
      </c>
      <c r="B4405" s="1" t="n">
        <v>45825</v>
      </c>
      <c r="C4405" s="1" t="n">
        <v>45847</v>
      </c>
      <c r="D4405" t="inlineStr">
        <is>
          <t>STOCKHOLMS LÄN</t>
        </is>
      </c>
      <c r="E4405" t="inlineStr">
        <is>
          <t>NYNÄSHAMN</t>
        </is>
      </c>
      <c r="F4405" t="inlineStr">
        <is>
          <t>Övriga statliga verk och myndigheter</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29770-2025</t>
        </is>
      </c>
      <c r="B4406" s="1" t="n">
        <v>45825</v>
      </c>
      <c r="C4406" s="1" t="n">
        <v>45847</v>
      </c>
      <c r="D4406" t="inlineStr">
        <is>
          <t>STOCKHOLMS LÄN</t>
        </is>
      </c>
      <c r="E4406" t="inlineStr">
        <is>
          <t>SÖDERTÄLJE</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45847</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45847</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30719-2025</t>
        </is>
      </c>
      <c r="B4409" s="1" t="n">
        <v>45831</v>
      </c>
      <c r="C4409" s="1" t="n">
        <v>45847</v>
      </c>
      <c r="D4409" t="inlineStr">
        <is>
          <t>STOCKHOLMS LÄN</t>
        </is>
      </c>
      <c r="E4409" t="inlineStr">
        <is>
          <t>NORRTÄLJE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30639-2025</t>
        </is>
      </c>
      <c r="B4410" s="1" t="n">
        <v>45831</v>
      </c>
      <c r="C4410" s="1" t="n">
        <v>45847</v>
      </c>
      <c r="D4410" t="inlineStr">
        <is>
          <t>STOCKHOLMS LÄN</t>
        </is>
      </c>
      <c r="E4410" t="inlineStr">
        <is>
          <t>NORRTÄLJE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30723-2025</t>
        </is>
      </c>
      <c r="B4411" s="1" t="n">
        <v>45831</v>
      </c>
      <c r="C4411" s="1" t="n">
        <v>45847</v>
      </c>
      <c r="D4411" t="inlineStr">
        <is>
          <t>STOCKHOLMS LÄN</t>
        </is>
      </c>
      <c r="E4411" t="inlineStr">
        <is>
          <t>SIGTUNA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30699-2025</t>
        </is>
      </c>
      <c r="B4412" s="1" t="n">
        <v>45831</v>
      </c>
      <c r="C4412" s="1" t="n">
        <v>45847</v>
      </c>
      <c r="D4412" t="inlineStr">
        <is>
          <t>STOCKHOLMS LÄN</t>
        </is>
      </c>
      <c r="E4412" t="inlineStr">
        <is>
          <t>NORRTÄLJE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30799-2025</t>
        </is>
      </c>
      <c r="B4413" s="1" t="n">
        <v>45831</v>
      </c>
      <c r="C4413" s="1" t="n">
        <v>45847</v>
      </c>
      <c r="D4413" t="inlineStr">
        <is>
          <t>STOCKHOLMS LÄN</t>
        </is>
      </c>
      <c r="E4413" t="inlineStr">
        <is>
          <t>NORRTÄLJE</t>
        </is>
      </c>
      <c r="F4413" t="inlineStr">
        <is>
          <t>Holmen skog AB</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31170-2025</t>
        </is>
      </c>
      <c r="B4414" s="1" t="n">
        <v>45832</v>
      </c>
      <c r="C4414" s="1" t="n">
        <v>45847</v>
      </c>
      <c r="D4414" t="inlineStr">
        <is>
          <t>STOCKHOLMS LÄN</t>
        </is>
      </c>
      <c r="E4414" t="inlineStr">
        <is>
          <t>NORRTÄLJE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30902-2025</t>
        </is>
      </c>
      <c r="B4415" s="1" t="n">
        <v>45832</v>
      </c>
      <c r="C4415" s="1" t="n">
        <v>45847</v>
      </c>
      <c r="D4415" t="inlineStr">
        <is>
          <t>STOCKHOLMS LÄN</t>
        </is>
      </c>
      <c r="E4415" t="inlineStr">
        <is>
          <t>VALLENTUNA</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31086-2025</t>
        </is>
      </c>
      <c r="B4416" s="1" t="n">
        <v>45832</v>
      </c>
      <c r="C4416" s="1" t="n">
        <v>45847</v>
      </c>
      <c r="D4416" t="inlineStr">
        <is>
          <t>STOCKHOLMS LÄN</t>
        </is>
      </c>
      <c r="E4416" t="inlineStr">
        <is>
          <t>SÖDERTÄLJE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31607-2025</t>
        </is>
      </c>
      <c r="B4417" s="1" t="n">
        <v>45833</v>
      </c>
      <c r="C4417" s="1" t="n">
        <v>45847</v>
      </c>
      <c r="D4417" t="inlineStr">
        <is>
          <t>STOCKHOLMS LÄN</t>
        </is>
      </c>
      <c r="E4417" t="inlineStr">
        <is>
          <t>EKERÖ</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31456-2025</t>
        </is>
      </c>
      <c r="B4418" s="1" t="n">
        <v>45833</v>
      </c>
      <c r="C4418" s="1" t="n">
        <v>45847</v>
      </c>
      <c r="D4418" t="inlineStr">
        <is>
          <t>STOCKHOLMS LÄN</t>
        </is>
      </c>
      <c r="E4418" t="inlineStr">
        <is>
          <t>ÖSTERÅKER</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31874-2025</t>
        </is>
      </c>
      <c r="B4419" s="1" t="n">
        <v>45834</v>
      </c>
      <c r="C4419" s="1" t="n">
        <v>45847</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31868-2025</t>
        </is>
      </c>
      <c r="B4420" s="1" t="n">
        <v>45834</v>
      </c>
      <c r="C4420" s="1" t="n">
        <v>45847</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31880-2025</t>
        </is>
      </c>
      <c r="B4421" s="1" t="n">
        <v>45834</v>
      </c>
      <c r="C4421" s="1" t="n">
        <v>45847</v>
      </c>
      <c r="D4421" t="inlineStr">
        <is>
          <t>STOCKHOLMS LÄN</t>
        </is>
      </c>
      <c r="E4421" t="inlineStr">
        <is>
          <t>NORRTÄLJE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45847</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32122-2025</t>
        </is>
      </c>
      <c r="B4423" s="1" t="n">
        <v>45835</v>
      </c>
      <c r="C4423" s="1" t="n">
        <v>45847</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32016-2025</t>
        </is>
      </c>
      <c r="B4424" s="1" t="n">
        <v>45835</v>
      </c>
      <c r="C4424" s="1" t="n">
        <v>45847</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32256-2025</t>
        </is>
      </c>
      <c r="B4425" s="1" t="n">
        <v>45835</v>
      </c>
      <c r="C4425" s="1" t="n">
        <v>45847</v>
      </c>
      <c r="D4425" t="inlineStr">
        <is>
          <t>STOCKHOLMS LÄN</t>
        </is>
      </c>
      <c r="E4425" t="inlineStr">
        <is>
          <t>VAXHOLM</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32230-2025</t>
        </is>
      </c>
      <c r="B4426" s="1" t="n">
        <v>45835</v>
      </c>
      <c r="C4426" s="1" t="n">
        <v>45847</v>
      </c>
      <c r="D4426" t="inlineStr">
        <is>
          <t>STOCKHOLMS LÄN</t>
        </is>
      </c>
      <c r="E4426" t="inlineStr">
        <is>
          <t>VÄRMDÖ</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32283-2025</t>
        </is>
      </c>
      <c r="B4427" s="1" t="n">
        <v>45835</v>
      </c>
      <c r="C4427" s="1" t="n">
        <v>45847</v>
      </c>
      <c r="D4427" t="inlineStr">
        <is>
          <t>STOCKHOLMS LÄN</t>
        </is>
      </c>
      <c r="E4427" t="inlineStr">
        <is>
          <t>NORRTÄLJE</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32397-2025</t>
        </is>
      </c>
      <c r="B4428" s="1" t="n">
        <v>45838</v>
      </c>
      <c r="C4428" s="1" t="n">
        <v>45847</v>
      </c>
      <c r="D4428" t="inlineStr">
        <is>
          <t>STOCKHOLMS LÄN</t>
        </is>
      </c>
      <c r="E4428" t="inlineStr">
        <is>
          <t>NORRTÄLJE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32396-2025</t>
        </is>
      </c>
      <c r="B4429" s="1" t="n">
        <v>45837</v>
      </c>
      <c r="C4429" s="1" t="n">
        <v>45847</v>
      </c>
      <c r="D4429" t="inlineStr">
        <is>
          <t>STOCKHOLMS LÄN</t>
        </is>
      </c>
      <c r="E4429" t="inlineStr">
        <is>
          <t>NORRTÄLJE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32395-2025</t>
        </is>
      </c>
      <c r="B4430" s="1" t="n">
        <v>45838</v>
      </c>
      <c r="C4430" s="1" t="n">
        <v>45847</v>
      </c>
      <c r="D4430" t="inlineStr">
        <is>
          <t>STOCKHOLMS LÄN</t>
        </is>
      </c>
      <c r="E4430" t="inlineStr">
        <is>
          <t>NORRTÄLJE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45847</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33281-2025</t>
        </is>
      </c>
      <c r="B4432" s="1" t="n">
        <v>45839</v>
      </c>
      <c r="C4432" s="1" t="n">
        <v>45847</v>
      </c>
      <c r="D4432" t="inlineStr">
        <is>
          <t>STOCKHOLMS LÄN</t>
        </is>
      </c>
      <c r="E4432" t="inlineStr">
        <is>
          <t>SALEM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33029-2025</t>
        </is>
      </c>
      <c r="B4433" s="1" t="n">
        <v>45839</v>
      </c>
      <c r="C4433" s="1" t="n">
        <v>45847</v>
      </c>
      <c r="D4433" t="inlineStr">
        <is>
          <t>STOCKHOLMS LÄN</t>
        </is>
      </c>
      <c r="E4433" t="inlineStr">
        <is>
          <t>SALEM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33277-2025</t>
        </is>
      </c>
      <c r="B4434" s="1" t="n">
        <v>45839</v>
      </c>
      <c r="C4434" s="1" t="n">
        <v>45847</v>
      </c>
      <c r="D4434" t="inlineStr">
        <is>
          <t>STOCKHOLMS LÄN</t>
        </is>
      </c>
      <c r="E4434" t="inlineStr">
        <is>
          <t>SALEM</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32968-2025</t>
        </is>
      </c>
      <c r="B4435" s="1" t="n">
        <v>45839</v>
      </c>
      <c r="C4435" s="1" t="n">
        <v>45847</v>
      </c>
      <c r="D4435" t="inlineStr">
        <is>
          <t>STOCKHOLMS LÄN</t>
        </is>
      </c>
      <c r="E4435" t="inlineStr">
        <is>
          <t>SALEM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33218-2025</t>
        </is>
      </c>
      <c r="B4436" s="1" t="n">
        <v>45839</v>
      </c>
      <c r="C4436" s="1" t="n">
        <v>45847</v>
      </c>
      <c r="D4436" t="inlineStr">
        <is>
          <t>STOCKHOLMS LÄN</t>
        </is>
      </c>
      <c r="E4436" t="inlineStr">
        <is>
          <t>SALEM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33455-2025</t>
        </is>
      </c>
      <c r="B4437" s="1" t="n">
        <v>45839</v>
      </c>
      <c r="C4437" s="1" t="n">
        <v>45847</v>
      </c>
      <c r="D4437" t="inlineStr">
        <is>
          <t>STOCKHOLMS LÄN</t>
        </is>
      </c>
      <c r="E4437" t="inlineStr">
        <is>
          <t>SALEM</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33458-2025</t>
        </is>
      </c>
      <c r="B4438" s="1" t="n">
        <v>45839</v>
      </c>
      <c r="C4438" s="1" t="n">
        <v>45847</v>
      </c>
      <c r="D4438" t="inlineStr">
        <is>
          <t>STOCKHOLMS LÄN</t>
        </is>
      </c>
      <c r="E4438" t="inlineStr">
        <is>
          <t>SALEM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33465-2025</t>
        </is>
      </c>
      <c r="B4439" s="1" t="n">
        <v>45839</v>
      </c>
      <c r="C4439" s="1" t="n">
        <v>45847</v>
      </c>
      <c r="D4439" t="inlineStr">
        <is>
          <t>STOCKHOLMS LÄN</t>
        </is>
      </c>
      <c r="E4439" t="inlineStr">
        <is>
          <t>SALEM</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33284-2025</t>
        </is>
      </c>
      <c r="B4440" s="1" t="n">
        <v>45839</v>
      </c>
      <c r="C4440" s="1" t="n">
        <v>45847</v>
      </c>
      <c r="D4440" t="inlineStr">
        <is>
          <t>STOCKHOLMS LÄN</t>
        </is>
      </c>
      <c r="E4440" t="inlineStr">
        <is>
          <t>SALEM</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33428-2025</t>
        </is>
      </c>
      <c r="B4441" s="1" t="n">
        <v>45839</v>
      </c>
      <c r="C4441" s="1" t="n">
        <v>45847</v>
      </c>
      <c r="D4441" t="inlineStr">
        <is>
          <t>STOCKHOLMS LÄN</t>
        </is>
      </c>
      <c r="E4441" t="inlineStr">
        <is>
          <t>SALEM</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32953-2025</t>
        </is>
      </c>
      <c r="B4442" s="1" t="n">
        <v>45839</v>
      </c>
      <c r="C4442" s="1" t="n">
        <v>45847</v>
      </c>
      <c r="D4442" t="inlineStr">
        <is>
          <t>STOCKHOLMS LÄN</t>
        </is>
      </c>
      <c r="E4442" t="inlineStr">
        <is>
          <t>SALEM</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33421-2025</t>
        </is>
      </c>
      <c r="B4443" s="1" t="n">
        <v>45839</v>
      </c>
      <c r="C4443" s="1" t="n">
        <v>45847</v>
      </c>
      <c r="D4443" t="inlineStr">
        <is>
          <t>STOCKHOLMS LÄN</t>
        </is>
      </c>
      <c r="E4443" t="inlineStr">
        <is>
          <t>SALEM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33441-2025</t>
        </is>
      </c>
      <c r="B4444" s="1" t="n">
        <v>45839</v>
      </c>
      <c r="C4444" s="1" t="n">
        <v>45847</v>
      </c>
      <c r="D4444" t="inlineStr">
        <is>
          <t>STOCKHOLMS LÄN</t>
        </is>
      </c>
      <c r="E4444" t="inlineStr">
        <is>
          <t>SALEM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33470-2025</t>
        </is>
      </c>
      <c r="B4445" s="1" t="n">
        <v>45839</v>
      </c>
      <c r="C4445" s="1" t="n">
        <v>45847</v>
      </c>
      <c r="D4445" t="inlineStr">
        <is>
          <t>STOCKHOLMS LÄN</t>
        </is>
      </c>
      <c r="E4445" t="inlineStr">
        <is>
          <t>SALEM</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33460-2025</t>
        </is>
      </c>
      <c r="B4446" s="1" t="n">
        <v>45839</v>
      </c>
      <c r="C4446" s="1" t="n">
        <v>45847</v>
      </c>
      <c r="D4446" t="inlineStr">
        <is>
          <t>STOCKHOLMS LÄN</t>
        </is>
      </c>
      <c r="E4446" t="inlineStr">
        <is>
          <t>SALEM</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32903-2025</t>
        </is>
      </c>
      <c r="B4447" s="1" t="n">
        <v>45839</v>
      </c>
      <c r="C4447" s="1" t="n">
        <v>45847</v>
      </c>
      <c r="D4447" t="inlineStr">
        <is>
          <t>STOCKHOLMS LÄN</t>
        </is>
      </c>
      <c r="E4447" t="inlineStr">
        <is>
          <t>NORRTÄLJE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33243-2025</t>
        </is>
      </c>
      <c r="B4448" s="1" t="n">
        <v>45839</v>
      </c>
      <c r="C4448" s="1" t="n">
        <v>45847</v>
      </c>
      <c r="D4448" t="inlineStr">
        <is>
          <t>STOCKHOLMS LÄN</t>
        </is>
      </c>
      <c r="E4448" t="inlineStr">
        <is>
          <t>SALEM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33251-2025</t>
        </is>
      </c>
      <c r="B4449" s="1" t="n">
        <v>45839</v>
      </c>
      <c r="C4449" s="1" t="n">
        <v>45847</v>
      </c>
      <c r="D4449" t="inlineStr">
        <is>
          <t>STOCKHOLMS LÄN</t>
        </is>
      </c>
      <c r="E4449" t="inlineStr">
        <is>
          <t>SALEM</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32965-2025</t>
        </is>
      </c>
      <c r="B4450" s="1" t="n">
        <v>45839</v>
      </c>
      <c r="C4450" s="1" t="n">
        <v>45847</v>
      </c>
      <c r="D4450" t="inlineStr">
        <is>
          <t>STOCKHOLMS LÄN</t>
        </is>
      </c>
      <c r="E4450" t="inlineStr">
        <is>
          <t>SALEM</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33439-2025</t>
        </is>
      </c>
      <c r="B4451" s="1" t="n">
        <v>45839</v>
      </c>
      <c r="C4451" s="1" t="n">
        <v>45847</v>
      </c>
      <c r="D4451" t="inlineStr">
        <is>
          <t>STOCKHOLMS LÄN</t>
        </is>
      </c>
      <c r="E4451" t="inlineStr">
        <is>
          <t>SALEM</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33446-2025</t>
        </is>
      </c>
      <c r="B4452" s="1" t="n">
        <v>45839</v>
      </c>
      <c r="C4452" s="1" t="n">
        <v>45847</v>
      </c>
      <c r="D4452" t="inlineStr">
        <is>
          <t>STOCKHOLMS LÄN</t>
        </is>
      </c>
      <c r="E4452" t="inlineStr">
        <is>
          <t>SALEM</t>
        </is>
      </c>
      <c r="G4452" t="n">
        <v>9.4</v>
      </c>
      <c r="H4452" t="n">
        <v>0</v>
      </c>
      <c r="I4452" t="n">
        <v>0</v>
      </c>
      <c r="J4452" t="n">
        <v>0</v>
      </c>
      <c r="K4452" t="n">
        <v>0</v>
      </c>
      <c r="L4452" t="n">
        <v>0</v>
      </c>
      <c r="M4452" t="n">
        <v>0</v>
      </c>
      <c r="N4452" t="n">
        <v>0</v>
      </c>
      <c r="O4452" t="n">
        <v>0</v>
      </c>
      <c r="P4452" t="n">
        <v>0</v>
      </c>
      <c r="Q4452" t="n">
        <v>0</v>
      </c>
      <c r="R4452" s="2" t="inlineStr"/>
    </row>
    <row r="4453" ht="15" customHeight="1">
      <c r="A4453" t="inlineStr">
        <is>
          <t>A 33473-2025</t>
        </is>
      </c>
      <c r="B4453" s="1" t="n">
        <v>45839</v>
      </c>
      <c r="C4453" s="1" t="n">
        <v>45847</v>
      </c>
      <c r="D4453" t="inlineStr">
        <is>
          <t>STOCKHOLMS LÄN</t>
        </is>
      </c>
      <c r="E4453" t="inlineStr">
        <is>
          <t>SALEM</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32872-2025</t>
        </is>
      </c>
      <c r="B4454" s="1" t="n">
        <v>45839</v>
      </c>
      <c r="C4454" s="1" t="n">
        <v>45847</v>
      </c>
      <c r="D4454" t="inlineStr">
        <is>
          <t>STOCKHOLMS LÄN</t>
        </is>
      </c>
      <c r="E4454" t="inlineStr">
        <is>
          <t>NORRTÄLJE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32975-2025</t>
        </is>
      </c>
      <c r="B4455" s="1" t="n">
        <v>45839</v>
      </c>
      <c r="C4455" s="1" t="n">
        <v>45847</v>
      </c>
      <c r="D4455" t="inlineStr">
        <is>
          <t>STOCKHOLMS LÄN</t>
        </is>
      </c>
      <c r="E4455" t="inlineStr">
        <is>
          <t>SALEM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32960-2025</t>
        </is>
      </c>
      <c r="B4456" s="1" t="n">
        <v>45839</v>
      </c>
      <c r="C4456" s="1" t="n">
        <v>45847</v>
      </c>
      <c r="D4456" t="inlineStr">
        <is>
          <t>STOCKHOLMS LÄN</t>
        </is>
      </c>
      <c r="E4456" t="inlineStr">
        <is>
          <t>SALEM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32962-2025</t>
        </is>
      </c>
      <c r="B4457" s="1" t="n">
        <v>45839</v>
      </c>
      <c r="C4457" s="1" t="n">
        <v>45847</v>
      </c>
      <c r="D4457" t="inlineStr">
        <is>
          <t>STOCKHOLMS LÄN</t>
        </is>
      </c>
      <c r="E4457" t="inlineStr">
        <is>
          <t>SALEM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32972-2025</t>
        </is>
      </c>
      <c r="B4458" s="1" t="n">
        <v>45839</v>
      </c>
      <c r="C4458" s="1" t="n">
        <v>45847</v>
      </c>
      <c r="D4458" t="inlineStr">
        <is>
          <t>STOCKHOLMS LÄN</t>
        </is>
      </c>
      <c r="E4458" t="inlineStr">
        <is>
          <t>SALEM</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32952-2025</t>
        </is>
      </c>
      <c r="B4459" s="1" t="n">
        <v>45839</v>
      </c>
      <c r="C4459" s="1" t="n">
        <v>45847</v>
      </c>
      <c r="D4459" t="inlineStr">
        <is>
          <t>STOCKHOLMS LÄN</t>
        </is>
      </c>
      <c r="E4459" t="inlineStr">
        <is>
          <t>HANINGE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32954-2025</t>
        </is>
      </c>
      <c r="B4460" s="1" t="n">
        <v>45839</v>
      </c>
      <c r="C4460" s="1" t="n">
        <v>45847</v>
      </c>
      <c r="D4460" t="inlineStr">
        <is>
          <t>STOCKHOLMS LÄN</t>
        </is>
      </c>
      <c r="E4460" t="inlineStr">
        <is>
          <t>HANINGE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32948-2025</t>
        </is>
      </c>
      <c r="B4461" s="1" t="n">
        <v>45839</v>
      </c>
      <c r="C4461" s="1" t="n">
        <v>45847</v>
      </c>
      <c r="D4461" t="inlineStr">
        <is>
          <t>STOCKHOLMS LÄN</t>
        </is>
      </c>
      <c r="E4461" t="inlineStr">
        <is>
          <t>HANINGE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32970-2025</t>
        </is>
      </c>
      <c r="B4462" s="1" t="n">
        <v>45839</v>
      </c>
      <c r="C4462" s="1" t="n">
        <v>45847</v>
      </c>
      <c r="D4462" t="inlineStr">
        <is>
          <t>STOCKHOLMS LÄN</t>
        </is>
      </c>
      <c r="E4462" t="inlineStr">
        <is>
          <t>SALEM</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32942-2025</t>
        </is>
      </c>
      <c r="B4463" s="1" t="n">
        <v>45839</v>
      </c>
      <c r="C4463" s="1" t="n">
        <v>45847</v>
      </c>
      <c r="D4463" t="inlineStr">
        <is>
          <t>STOCKHOLMS LÄN</t>
        </is>
      </c>
      <c r="E4463" t="inlineStr">
        <is>
          <t>SALEM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32946-2025</t>
        </is>
      </c>
      <c r="B4464" s="1" t="n">
        <v>45839</v>
      </c>
      <c r="C4464" s="1" t="n">
        <v>45847</v>
      </c>
      <c r="D4464" t="inlineStr">
        <is>
          <t>STOCKHOLMS LÄN</t>
        </is>
      </c>
      <c r="E4464" t="inlineStr">
        <is>
          <t>SALEM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33265-2025</t>
        </is>
      </c>
      <c r="B4465" s="1" t="n">
        <v>45840</v>
      </c>
      <c r="C4465" s="1" t="n">
        <v>45847</v>
      </c>
      <c r="D4465" t="inlineStr">
        <is>
          <t>STOCKHOLMS LÄN</t>
        </is>
      </c>
      <c r="E4465" t="inlineStr">
        <is>
          <t>NORRTÄLJE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33279-2025</t>
        </is>
      </c>
      <c r="B4466" s="1" t="n">
        <v>45840</v>
      </c>
      <c r="C4466" s="1" t="n">
        <v>45847</v>
      </c>
      <c r="D4466" t="inlineStr">
        <is>
          <t>STOCKHOLMS LÄN</t>
        </is>
      </c>
      <c r="E4466" t="inlineStr">
        <is>
          <t>NORRTÄLJE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33211-2025</t>
        </is>
      </c>
      <c r="B4467" s="1" t="n">
        <v>45840</v>
      </c>
      <c r="C4467" s="1" t="n">
        <v>45847</v>
      </c>
      <c r="D4467" t="inlineStr">
        <is>
          <t>STOCKHOLMS LÄN</t>
        </is>
      </c>
      <c r="E4467" t="inlineStr">
        <is>
          <t>NORRTÄLJE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33219-2025</t>
        </is>
      </c>
      <c r="B4468" s="1" t="n">
        <v>45840</v>
      </c>
      <c r="C4468" s="1" t="n">
        <v>45847</v>
      </c>
      <c r="D4468" t="inlineStr">
        <is>
          <t>STOCKHOLMS LÄN</t>
        </is>
      </c>
      <c r="E4468" t="inlineStr">
        <is>
          <t>NORRTÄLJE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33336-2025</t>
        </is>
      </c>
      <c r="B4469" s="1" t="n">
        <v>45841</v>
      </c>
      <c r="C4469" s="1" t="n">
        <v>45847</v>
      </c>
      <c r="D4469" t="inlineStr">
        <is>
          <t>STOCKHOLMS LÄN</t>
        </is>
      </c>
      <c r="E4469" t="inlineStr">
        <is>
          <t>NORRTÄLJE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33552-2025</t>
        </is>
      </c>
      <c r="B4470" s="1" t="n">
        <v>45841</v>
      </c>
      <c r="C4470" s="1" t="n">
        <v>45847</v>
      </c>
      <c r="D4470" t="inlineStr">
        <is>
          <t>STOCKHOLMS LÄN</t>
        </is>
      </c>
      <c r="E4470" t="inlineStr">
        <is>
          <t>NORRTÄLJE</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33546-2025</t>
        </is>
      </c>
      <c r="B4471" s="1" t="n">
        <v>45841</v>
      </c>
      <c r="C4471" s="1" t="n">
        <v>45847</v>
      </c>
      <c r="D4471" t="inlineStr">
        <is>
          <t>STOCKHOLMS LÄN</t>
        </is>
      </c>
      <c r="E4471" t="inlineStr">
        <is>
          <t>NORRTÄLJE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33702-2025</t>
        </is>
      </c>
      <c r="B4472" s="1" t="n">
        <v>45841</v>
      </c>
      <c r="C4472" s="1" t="n">
        <v>45847</v>
      </c>
      <c r="D4472" t="inlineStr">
        <is>
          <t>STOCKHOLMS LÄN</t>
        </is>
      </c>
      <c r="E4472" t="inlineStr">
        <is>
          <t>NORRTÄLJE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33929-2025</t>
        </is>
      </c>
      <c r="B4473" s="1" t="n">
        <v>45842</v>
      </c>
      <c r="C4473" s="1" t="n">
        <v>45847</v>
      </c>
      <c r="D4473" t="inlineStr">
        <is>
          <t>STOCKHOLMS LÄN</t>
        </is>
      </c>
      <c r="E4473" t="inlineStr">
        <is>
          <t>NORRTÄLJE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34034-2025</t>
        </is>
      </c>
      <c r="B4474" s="1" t="n">
        <v>45842</v>
      </c>
      <c r="C4474" s="1" t="n">
        <v>45847</v>
      </c>
      <c r="D4474" t="inlineStr">
        <is>
          <t>STOCKHOLMS LÄN</t>
        </is>
      </c>
      <c r="E4474" t="inlineStr">
        <is>
          <t>ÖSTERÅKER</t>
        </is>
      </c>
      <c r="F4474" t="inlineStr">
        <is>
          <t>Övriga Aktiebolag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34079-2025</t>
        </is>
      </c>
      <c r="B4475" s="1" t="n">
        <v>45842</v>
      </c>
      <c r="C4475" s="1" t="n">
        <v>45847</v>
      </c>
      <c r="D4475" t="inlineStr">
        <is>
          <t>STOCKHOLMS LÄN</t>
        </is>
      </c>
      <c r="E4475" t="inlineStr">
        <is>
          <t>ÖSTERÅKER</t>
        </is>
      </c>
      <c r="F4475" t="inlineStr">
        <is>
          <t>Övriga Aktiebolag</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33824-2025</t>
        </is>
      </c>
      <c r="B4476" s="1" t="n">
        <v>45842</v>
      </c>
      <c r="C4476" s="1" t="n">
        <v>45847</v>
      </c>
      <c r="D4476" t="inlineStr">
        <is>
          <t>STOCKHOLMS LÄN</t>
        </is>
      </c>
      <c r="E4476" t="inlineStr">
        <is>
          <t>NORRTÄLJE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34038-2025</t>
        </is>
      </c>
      <c r="B4477" s="1" t="n">
        <v>45842</v>
      </c>
      <c r="C4477" s="1" t="n">
        <v>45847</v>
      </c>
      <c r="D4477" t="inlineStr">
        <is>
          <t>STOCKHOLMS LÄN</t>
        </is>
      </c>
      <c r="E4477" t="inlineStr">
        <is>
          <t>ÖSTERÅKER</t>
        </is>
      </c>
      <c r="F4477" t="inlineStr">
        <is>
          <t>Övriga Aktiebolag</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33801-2025</t>
        </is>
      </c>
      <c r="B4478" s="1" t="n">
        <v>45842</v>
      </c>
      <c r="C4478" s="1" t="n">
        <v>45847</v>
      </c>
      <c r="D4478" t="inlineStr">
        <is>
          <t>STOCKHOLMS LÄN</t>
        </is>
      </c>
      <c r="E4478" t="inlineStr">
        <is>
          <t>BOTKYRKA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34006-2025</t>
        </is>
      </c>
      <c r="B4479" s="1" t="n">
        <v>45844</v>
      </c>
      <c r="C4479" s="1" t="n">
        <v>45847</v>
      </c>
      <c r="D4479" t="inlineStr">
        <is>
          <t>STOCKHOLMS LÄN</t>
        </is>
      </c>
      <c r="E4479" t="inlineStr">
        <is>
          <t>NORRTÄLJE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34010-2025</t>
        </is>
      </c>
      <c r="B4480" s="1" t="n">
        <v>45844</v>
      </c>
      <c r="C4480" s="1" t="n">
        <v>45847</v>
      </c>
      <c r="D4480" t="inlineStr">
        <is>
          <t>STOCKHOLMS LÄN</t>
        </is>
      </c>
      <c r="E4480" t="inlineStr">
        <is>
          <t>NORRTÄLJE</t>
        </is>
      </c>
      <c r="F4480" t="inlineStr">
        <is>
          <t>Övriga Aktiebolag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34073-2025</t>
        </is>
      </c>
      <c r="B4481" s="1" t="n">
        <v>45845</v>
      </c>
      <c r="C4481" s="1" t="n">
        <v>45847</v>
      </c>
      <c r="D4481" t="inlineStr">
        <is>
          <t>STOCKHOLMS LÄN</t>
        </is>
      </c>
      <c r="E4481" t="inlineStr">
        <is>
          <t>EKERÖ</t>
        </is>
      </c>
      <c r="G4481" t="n">
        <v>2.9</v>
      </c>
      <c r="H4481" t="n">
        <v>0</v>
      </c>
      <c r="I4481" t="n">
        <v>0</v>
      </c>
      <c r="J4481" t="n">
        <v>0</v>
      </c>
      <c r="K4481" t="n">
        <v>0</v>
      </c>
      <c r="L4481" t="n">
        <v>0</v>
      </c>
      <c r="M4481" t="n">
        <v>0</v>
      </c>
      <c r="N4481" t="n">
        <v>0</v>
      </c>
      <c r="O4481" t="n">
        <v>0</v>
      </c>
      <c r="P4481" t="n">
        <v>0</v>
      </c>
      <c r="Q4481" t="n">
        <v>0</v>
      </c>
      <c r="R4481" s="2" t="inlineStr"/>
    </row>
    <row r="4482">
      <c r="A4482" t="inlineStr">
        <is>
          <t>A 34139-2025</t>
        </is>
      </c>
      <c r="B4482" s="1" t="n">
        <v>45845</v>
      </c>
      <c r="C4482" s="1" t="n">
        <v>45847</v>
      </c>
      <c r="D4482" t="inlineStr">
        <is>
          <t>STOCKHOLMS LÄN</t>
        </is>
      </c>
      <c r="E4482" t="inlineStr">
        <is>
          <t>NORRTÄLJE</t>
        </is>
      </c>
      <c r="G4482" t="n">
        <v>5.5</v>
      </c>
      <c r="H4482" t="n">
        <v>0</v>
      </c>
      <c r="I4482" t="n">
        <v>0</v>
      </c>
      <c r="J4482" t="n">
        <v>0</v>
      </c>
      <c r="K4482" t="n">
        <v>0</v>
      </c>
      <c r="L4482" t="n">
        <v>0</v>
      </c>
      <c r="M4482" t="n">
        <v>0</v>
      </c>
      <c r="N4482" t="n">
        <v>0</v>
      </c>
      <c r="O4482" t="n">
        <v>0</v>
      </c>
      <c r="P4482" t="n">
        <v>0</v>
      </c>
      <c r="Q4482" t="n">
        <v>0</v>
      </c>
      <c r="R4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2025-07-09T20:42:53Z</dcterms:created>
  <dcterms:modified xmlns:dcterms="http://purl.org/dc/terms/" xmlns:xsi="http://www.w3.org/2001/XMLSchema-instance" xsi:type="dcterms:W3CDTF">2025-07-09T20:42:57Z</dcterms:modified>
</cp:coreProperties>
</file>
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46050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46050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46050</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46050</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46050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46050</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46050</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46050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46050</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46050</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46050</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46050</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46050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46050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46050</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46050</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46050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46050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46050</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46050</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46050</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46050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46050</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60941-2025</t>
        </is>
      </c>
      <c r="B25" s="1" t="n">
        <v>45999.64359953703</v>
      </c>
      <c r="C25" s="1" t="n">
        <v>46050</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67868-2021</t>
        </is>
      </c>
      <c r="B26" s="1" t="n">
        <v>44525</v>
      </c>
      <c r="C26" s="1" t="n">
        <v>46050</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46050</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46050</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46050</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46050</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46050</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46050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46050</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46050</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46050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46050</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46050</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46050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46050</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46050</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46050</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46050</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46050</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56792-2025</t>
        </is>
      </c>
      <c r="B44" s="1" t="n">
        <v>45978</v>
      </c>
      <c r="C44" s="1" t="n">
        <v>46050</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46050</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46050</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46050</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3472-2023</t>
        </is>
      </c>
      <c r="B48" s="1" t="n">
        <v>44949</v>
      </c>
      <c r="C48" s="1" t="n">
        <v>46050</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46050</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46050</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22924-2025</t>
        </is>
      </c>
      <c r="B51" s="1" t="n">
        <v>45790.4418287037</v>
      </c>
      <c r="C51" s="1" t="n">
        <v>46050</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46050</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46050</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46050</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46050</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46050</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695-2023</t>
        </is>
      </c>
      <c r="B57" s="1" t="n">
        <v>44930</v>
      </c>
      <c r="C57" s="1" t="n">
        <v>46050</v>
      </c>
      <c r="D57" t="inlineStr">
        <is>
          <t>STOCKHOLMS LÄN</t>
        </is>
      </c>
      <c r="E57" t="inlineStr">
        <is>
          <t>BOTKYRKA</t>
        </is>
      </c>
      <c r="G57" t="n">
        <v>13.6</v>
      </c>
      <c r="H57" t="n">
        <v>8</v>
      </c>
      <c r="I57" t="n">
        <v>1</v>
      </c>
      <c r="J57" t="n">
        <v>5</v>
      </c>
      <c r="K57" t="n">
        <v>0</v>
      </c>
      <c r="L57" t="n">
        <v>0</v>
      </c>
      <c r="M57" t="n">
        <v>0</v>
      </c>
      <c r="N57" t="n">
        <v>0</v>
      </c>
      <c r="O57" t="n">
        <v>5</v>
      </c>
      <c r="P57" t="n">
        <v>0</v>
      </c>
      <c r="Q57" t="n">
        <v>10</v>
      </c>
      <c r="R57" s="2" t="inlineStr">
        <is>
          <t>Brunlångöra
Gulsparv
Motaggsvamp
Nordfladdermus
Spillkråka
Dropptaggsvamp
Dvärgpipistrell
Kungsfågel
Större brunfladdermus
Vattenfladdermus</t>
        </is>
      </c>
      <c r="S57">
        <f>HYPERLINK("https://klasma.github.io/Logging_0127/artfynd/A 695-2023 artfynd.xlsx", "A 695-2023")</f>
        <v/>
      </c>
      <c r="T57">
        <f>HYPERLINK("https://klasma.github.io/Logging_0127/kartor/A 695-2023 karta.png", "A 695-2023")</f>
        <v/>
      </c>
      <c r="V57">
        <f>HYPERLINK("https://klasma.github.io/Logging_0127/klagomål/A 695-2023 FSC-klagomål.docx", "A 695-2023")</f>
        <v/>
      </c>
      <c r="W57">
        <f>HYPERLINK("https://klasma.github.io/Logging_0127/klagomålsmail/A 695-2023 FSC-klagomål mail.docx", "A 695-2023")</f>
        <v/>
      </c>
      <c r="X57">
        <f>HYPERLINK("https://klasma.github.io/Logging_0127/tillsyn/A 695-2023 tillsynsbegäran.docx", "A 695-2023")</f>
        <v/>
      </c>
      <c r="Y57">
        <f>HYPERLINK("https://klasma.github.io/Logging_0127/tillsynsmail/A 695-2023 tillsynsbegäran mail.docx", "A 695-2023")</f>
        <v/>
      </c>
      <c r="Z57">
        <f>HYPERLINK("https://klasma.github.io/Logging_0127/fåglar/A 695-2023 prioriterade fågelarter.docx", "A 695-2023")</f>
        <v/>
      </c>
    </row>
    <row r="58" ht="15" customHeight="1">
      <c r="A58" t="inlineStr">
        <is>
          <t>A 31366-2021</t>
        </is>
      </c>
      <c r="B58" s="1" t="n">
        <v>44368</v>
      </c>
      <c r="C58" s="1" t="n">
        <v>46050</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24264-2023</t>
        </is>
      </c>
      <c r="B59" s="1" t="n">
        <v>45076</v>
      </c>
      <c r="C59" s="1" t="n">
        <v>46050</v>
      </c>
      <c r="D59" t="inlineStr">
        <is>
          <t>STOCKHOLMS LÄN</t>
        </is>
      </c>
      <c r="E59" t="inlineStr">
        <is>
          <t>HUDDINGE</t>
        </is>
      </c>
      <c r="G59" t="n">
        <v>7.3</v>
      </c>
      <c r="H59" t="n">
        <v>1</v>
      </c>
      <c r="I59" t="n">
        <v>5</v>
      </c>
      <c r="J59" t="n">
        <v>3</v>
      </c>
      <c r="K59" t="n">
        <v>0</v>
      </c>
      <c r="L59" t="n">
        <v>0</v>
      </c>
      <c r="M59" t="n">
        <v>0</v>
      </c>
      <c r="N59" t="n">
        <v>0</v>
      </c>
      <c r="O59" t="n">
        <v>3</v>
      </c>
      <c r="P59" t="n">
        <v>0</v>
      </c>
      <c r="Q59" t="n">
        <v>9</v>
      </c>
      <c r="R59" s="2" t="inlineStr">
        <is>
          <t>Motaggsvamp
Tallticka
Ullticka
Björksplintborre
Bronshjon
Granbarkgnagare
Mindre märgborre
Vågbandad barkbock
Revlummer</t>
        </is>
      </c>
      <c r="S59">
        <f>HYPERLINK("https://klasma.github.io/Logging_0126/artfynd/A 24264-2023 artfynd.xlsx", "A 24264-2023")</f>
        <v/>
      </c>
      <c r="T59">
        <f>HYPERLINK("https://klasma.github.io/Logging_0126/kartor/A 24264-2023 karta.png", "A 24264-2023")</f>
        <v/>
      </c>
      <c r="V59">
        <f>HYPERLINK("https://klasma.github.io/Logging_0126/klagomål/A 24264-2023 FSC-klagomål.docx", "A 24264-2023")</f>
        <v/>
      </c>
      <c r="W59">
        <f>HYPERLINK("https://klasma.github.io/Logging_0126/klagomålsmail/A 24264-2023 FSC-klagomål mail.docx", "A 24264-2023")</f>
        <v/>
      </c>
      <c r="X59">
        <f>HYPERLINK("https://klasma.github.io/Logging_0126/tillsyn/A 24264-2023 tillsynsbegäran.docx", "A 24264-2023")</f>
        <v/>
      </c>
      <c r="Y59">
        <f>HYPERLINK("https://klasma.github.io/Logging_0126/tillsynsmail/A 24264-2023 tillsynsbegäran mail.docx", "A 24264-2023")</f>
        <v/>
      </c>
    </row>
    <row r="60" ht="15" customHeight="1">
      <c r="A60" t="inlineStr">
        <is>
          <t>A 13137-2022</t>
        </is>
      </c>
      <c r="B60" s="1" t="n">
        <v>44643</v>
      </c>
      <c r="C60" s="1" t="n">
        <v>46050</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50326-2024</t>
        </is>
      </c>
      <c r="B61" s="1" t="n">
        <v>45600</v>
      </c>
      <c r="C61" s="1" t="n">
        <v>46050</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73093-2021</t>
        </is>
      </c>
      <c r="B62" s="1" t="n">
        <v>44550</v>
      </c>
      <c r="C62" s="1" t="n">
        <v>46050</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46050</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61292-2025</t>
        </is>
      </c>
      <c r="B64" s="1" t="n">
        <v>46000.75015046296</v>
      </c>
      <c r="C64" s="1" t="n">
        <v>46050</v>
      </c>
      <c r="D64" t="inlineStr">
        <is>
          <t>STOCKHOLMS LÄN</t>
        </is>
      </c>
      <c r="E64" t="inlineStr">
        <is>
          <t>NORRTÄLJE</t>
        </is>
      </c>
      <c r="G64" t="n">
        <v>3.8</v>
      </c>
      <c r="H64" t="n">
        <v>4</v>
      </c>
      <c r="I64" t="n">
        <v>5</v>
      </c>
      <c r="J64" t="n">
        <v>2</v>
      </c>
      <c r="K64" t="n">
        <v>1</v>
      </c>
      <c r="L64" t="n">
        <v>0</v>
      </c>
      <c r="M64" t="n">
        <v>0</v>
      </c>
      <c r="N64" t="n">
        <v>0</v>
      </c>
      <c r="O64" t="n">
        <v>3</v>
      </c>
      <c r="P64" t="n">
        <v>1</v>
      </c>
      <c r="Q64" t="n">
        <v>9</v>
      </c>
      <c r="R64" s="2" t="inlineStr">
        <is>
          <t>Knärot
Spillkråka
Ullticka
Bronshjon
Grön sköldmossa
Grönpyrola
Stubbspretmossa
Vågbandad barkbock
Kungsfågel</t>
        </is>
      </c>
      <c r="S64">
        <f>HYPERLINK("https://klasma.github.io/Logging_0188/artfynd/A 61292-2025 artfynd.xlsx", "A 61292-2025")</f>
        <v/>
      </c>
      <c r="T64">
        <f>HYPERLINK("https://klasma.github.io/Logging_0188/kartor/A 61292-2025 karta.png", "A 61292-2025")</f>
        <v/>
      </c>
      <c r="U64">
        <f>HYPERLINK("https://klasma.github.io/Logging_0188/knärot/A 61292-2025 karta knärot.png", "A 61292-2025")</f>
        <v/>
      </c>
      <c r="V64">
        <f>HYPERLINK("https://klasma.github.io/Logging_0188/klagomål/A 61292-2025 FSC-klagomål.docx", "A 61292-2025")</f>
        <v/>
      </c>
      <c r="W64">
        <f>HYPERLINK("https://klasma.github.io/Logging_0188/klagomålsmail/A 61292-2025 FSC-klagomål mail.docx", "A 61292-2025")</f>
        <v/>
      </c>
      <c r="X64">
        <f>HYPERLINK("https://klasma.github.io/Logging_0188/tillsyn/A 61292-2025 tillsynsbegäran.docx", "A 61292-2025")</f>
        <v/>
      </c>
      <c r="Y64">
        <f>HYPERLINK("https://klasma.github.io/Logging_0188/tillsynsmail/A 61292-2025 tillsynsbegäran mail.docx", "A 61292-2025")</f>
        <v/>
      </c>
      <c r="Z64">
        <f>HYPERLINK("https://klasma.github.io/Logging_0188/fåglar/A 61292-2025 prioriterade fågelarter.docx", "A 61292-2025")</f>
        <v/>
      </c>
    </row>
    <row r="65" ht="15" customHeight="1">
      <c r="A65" t="inlineStr">
        <is>
          <t>A 52815-2021</t>
        </is>
      </c>
      <c r="B65" s="1" t="n">
        <v>44467</v>
      </c>
      <c r="C65" s="1" t="n">
        <v>46050</v>
      </c>
      <c r="D65" t="inlineStr">
        <is>
          <t>STOCKHOLMS LÄN</t>
        </is>
      </c>
      <c r="E65" t="inlineStr">
        <is>
          <t>NORRTÄLJE</t>
        </is>
      </c>
      <c r="G65" t="n">
        <v>2.8</v>
      </c>
      <c r="H65" t="n">
        <v>0</v>
      </c>
      <c r="I65" t="n">
        <v>2</v>
      </c>
      <c r="J65" t="n">
        <v>2</v>
      </c>
      <c r="K65" t="n">
        <v>4</v>
      </c>
      <c r="L65" t="n">
        <v>1</v>
      </c>
      <c r="M65" t="n">
        <v>0</v>
      </c>
      <c r="N65" t="n">
        <v>0</v>
      </c>
      <c r="O65" t="n">
        <v>7</v>
      </c>
      <c r="P65" t="n">
        <v>5</v>
      </c>
      <c r="Q65" t="n">
        <v>9</v>
      </c>
      <c r="R65" s="2" t="inlineStr">
        <is>
          <t>Raggtaggsvamp
Gul lammticka
Koppartaggsvamp
Spricktaggsvamp
Svartfjällig musseron
Bittermusseron
Flattoppad klubbsvamp
Diskvaxskivling
Fjällig taggsvamp s.str.</t>
        </is>
      </c>
      <c r="S65">
        <f>HYPERLINK("https://klasma.github.io/Logging_0188/artfynd/A 52815-2021 artfynd.xlsx", "A 52815-2021")</f>
        <v/>
      </c>
      <c r="T65">
        <f>HYPERLINK("https://klasma.github.io/Logging_0188/kartor/A 52815-2021 karta.png", "A 52815-2021")</f>
        <v/>
      </c>
      <c r="V65">
        <f>HYPERLINK("https://klasma.github.io/Logging_0188/klagomål/A 52815-2021 FSC-klagomål.docx", "A 52815-2021")</f>
        <v/>
      </c>
      <c r="W65">
        <f>HYPERLINK("https://klasma.github.io/Logging_0188/klagomålsmail/A 52815-2021 FSC-klagomål mail.docx", "A 52815-2021")</f>
        <v/>
      </c>
      <c r="X65">
        <f>HYPERLINK("https://klasma.github.io/Logging_0188/tillsyn/A 52815-2021 tillsynsbegäran.docx", "A 52815-2021")</f>
        <v/>
      </c>
      <c r="Y65">
        <f>HYPERLINK("https://klasma.github.io/Logging_0188/tillsynsmail/A 52815-2021 tillsynsbegäran mail.docx", "A 52815-2021")</f>
        <v/>
      </c>
    </row>
    <row r="66" ht="15" customHeight="1">
      <c r="A66" t="inlineStr">
        <is>
          <t>A 29817-2021</t>
        </is>
      </c>
      <c r="B66" s="1" t="n">
        <v>44362</v>
      </c>
      <c r="C66" s="1" t="n">
        <v>46050</v>
      </c>
      <c r="D66" t="inlineStr">
        <is>
          <t>STOCKHOLMS LÄN</t>
        </is>
      </c>
      <c r="E66" t="inlineStr">
        <is>
          <t>VÄRMDÖ</t>
        </is>
      </c>
      <c r="F66" t="inlineStr">
        <is>
          <t>Övriga Aktiebolag</t>
        </is>
      </c>
      <c r="G66" t="n">
        <v>5</v>
      </c>
      <c r="H66" t="n">
        <v>2</v>
      </c>
      <c r="I66" t="n">
        <v>4</v>
      </c>
      <c r="J66" t="n">
        <v>2</v>
      </c>
      <c r="K66" t="n">
        <v>0</v>
      </c>
      <c r="L66" t="n">
        <v>1</v>
      </c>
      <c r="M66" t="n">
        <v>0</v>
      </c>
      <c r="N66" t="n">
        <v>0</v>
      </c>
      <c r="O66" t="n">
        <v>3</v>
      </c>
      <c r="P66" t="n">
        <v>1</v>
      </c>
      <c r="Q66" t="n">
        <v>8</v>
      </c>
      <c r="R66" s="2" t="inlineStr">
        <is>
          <t>Ryl
Svartvit flugsnappare
Tallticka
Granbarkgnagare
Grovticka
Myskbock
Stubbspretmossa
Blåsippa</t>
        </is>
      </c>
      <c r="S66">
        <f>HYPERLINK("https://klasma.github.io/Logging_0120/artfynd/A 29817-2021 artfynd.xlsx", "A 29817-2021")</f>
        <v/>
      </c>
      <c r="T66">
        <f>HYPERLINK("https://klasma.github.io/Logging_0120/kartor/A 29817-2021 karta.png", "A 29817-2021")</f>
        <v/>
      </c>
      <c r="V66">
        <f>HYPERLINK("https://klasma.github.io/Logging_0120/klagomål/A 29817-2021 FSC-klagomål.docx", "A 29817-2021")</f>
        <v/>
      </c>
      <c r="W66">
        <f>HYPERLINK("https://klasma.github.io/Logging_0120/klagomålsmail/A 29817-2021 FSC-klagomål mail.docx", "A 29817-2021")</f>
        <v/>
      </c>
      <c r="X66">
        <f>HYPERLINK("https://klasma.github.io/Logging_0120/tillsyn/A 29817-2021 tillsynsbegäran.docx", "A 29817-2021")</f>
        <v/>
      </c>
      <c r="Y66">
        <f>HYPERLINK("https://klasma.github.io/Logging_0120/tillsynsmail/A 29817-2021 tillsynsbegäran mail.docx", "A 29817-2021")</f>
        <v/>
      </c>
      <c r="Z66">
        <f>HYPERLINK("https://klasma.github.io/Logging_0120/fåglar/A 29817-2021 prioriterade fågelarter.docx", "A 29817-2021")</f>
        <v/>
      </c>
    </row>
    <row r="67" ht="15" customHeight="1">
      <c r="A67" t="inlineStr">
        <is>
          <t>A 25512-2022</t>
        </is>
      </c>
      <c r="B67" s="1" t="n">
        <v>44732</v>
      </c>
      <c r="C67" s="1" t="n">
        <v>46050</v>
      </c>
      <c r="D67" t="inlineStr">
        <is>
          <t>STOCKHOLMS LÄN</t>
        </is>
      </c>
      <c r="E67" t="inlineStr">
        <is>
          <t>VALLENTUNA</t>
        </is>
      </c>
      <c r="G67" t="n">
        <v>13.8</v>
      </c>
      <c r="H67" t="n">
        <v>0</v>
      </c>
      <c r="I67" t="n">
        <v>5</v>
      </c>
      <c r="J67" t="n">
        <v>3</v>
      </c>
      <c r="K67" t="n">
        <v>0</v>
      </c>
      <c r="L67" t="n">
        <v>0</v>
      </c>
      <c r="M67" t="n">
        <v>0</v>
      </c>
      <c r="N67" t="n">
        <v>0</v>
      </c>
      <c r="O67" t="n">
        <v>3</v>
      </c>
      <c r="P67" t="n">
        <v>0</v>
      </c>
      <c r="Q67" t="n">
        <v>8</v>
      </c>
      <c r="R67" s="2" t="inlineStr">
        <is>
          <t>Granticka
Gränsticka
Orange taggsvamp
Fjällig taggsvamp s.str.
Gullgröppa
Rödgul trumpetsvamp
Skarp dropptaggsvamp
Vedticka</t>
        </is>
      </c>
      <c r="S67">
        <f>HYPERLINK("https://klasma.github.io/Logging_0115/artfynd/A 25512-2022 artfynd.xlsx", "A 25512-2022")</f>
        <v/>
      </c>
      <c r="T67">
        <f>HYPERLINK("https://klasma.github.io/Logging_0115/kartor/A 25512-2022 karta.png", "A 25512-2022")</f>
        <v/>
      </c>
      <c r="V67">
        <f>HYPERLINK("https://klasma.github.io/Logging_0115/klagomål/A 25512-2022 FSC-klagomål.docx", "A 25512-2022")</f>
        <v/>
      </c>
      <c r="W67">
        <f>HYPERLINK("https://klasma.github.io/Logging_0115/klagomålsmail/A 25512-2022 FSC-klagomål mail.docx", "A 25512-2022")</f>
        <v/>
      </c>
      <c r="X67">
        <f>HYPERLINK("https://klasma.github.io/Logging_0115/tillsyn/A 25512-2022 tillsynsbegäran.docx", "A 25512-2022")</f>
        <v/>
      </c>
      <c r="Y67">
        <f>HYPERLINK("https://klasma.github.io/Logging_0115/tillsynsmail/A 25512-2022 tillsynsbegäran mail.docx", "A 25512-2022")</f>
        <v/>
      </c>
    </row>
    <row r="68" ht="15" customHeight="1">
      <c r="A68" t="inlineStr">
        <is>
          <t>A 42612-2025</t>
        </is>
      </c>
      <c r="B68" s="1" t="n">
        <v>45905.70087962963</v>
      </c>
      <c r="C68" s="1" t="n">
        <v>46050</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59582-2024</t>
        </is>
      </c>
      <c r="B69" s="1" t="n">
        <v>45638</v>
      </c>
      <c r="C69" s="1" t="n">
        <v>46050</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46050</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47951-2025</t>
        </is>
      </c>
      <c r="B71" s="1" t="n">
        <v>45932.58491898148</v>
      </c>
      <c r="C71" s="1" t="n">
        <v>46050</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31459-2025</t>
        </is>
      </c>
      <c r="B72" s="1" t="n">
        <v>45833</v>
      </c>
      <c r="C72" s="1" t="n">
        <v>46050</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61099-2025</t>
        </is>
      </c>
      <c r="B73" s="1" t="n">
        <v>46000.44185185185</v>
      </c>
      <c r="C73" s="1" t="n">
        <v>46050</v>
      </c>
      <c r="D73" t="inlineStr">
        <is>
          <t>STOCKHOLMS LÄN</t>
        </is>
      </c>
      <c r="E73" t="inlineStr">
        <is>
          <t>NORRTÄLJE</t>
        </is>
      </c>
      <c r="G73" t="n">
        <v>9.5</v>
      </c>
      <c r="H73" t="n">
        <v>5</v>
      </c>
      <c r="I73" t="n">
        <v>1</v>
      </c>
      <c r="J73" t="n">
        <v>3</v>
      </c>
      <c r="K73" t="n">
        <v>1</v>
      </c>
      <c r="L73" t="n">
        <v>0</v>
      </c>
      <c r="M73" t="n">
        <v>0</v>
      </c>
      <c r="N73" t="n">
        <v>0</v>
      </c>
      <c r="O73" t="n">
        <v>4</v>
      </c>
      <c r="P73" t="n">
        <v>1</v>
      </c>
      <c r="Q73" t="n">
        <v>8</v>
      </c>
      <c r="R73" s="2" t="inlineStr">
        <is>
          <t>Knärot
Leptoporus erubescens
Spillkråka
Vedtrappmossa
Stubbspretmossa
Kungsfågel
Nattviol
Blåsippa</t>
        </is>
      </c>
      <c r="S73">
        <f>HYPERLINK("https://klasma.github.io/Logging_0188/artfynd/A 61099-2025 artfynd.xlsx", "A 61099-2025")</f>
        <v/>
      </c>
      <c r="T73">
        <f>HYPERLINK("https://klasma.github.io/Logging_0188/kartor/A 61099-2025 karta.png", "A 61099-2025")</f>
        <v/>
      </c>
      <c r="U73">
        <f>HYPERLINK("https://klasma.github.io/Logging_0188/knärot/A 61099-2025 karta knärot.png", "A 61099-2025")</f>
        <v/>
      </c>
      <c r="V73">
        <f>HYPERLINK("https://klasma.github.io/Logging_0188/klagomål/A 61099-2025 FSC-klagomål.docx", "A 61099-2025")</f>
        <v/>
      </c>
      <c r="W73">
        <f>HYPERLINK("https://klasma.github.io/Logging_0188/klagomålsmail/A 61099-2025 FSC-klagomål mail.docx", "A 61099-2025")</f>
        <v/>
      </c>
      <c r="X73">
        <f>HYPERLINK("https://klasma.github.io/Logging_0188/tillsyn/A 61099-2025 tillsynsbegäran.docx", "A 61099-2025")</f>
        <v/>
      </c>
      <c r="Y73">
        <f>HYPERLINK("https://klasma.github.io/Logging_0188/tillsynsmail/A 61099-2025 tillsynsbegäran mail.docx", "A 61099-2025")</f>
        <v/>
      </c>
      <c r="Z73">
        <f>HYPERLINK("https://klasma.github.io/Logging_0188/fåglar/A 61099-2025 prioriterade fågelarter.docx", "A 61099-2025")</f>
        <v/>
      </c>
    </row>
    <row r="74" ht="15" customHeight="1">
      <c r="A74" t="inlineStr">
        <is>
          <t>A 25732-2025</t>
        </is>
      </c>
      <c r="B74" s="1" t="n">
        <v>45800</v>
      </c>
      <c r="C74" s="1" t="n">
        <v>46050</v>
      </c>
      <c r="D74" t="inlineStr">
        <is>
          <t>STOCKHOLMS LÄN</t>
        </is>
      </c>
      <c r="E74" t="inlineStr">
        <is>
          <t>NORRTÄLJE</t>
        </is>
      </c>
      <c r="G74" t="n">
        <v>7.4</v>
      </c>
      <c r="H74" t="n">
        <v>4</v>
      </c>
      <c r="I74" t="n">
        <v>3</v>
      </c>
      <c r="J74" t="n">
        <v>3</v>
      </c>
      <c r="K74" t="n">
        <v>1</v>
      </c>
      <c r="L74" t="n">
        <v>0</v>
      </c>
      <c r="M74" t="n">
        <v>0</v>
      </c>
      <c r="N74" t="n">
        <v>0</v>
      </c>
      <c r="O74" t="n">
        <v>4</v>
      </c>
      <c r="P74" t="n">
        <v>1</v>
      </c>
      <c r="Q74" t="n">
        <v>8</v>
      </c>
      <c r="R74" s="2" t="inlineStr">
        <is>
          <t>Knärot
Blå taggsvamp
Skrovlig taggsvamp
Spillkråka
Björksplintborre
Grönpyrola
Plattlummer
Kungsfågel</t>
        </is>
      </c>
      <c r="S74">
        <f>HYPERLINK("https://klasma.github.io/Logging_0188/artfynd/A 25732-2025 artfynd.xlsx", "A 25732-2025")</f>
        <v/>
      </c>
      <c r="T74">
        <f>HYPERLINK("https://klasma.github.io/Logging_0188/kartor/A 25732-2025 karta.png", "A 25732-2025")</f>
        <v/>
      </c>
      <c r="U74">
        <f>HYPERLINK("https://klasma.github.io/Logging_0188/knärot/A 25732-2025 karta knärot.png", "A 25732-2025")</f>
        <v/>
      </c>
      <c r="V74">
        <f>HYPERLINK("https://klasma.github.io/Logging_0188/klagomål/A 25732-2025 FSC-klagomål.docx", "A 25732-2025")</f>
        <v/>
      </c>
      <c r="W74">
        <f>HYPERLINK("https://klasma.github.io/Logging_0188/klagomålsmail/A 25732-2025 FSC-klagomål mail.docx", "A 25732-2025")</f>
        <v/>
      </c>
      <c r="X74">
        <f>HYPERLINK("https://klasma.github.io/Logging_0188/tillsyn/A 25732-2025 tillsynsbegäran.docx", "A 25732-2025")</f>
        <v/>
      </c>
      <c r="Y74">
        <f>HYPERLINK("https://klasma.github.io/Logging_0188/tillsynsmail/A 25732-2025 tillsynsbegäran mail.docx", "A 25732-2025")</f>
        <v/>
      </c>
      <c r="Z74">
        <f>HYPERLINK("https://klasma.github.io/Logging_0188/fåglar/A 25732-2025 prioriterade fågelarter.docx", "A 25732-2025")</f>
        <v/>
      </c>
    </row>
    <row r="75" ht="15" customHeight="1">
      <c r="A75" t="inlineStr">
        <is>
          <t>A 27838-2021</t>
        </is>
      </c>
      <c r="B75" s="1" t="n">
        <v>44354</v>
      </c>
      <c r="C75" s="1" t="n">
        <v>46050</v>
      </c>
      <c r="D75" t="inlineStr">
        <is>
          <t>STOCKHOLMS LÄN</t>
        </is>
      </c>
      <c r="E75" t="inlineStr">
        <is>
          <t>SÖDERTÄLJE</t>
        </is>
      </c>
      <c r="F75" t="inlineStr">
        <is>
          <t>Sveaskog</t>
        </is>
      </c>
      <c r="G75" t="n">
        <v>3.8</v>
      </c>
      <c r="H75" t="n">
        <v>1</v>
      </c>
      <c r="I75" t="n">
        <v>5</v>
      </c>
      <c r="J75" t="n">
        <v>3</v>
      </c>
      <c r="K75" t="n">
        <v>0</v>
      </c>
      <c r="L75" t="n">
        <v>0</v>
      </c>
      <c r="M75" t="n">
        <v>0</v>
      </c>
      <c r="N75" t="n">
        <v>0</v>
      </c>
      <c r="O75" t="n">
        <v>3</v>
      </c>
      <c r="P75" t="n">
        <v>0</v>
      </c>
      <c r="Q75" t="n">
        <v>8</v>
      </c>
      <c r="R75" s="2" t="inlineStr">
        <is>
          <t>Ekticka
Kortskaftad ärgspik
Rödbrun blekspik
Grön sköldmossa
Guldlockmossa
Kornig nållav
Rostfläck
Vätteros</t>
        </is>
      </c>
      <c r="S75">
        <f>HYPERLINK("https://klasma.github.io/Logging_0181/artfynd/A 27838-2021 artfynd.xlsx", "A 27838-2021")</f>
        <v/>
      </c>
      <c r="T75">
        <f>HYPERLINK("https://klasma.github.io/Logging_0181/kartor/A 27838-2021 karta.png", "A 27838-2021")</f>
        <v/>
      </c>
      <c r="V75">
        <f>HYPERLINK("https://klasma.github.io/Logging_0181/klagomål/A 27838-2021 FSC-klagomål.docx", "A 27838-2021")</f>
        <v/>
      </c>
      <c r="W75">
        <f>HYPERLINK("https://klasma.github.io/Logging_0181/klagomålsmail/A 27838-2021 FSC-klagomål mail.docx", "A 27838-2021")</f>
        <v/>
      </c>
      <c r="X75">
        <f>HYPERLINK("https://klasma.github.io/Logging_0181/tillsyn/A 27838-2021 tillsynsbegäran.docx", "A 27838-2021")</f>
        <v/>
      </c>
      <c r="Y75">
        <f>HYPERLINK("https://klasma.github.io/Logging_0181/tillsynsmail/A 27838-2021 tillsynsbegäran mail.docx", "A 27838-2021")</f>
        <v/>
      </c>
    </row>
    <row r="76" ht="15" customHeight="1">
      <c r="A76" t="inlineStr">
        <is>
          <t>A 45811-2022</t>
        </is>
      </c>
      <c r="B76" s="1" t="n">
        <v>44846</v>
      </c>
      <c r="C76" s="1" t="n">
        <v>46050</v>
      </c>
      <c r="D76" t="inlineStr">
        <is>
          <t>STOCKHOLMS LÄN</t>
        </is>
      </c>
      <c r="E76" t="inlineStr">
        <is>
          <t>NORRTÄLJE</t>
        </is>
      </c>
      <c r="G76" t="n">
        <v>0.8</v>
      </c>
      <c r="H76" t="n">
        <v>0</v>
      </c>
      <c r="I76" t="n">
        <v>5</v>
      </c>
      <c r="J76" t="n">
        <v>0</v>
      </c>
      <c r="K76" t="n">
        <v>0</v>
      </c>
      <c r="L76" t="n">
        <v>1</v>
      </c>
      <c r="M76" t="n">
        <v>1</v>
      </c>
      <c r="N76" t="n">
        <v>0</v>
      </c>
      <c r="O76" t="n">
        <v>2</v>
      </c>
      <c r="P76" t="n">
        <v>2</v>
      </c>
      <c r="Q76" t="n">
        <v>7</v>
      </c>
      <c r="R76" s="2" t="inlineStr">
        <is>
          <t>Skogsalm
Ask
Hässleklocka
Myskmadra
Strävlosta
Tibast
Underviol</t>
        </is>
      </c>
      <c r="S76">
        <f>HYPERLINK("https://klasma.github.io/Logging_0188/artfynd/A 45811-2022 artfynd.xlsx", "A 45811-2022")</f>
        <v/>
      </c>
      <c r="T76">
        <f>HYPERLINK("https://klasma.github.io/Logging_0188/kartor/A 45811-2022 karta.png", "A 45811-2022")</f>
        <v/>
      </c>
      <c r="V76">
        <f>HYPERLINK("https://klasma.github.io/Logging_0188/klagomål/A 45811-2022 FSC-klagomål.docx", "A 45811-2022")</f>
        <v/>
      </c>
      <c r="W76">
        <f>HYPERLINK("https://klasma.github.io/Logging_0188/klagomålsmail/A 45811-2022 FSC-klagomål mail.docx", "A 45811-2022")</f>
        <v/>
      </c>
      <c r="X76">
        <f>HYPERLINK("https://klasma.github.io/Logging_0188/tillsyn/A 45811-2022 tillsynsbegäran.docx", "A 45811-2022")</f>
        <v/>
      </c>
      <c r="Y76">
        <f>HYPERLINK("https://klasma.github.io/Logging_0188/tillsynsmail/A 45811-2022 tillsynsbegäran mail.docx", "A 45811-2022")</f>
        <v/>
      </c>
    </row>
    <row r="77" ht="15" customHeight="1">
      <c r="A77" t="inlineStr">
        <is>
          <t>A 48490-2022</t>
        </is>
      </c>
      <c r="B77" s="1" t="n">
        <v>44858</v>
      </c>
      <c r="C77" s="1" t="n">
        <v>46050</v>
      </c>
      <c r="D77" t="inlineStr">
        <is>
          <t>STOCKHOLMS LÄN</t>
        </is>
      </c>
      <c r="E77" t="inlineStr">
        <is>
          <t>NORRTÄLJE</t>
        </is>
      </c>
      <c r="G77" t="n">
        <v>15.8</v>
      </c>
      <c r="H77" t="n">
        <v>2</v>
      </c>
      <c r="I77" t="n">
        <v>6</v>
      </c>
      <c r="J77" t="n">
        <v>0</v>
      </c>
      <c r="K77" t="n">
        <v>0</v>
      </c>
      <c r="L77" t="n">
        <v>0</v>
      </c>
      <c r="M77" t="n">
        <v>0</v>
      </c>
      <c r="N77" t="n">
        <v>0</v>
      </c>
      <c r="O77" t="n">
        <v>0</v>
      </c>
      <c r="P77" t="n">
        <v>0</v>
      </c>
      <c r="Q77" t="n">
        <v>7</v>
      </c>
      <c r="R77" s="2" t="inlineStr">
        <is>
          <t>Kragjordstjärna
Skogsknipprot
Svart trolldruva
Svavelriska
Tibast
Vårärt
Blåsippa</t>
        </is>
      </c>
      <c r="S77">
        <f>HYPERLINK("https://klasma.github.io/Logging_0188/artfynd/A 48490-2022 artfynd.xlsx", "A 48490-2022")</f>
        <v/>
      </c>
      <c r="T77">
        <f>HYPERLINK("https://klasma.github.io/Logging_0188/kartor/A 48490-2022 karta.png", "A 48490-2022")</f>
        <v/>
      </c>
      <c r="V77">
        <f>HYPERLINK("https://klasma.github.io/Logging_0188/klagomål/A 48490-2022 FSC-klagomål.docx", "A 48490-2022")</f>
        <v/>
      </c>
      <c r="W77">
        <f>HYPERLINK("https://klasma.github.io/Logging_0188/klagomålsmail/A 48490-2022 FSC-klagomål mail.docx", "A 48490-2022")</f>
        <v/>
      </c>
      <c r="X77">
        <f>HYPERLINK("https://klasma.github.io/Logging_0188/tillsyn/A 48490-2022 tillsynsbegäran.docx", "A 48490-2022")</f>
        <v/>
      </c>
      <c r="Y77">
        <f>HYPERLINK("https://klasma.github.io/Logging_0188/tillsynsmail/A 48490-2022 tillsynsbegäran mail.docx", "A 48490-2022")</f>
        <v/>
      </c>
    </row>
    <row r="78" ht="15" customHeight="1">
      <c r="A78" t="inlineStr">
        <is>
          <t>A 9945-2021</t>
        </is>
      </c>
      <c r="B78" s="1" t="n">
        <v>44253</v>
      </c>
      <c r="C78" s="1" t="n">
        <v>46050</v>
      </c>
      <c r="D78" t="inlineStr">
        <is>
          <t>STOCKHOLMS LÄN</t>
        </is>
      </c>
      <c r="E78" t="inlineStr">
        <is>
          <t>HUDDINGE</t>
        </is>
      </c>
      <c r="F78" t="inlineStr">
        <is>
          <t>Kommuner</t>
        </is>
      </c>
      <c r="G78" t="n">
        <v>3</v>
      </c>
      <c r="H78" t="n">
        <v>7</v>
      </c>
      <c r="I78" t="n">
        <v>0</v>
      </c>
      <c r="J78" t="n">
        <v>3</v>
      </c>
      <c r="K78" t="n">
        <v>1</v>
      </c>
      <c r="L78" t="n">
        <v>0</v>
      </c>
      <c r="M78" t="n">
        <v>0</v>
      </c>
      <c r="N78" t="n">
        <v>0</v>
      </c>
      <c r="O78" t="n">
        <v>4</v>
      </c>
      <c r="P78" t="n">
        <v>1</v>
      </c>
      <c r="Q78" t="n">
        <v>7</v>
      </c>
      <c r="R78" s="2" t="inlineStr">
        <is>
          <t>Gråtrut
Mindre hackspett
Rödvingetrast
Talltita
Gråkråka
Kungsfågel
Nattskärra</t>
        </is>
      </c>
      <c r="S78">
        <f>HYPERLINK("https://klasma.github.io/Logging_0126/artfynd/A 9945-2021 artfynd.xlsx", "A 9945-2021")</f>
        <v/>
      </c>
      <c r="T78">
        <f>HYPERLINK("https://klasma.github.io/Logging_0126/kartor/A 9945-2021 karta.png", "A 9945-2021")</f>
        <v/>
      </c>
      <c r="V78">
        <f>HYPERLINK("https://klasma.github.io/Logging_0126/klagomål/A 9945-2021 FSC-klagomål.docx", "A 9945-2021")</f>
        <v/>
      </c>
      <c r="W78">
        <f>HYPERLINK("https://klasma.github.io/Logging_0126/klagomålsmail/A 9945-2021 FSC-klagomål mail.docx", "A 9945-2021")</f>
        <v/>
      </c>
      <c r="X78">
        <f>HYPERLINK("https://klasma.github.io/Logging_0126/tillsyn/A 9945-2021 tillsynsbegäran.docx", "A 9945-2021")</f>
        <v/>
      </c>
      <c r="Y78">
        <f>HYPERLINK("https://klasma.github.io/Logging_0126/tillsynsmail/A 9945-2021 tillsynsbegäran mail.docx", "A 9945-2021")</f>
        <v/>
      </c>
      <c r="Z78">
        <f>HYPERLINK("https://klasma.github.io/Logging_0126/fåglar/A 9945-2021 prioriterade fågelarter.docx", "A 9945-2021")</f>
        <v/>
      </c>
    </row>
    <row r="79" ht="15" customHeight="1">
      <c r="A79" t="inlineStr">
        <is>
          <t>A 36955-2024</t>
        </is>
      </c>
      <c r="B79" s="1" t="n">
        <v>45538</v>
      </c>
      <c r="C79" s="1" t="n">
        <v>46050</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46050</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35012-2024</t>
        </is>
      </c>
      <c r="B81" s="1" t="n">
        <v>45527</v>
      </c>
      <c r="C81" s="1" t="n">
        <v>46050</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31015-2024</t>
        </is>
      </c>
      <c r="B82" s="1" t="n">
        <v>45499</v>
      </c>
      <c r="C82" s="1" t="n">
        <v>46050</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62642-2025</t>
        </is>
      </c>
      <c r="B83" s="1" t="n">
        <v>46008.37217592593</v>
      </c>
      <c r="C83" s="1" t="n">
        <v>46050</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10000-2022</t>
        </is>
      </c>
      <c r="B84" s="1" t="n">
        <v>44621</v>
      </c>
      <c r="C84" s="1" t="n">
        <v>46050</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47346-2021</t>
        </is>
      </c>
      <c r="B85" s="1" t="n">
        <v>44447</v>
      </c>
      <c r="C85" s="1" t="n">
        <v>46050</v>
      </c>
      <c r="D85" t="inlineStr">
        <is>
          <t>STOCKHOLMS LÄN</t>
        </is>
      </c>
      <c r="E85" t="inlineStr">
        <is>
          <t>NORRTÄLJE</t>
        </is>
      </c>
      <c r="G85" t="n">
        <v>5.5</v>
      </c>
      <c r="H85" t="n">
        <v>1</v>
      </c>
      <c r="I85" t="n">
        <v>4</v>
      </c>
      <c r="J85" t="n">
        <v>0</v>
      </c>
      <c r="K85" t="n">
        <v>2</v>
      </c>
      <c r="L85" t="n">
        <v>0</v>
      </c>
      <c r="M85" t="n">
        <v>0</v>
      </c>
      <c r="N85" t="n">
        <v>0</v>
      </c>
      <c r="O85" t="n">
        <v>2</v>
      </c>
      <c r="P85" t="n">
        <v>2</v>
      </c>
      <c r="Q85" t="n">
        <v>7</v>
      </c>
      <c r="R85" s="2" t="inlineStr">
        <is>
          <t>Grangråticka
Violgubbe
Anisspindling
Fjällig taggsvamp s.str.
Skarp dropptaggsvamp
Toppvaxing
Revlummer</t>
        </is>
      </c>
      <c r="S85">
        <f>HYPERLINK("https://klasma.github.io/Logging_0188/artfynd/A 47346-2021 artfynd.xlsx", "A 47346-2021")</f>
        <v/>
      </c>
      <c r="T85">
        <f>HYPERLINK("https://klasma.github.io/Logging_0188/kartor/A 47346-2021 karta.png", "A 47346-2021")</f>
        <v/>
      </c>
      <c r="V85">
        <f>HYPERLINK("https://klasma.github.io/Logging_0188/klagomål/A 47346-2021 FSC-klagomål.docx", "A 47346-2021")</f>
        <v/>
      </c>
      <c r="W85">
        <f>HYPERLINK("https://klasma.github.io/Logging_0188/klagomålsmail/A 47346-2021 FSC-klagomål mail.docx", "A 47346-2021")</f>
        <v/>
      </c>
      <c r="X85">
        <f>HYPERLINK("https://klasma.github.io/Logging_0188/tillsyn/A 47346-2021 tillsynsbegäran.docx", "A 47346-2021")</f>
        <v/>
      </c>
      <c r="Y85">
        <f>HYPERLINK("https://klasma.github.io/Logging_0188/tillsynsmail/A 47346-2021 tillsynsbegäran mail.docx", "A 47346-2021")</f>
        <v/>
      </c>
    </row>
    <row r="86" ht="15" customHeight="1">
      <c r="A86" t="inlineStr">
        <is>
          <t>A 48514-2025</t>
        </is>
      </c>
      <c r="B86" s="1" t="n">
        <v>45936</v>
      </c>
      <c r="C86" s="1" t="n">
        <v>46050</v>
      </c>
      <c r="D86" t="inlineStr">
        <is>
          <t>STOCKHOLMS LÄN</t>
        </is>
      </c>
      <c r="E86" t="inlineStr">
        <is>
          <t>BOTKYRKA</t>
        </is>
      </c>
      <c r="F86" t="inlineStr">
        <is>
          <t>Övriga Aktiebolag</t>
        </is>
      </c>
      <c r="G86" t="n">
        <v>17.1</v>
      </c>
      <c r="H86" t="n">
        <v>1</v>
      </c>
      <c r="I86" t="n">
        <v>2</v>
      </c>
      <c r="J86" t="n">
        <v>4</v>
      </c>
      <c r="K86" t="n">
        <v>1</v>
      </c>
      <c r="L86" t="n">
        <v>0</v>
      </c>
      <c r="M86" t="n">
        <v>0</v>
      </c>
      <c r="N86" t="n">
        <v>0</v>
      </c>
      <c r="O86" t="n">
        <v>5</v>
      </c>
      <c r="P86" t="n">
        <v>1</v>
      </c>
      <c r="Q86" t="n">
        <v>7</v>
      </c>
      <c r="R86" s="2" t="inlineStr">
        <is>
          <t>Lammticka
Motaggsvamp
Svartvit taggsvamp
Tallticka
Talltita
Mindre märgborre
Skarp dropptaggsvamp</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62573-2025</t>
        </is>
      </c>
      <c r="B87" s="1" t="n">
        <v>46007.73069444444</v>
      </c>
      <c r="C87" s="1" t="n">
        <v>46050</v>
      </c>
      <c r="D87" t="inlineStr">
        <is>
          <t>STOCKHOLMS LÄN</t>
        </is>
      </c>
      <c r="E87" t="inlineStr">
        <is>
          <t>ÖSTERÅKER</t>
        </is>
      </c>
      <c r="G87" t="n">
        <v>3.9</v>
      </c>
      <c r="H87" t="n">
        <v>5</v>
      </c>
      <c r="I87" t="n">
        <v>1</v>
      </c>
      <c r="J87" t="n">
        <v>4</v>
      </c>
      <c r="K87" t="n">
        <v>0</v>
      </c>
      <c r="L87" t="n">
        <v>0</v>
      </c>
      <c r="M87" t="n">
        <v>0</v>
      </c>
      <c r="N87" t="n">
        <v>0</v>
      </c>
      <c r="O87" t="n">
        <v>4</v>
      </c>
      <c r="P87" t="n">
        <v>0</v>
      </c>
      <c r="Q87" t="n">
        <v>7</v>
      </c>
      <c r="R87" s="2" t="inlineStr">
        <is>
          <t>Nordfladdermus
Slåtterfibbla
Svartvit flugsnappare
Ärtsångare
Vårärt
Större brunfladdermus
Blåsippa</t>
        </is>
      </c>
      <c r="S87">
        <f>HYPERLINK("https://klasma.github.io/Logging_0117/artfynd/A 62573-2025 artfynd.xlsx", "A 62573-2025")</f>
        <v/>
      </c>
      <c r="T87">
        <f>HYPERLINK("https://klasma.github.io/Logging_0117/kartor/A 62573-2025 karta.png", "A 62573-2025")</f>
        <v/>
      </c>
      <c r="V87">
        <f>HYPERLINK("https://klasma.github.io/Logging_0117/klagomål/A 62573-2025 FSC-klagomål.docx", "A 62573-2025")</f>
        <v/>
      </c>
      <c r="W87">
        <f>HYPERLINK("https://klasma.github.io/Logging_0117/klagomålsmail/A 62573-2025 FSC-klagomål mail.docx", "A 62573-2025")</f>
        <v/>
      </c>
      <c r="X87">
        <f>HYPERLINK("https://klasma.github.io/Logging_0117/tillsyn/A 62573-2025 tillsynsbegäran.docx", "A 62573-2025")</f>
        <v/>
      </c>
      <c r="Y87">
        <f>HYPERLINK("https://klasma.github.io/Logging_0117/tillsynsmail/A 62573-2025 tillsynsbegäran mail.docx", "A 62573-2025")</f>
        <v/>
      </c>
      <c r="Z87">
        <f>HYPERLINK("https://klasma.github.io/Logging_0117/fåglar/A 62573-2025 prioriterade fågelarter.docx", "A 62573-2025")</f>
        <v/>
      </c>
    </row>
    <row r="88" ht="15" customHeight="1">
      <c r="A88" t="inlineStr">
        <is>
          <t>A 13933-2022</t>
        </is>
      </c>
      <c r="B88" s="1" t="n">
        <v>44650</v>
      </c>
      <c r="C88" s="1" t="n">
        <v>46050</v>
      </c>
      <c r="D88" t="inlineStr">
        <is>
          <t>STOCKHOLMS LÄN</t>
        </is>
      </c>
      <c r="E88" t="inlineStr">
        <is>
          <t>NORRTÄLJE</t>
        </is>
      </c>
      <c r="G88" t="n">
        <v>4.4</v>
      </c>
      <c r="H88" t="n">
        <v>3</v>
      </c>
      <c r="I88" t="n">
        <v>5</v>
      </c>
      <c r="J88" t="n">
        <v>1</v>
      </c>
      <c r="K88" t="n">
        <v>0</v>
      </c>
      <c r="L88" t="n">
        <v>0</v>
      </c>
      <c r="M88" t="n">
        <v>0</v>
      </c>
      <c r="N88" t="n">
        <v>0</v>
      </c>
      <c r="O88" t="n">
        <v>1</v>
      </c>
      <c r="P88" t="n">
        <v>0</v>
      </c>
      <c r="Q88" t="n">
        <v>7</v>
      </c>
      <c r="R88" s="2" t="inlineStr">
        <is>
          <t>Ullticka
Grön sköldmossa
Nästrot
Skogshakmossa
Tibast
Ögonpyrola
Blåsippa</t>
        </is>
      </c>
      <c r="S88">
        <f>HYPERLINK("https://klasma.github.io/Logging_0188/artfynd/A 13933-2022 artfynd.xlsx", "A 13933-2022")</f>
        <v/>
      </c>
      <c r="T88">
        <f>HYPERLINK("https://klasma.github.io/Logging_0188/kartor/A 13933-2022 karta.png", "A 13933-2022")</f>
        <v/>
      </c>
      <c r="V88">
        <f>HYPERLINK("https://klasma.github.io/Logging_0188/klagomål/A 13933-2022 FSC-klagomål.docx", "A 13933-2022")</f>
        <v/>
      </c>
      <c r="W88">
        <f>HYPERLINK("https://klasma.github.io/Logging_0188/klagomålsmail/A 13933-2022 FSC-klagomål mail.docx", "A 13933-2022")</f>
        <v/>
      </c>
      <c r="X88">
        <f>HYPERLINK("https://klasma.github.io/Logging_0188/tillsyn/A 13933-2022 tillsynsbegäran.docx", "A 13933-2022")</f>
        <v/>
      </c>
      <c r="Y88">
        <f>HYPERLINK("https://klasma.github.io/Logging_0188/tillsynsmail/A 13933-2022 tillsynsbegäran mail.docx", "A 13933-2022")</f>
        <v/>
      </c>
    </row>
    <row r="89" ht="15" customHeight="1">
      <c r="A89" t="inlineStr">
        <is>
          <t>A 12772-2021</t>
        </is>
      </c>
      <c r="B89" s="1" t="n">
        <v>44270</v>
      </c>
      <c r="C89" s="1" t="n">
        <v>46050</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46050</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46050</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11405-2024</t>
        </is>
      </c>
      <c r="B92" s="1" t="n">
        <v>45372</v>
      </c>
      <c r="C92" s="1" t="n">
        <v>46050</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39620-2023</t>
        </is>
      </c>
      <c r="B93" s="1" t="n">
        <v>45163</v>
      </c>
      <c r="C93" s="1" t="n">
        <v>46050</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52616-2021</t>
        </is>
      </c>
      <c r="B94" s="1" t="n">
        <v>44463</v>
      </c>
      <c r="C94" s="1" t="n">
        <v>46050</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47697-2023</t>
        </is>
      </c>
      <c r="B95" s="1" t="n">
        <v>45198</v>
      </c>
      <c r="C95" s="1" t="n">
        <v>46050</v>
      </c>
      <c r="D95" t="inlineStr">
        <is>
          <t>STOCKHOLMS LÄN</t>
        </is>
      </c>
      <c r="E95" t="inlineStr">
        <is>
          <t>SÖDERTÄLJE</t>
        </is>
      </c>
      <c r="G95" t="n">
        <v>2.1</v>
      </c>
      <c r="H95" t="n">
        <v>2</v>
      </c>
      <c r="I95" t="n">
        <v>2</v>
      </c>
      <c r="J95" t="n">
        <v>2</v>
      </c>
      <c r="K95" t="n">
        <v>0</v>
      </c>
      <c r="L95" t="n">
        <v>0</v>
      </c>
      <c r="M95" t="n">
        <v>0</v>
      </c>
      <c r="N95" t="n">
        <v>0</v>
      </c>
      <c r="O95" t="n">
        <v>2</v>
      </c>
      <c r="P95" t="n">
        <v>0</v>
      </c>
      <c r="Q95" t="n">
        <v>6</v>
      </c>
      <c r="R95" s="2" t="inlineStr">
        <is>
          <t>Garnlav
Motaggsvamp
Fjällig taggsvamp s.str.
Rödgul trumpetsvamp
Tjäder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c r="Z95">
        <f>HYPERLINK("https://klasma.github.io/Logging_0181/fåglar/A 47697-2023 prioriterade fågelarter.docx", "A 47697-2023")</f>
        <v/>
      </c>
    </row>
    <row r="96" ht="15" customHeight="1">
      <c r="A96" t="inlineStr">
        <is>
          <t>A 34528-2025</t>
        </is>
      </c>
      <c r="B96" s="1" t="n">
        <v>45847.48436342592</v>
      </c>
      <c r="C96" s="1" t="n">
        <v>46050</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39613-2023</t>
        </is>
      </c>
      <c r="B97" s="1" t="n">
        <v>45163</v>
      </c>
      <c r="C97" s="1" t="n">
        <v>46050</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57411-2025</t>
        </is>
      </c>
      <c r="B98" s="1" t="n">
        <v>45980.4487037037</v>
      </c>
      <c r="C98" s="1" t="n">
        <v>46050</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52616-2021</t>
        </is>
      </c>
      <c r="B99" s="1" t="n">
        <v>44463</v>
      </c>
      <c r="C99" s="1" t="n">
        <v>46050</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36244-2024</t>
        </is>
      </c>
      <c r="B100" s="1" t="n">
        <v>45534</v>
      </c>
      <c r="C100" s="1" t="n">
        <v>46050</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60057-2023</t>
        </is>
      </c>
      <c r="B101" s="1" t="n">
        <v>45257</v>
      </c>
      <c r="C101" s="1" t="n">
        <v>46050</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60416-2025</t>
        </is>
      </c>
      <c r="B102" s="1" t="n">
        <v>45995.45151620371</v>
      </c>
      <c r="C102" s="1" t="n">
        <v>46050</v>
      </c>
      <c r="D102" t="inlineStr">
        <is>
          <t>STOCKHOLMS LÄN</t>
        </is>
      </c>
      <c r="E102" t="inlineStr">
        <is>
          <t>BOTKYRKA</t>
        </is>
      </c>
      <c r="F102" t="inlineStr">
        <is>
          <t>Övriga Aktiebolag</t>
        </is>
      </c>
      <c r="G102" t="n">
        <v>1.9</v>
      </c>
      <c r="H102" t="n">
        <v>4</v>
      </c>
      <c r="I102" t="n">
        <v>0</v>
      </c>
      <c r="J102" t="n">
        <v>5</v>
      </c>
      <c r="K102" t="n">
        <v>0</v>
      </c>
      <c r="L102" t="n">
        <v>0</v>
      </c>
      <c r="M102" t="n">
        <v>0</v>
      </c>
      <c r="N102" t="n">
        <v>0</v>
      </c>
      <c r="O102" t="n">
        <v>5</v>
      </c>
      <c r="P102" t="n">
        <v>0</v>
      </c>
      <c r="Q102" t="n">
        <v>6</v>
      </c>
      <c r="R102" s="2" t="inlineStr">
        <is>
          <t>Entita
Grön aspvedbock
Spillkråka
Tallticka
Talltita
Gröngöling</t>
        </is>
      </c>
      <c r="S102">
        <f>HYPERLINK("https://klasma.github.io/Logging_0127/artfynd/A 60416-2025 artfynd.xlsx", "A 60416-2025")</f>
        <v/>
      </c>
      <c r="T102">
        <f>HYPERLINK("https://klasma.github.io/Logging_0127/kartor/A 60416-2025 karta.png", "A 60416-2025")</f>
        <v/>
      </c>
      <c r="V102">
        <f>HYPERLINK("https://klasma.github.io/Logging_0127/klagomål/A 60416-2025 FSC-klagomål.docx", "A 60416-2025")</f>
        <v/>
      </c>
      <c r="W102">
        <f>HYPERLINK("https://klasma.github.io/Logging_0127/klagomålsmail/A 60416-2025 FSC-klagomål mail.docx", "A 60416-2025")</f>
        <v/>
      </c>
      <c r="X102">
        <f>HYPERLINK("https://klasma.github.io/Logging_0127/tillsyn/A 60416-2025 tillsynsbegäran.docx", "A 60416-2025")</f>
        <v/>
      </c>
      <c r="Y102">
        <f>HYPERLINK("https://klasma.github.io/Logging_0127/tillsynsmail/A 60416-2025 tillsynsbegäran mail.docx", "A 60416-2025")</f>
        <v/>
      </c>
      <c r="Z102">
        <f>HYPERLINK("https://klasma.github.io/Logging_0127/fåglar/A 60416-2025 prioriterade fågelarter.docx", "A 60416-2025")</f>
        <v/>
      </c>
    </row>
    <row r="103" ht="15" customHeight="1">
      <c r="A103" t="inlineStr">
        <is>
          <t>A 24599-2022</t>
        </is>
      </c>
      <c r="B103" s="1" t="n">
        <v>44727</v>
      </c>
      <c r="C103" s="1" t="n">
        <v>46050</v>
      </c>
      <c r="D103" t="inlineStr">
        <is>
          <t>STOCKHOLMS LÄN</t>
        </is>
      </c>
      <c r="E103" t="inlineStr">
        <is>
          <t>BOTKYRKA</t>
        </is>
      </c>
      <c r="G103" t="n">
        <v>1.5</v>
      </c>
      <c r="H103" t="n">
        <v>2</v>
      </c>
      <c r="I103" t="n">
        <v>2</v>
      </c>
      <c r="J103" t="n">
        <v>2</v>
      </c>
      <c r="K103" t="n">
        <v>0</v>
      </c>
      <c r="L103" t="n">
        <v>0</v>
      </c>
      <c r="M103" t="n">
        <v>0</v>
      </c>
      <c r="N103" t="n">
        <v>0</v>
      </c>
      <c r="O103" t="n">
        <v>2</v>
      </c>
      <c r="P103" t="n">
        <v>0</v>
      </c>
      <c r="Q103" t="n">
        <v>6</v>
      </c>
      <c r="R103" s="2" t="inlineStr">
        <is>
          <t>Almsnabbvinge
Svartpälsbi
Igelkottsröksvamp
Sotriska
Vanlig groda
Mattlummer</t>
        </is>
      </c>
      <c r="S103">
        <f>HYPERLINK("https://klasma.github.io/Logging_0127/artfynd/A 24599-2022 artfynd.xlsx", "A 24599-2022")</f>
        <v/>
      </c>
      <c r="T103">
        <f>HYPERLINK("https://klasma.github.io/Logging_0127/kartor/A 24599-2022 karta.png", "A 24599-2022")</f>
        <v/>
      </c>
      <c r="V103">
        <f>HYPERLINK("https://klasma.github.io/Logging_0127/klagomål/A 24599-2022 FSC-klagomål.docx", "A 24599-2022")</f>
        <v/>
      </c>
      <c r="W103">
        <f>HYPERLINK("https://klasma.github.io/Logging_0127/klagomålsmail/A 24599-2022 FSC-klagomål mail.docx", "A 24599-2022")</f>
        <v/>
      </c>
      <c r="X103">
        <f>HYPERLINK("https://klasma.github.io/Logging_0127/tillsyn/A 24599-2022 tillsynsbegäran.docx", "A 24599-2022")</f>
        <v/>
      </c>
      <c r="Y103">
        <f>HYPERLINK("https://klasma.github.io/Logging_0127/tillsynsmail/A 24599-2022 tillsynsbegäran mail.docx", "A 24599-2022")</f>
        <v/>
      </c>
    </row>
    <row r="104" ht="15" customHeight="1">
      <c r="A104" t="inlineStr">
        <is>
          <t>A 97-2024</t>
        </is>
      </c>
      <c r="B104" s="1" t="n">
        <v>45293</v>
      </c>
      <c r="C104" s="1" t="n">
        <v>46050</v>
      </c>
      <c r="D104" t="inlineStr">
        <is>
          <t>STOCKHOLMS LÄN</t>
        </is>
      </c>
      <c r="E104" t="inlineStr">
        <is>
          <t>SÖDERTÄLJE</t>
        </is>
      </c>
      <c r="G104" t="n">
        <v>2.3</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Vattenfladdermus</t>
        </is>
      </c>
      <c r="S104">
        <f>HYPERLINK("https://klasma.github.io/Logging_0181/artfynd/A 97-2024 artfynd.xlsx", "A 97-2024")</f>
        <v/>
      </c>
      <c r="T104">
        <f>HYPERLINK("https://klasma.github.io/Logging_0181/kartor/A 97-2024 karta.png", "A 97-2024")</f>
        <v/>
      </c>
      <c r="V104">
        <f>HYPERLINK("https://klasma.github.io/Logging_0181/klagomål/A 97-2024 FSC-klagomål.docx", "A 97-2024")</f>
        <v/>
      </c>
      <c r="W104">
        <f>HYPERLINK("https://klasma.github.io/Logging_0181/klagomålsmail/A 97-2024 FSC-klagomål mail.docx", "A 97-2024")</f>
        <v/>
      </c>
      <c r="X104">
        <f>HYPERLINK("https://klasma.github.io/Logging_0181/tillsyn/A 97-2024 tillsynsbegäran.docx", "A 97-2024")</f>
        <v/>
      </c>
      <c r="Y104">
        <f>HYPERLINK("https://klasma.github.io/Logging_0181/tillsynsmail/A 97-2024 tillsynsbegäran mail.docx", "A 97-2024")</f>
        <v/>
      </c>
    </row>
    <row r="105" ht="15" customHeight="1">
      <c r="A105" t="inlineStr">
        <is>
          <t>A 51848-2024</t>
        </is>
      </c>
      <c r="B105" s="1" t="n">
        <v>45607</v>
      </c>
      <c r="C105" s="1" t="n">
        <v>46050</v>
      </c>
      <c r="D105" t="inlineStr">
        <is>
          <t>STOCKHOLMS LÄN</t>
        </is>
      </c>
      <c r="E105" t="inlineStr">
        <is>
          <t>SIGTUNA</t>
        </is>
      </c>
      <c r="G105" t="n">
        <v>0.2</v>
      </c>
      <c r="H105" t="n">
        <v>3</v>
      </c>
      <c r="I105" t="n">
        <v>2</v>
      </c>
      <c r="J105" t="n">
        <v>1</v>
      </c>
      <c r="K105" t="n">
        <v>1</v>
      </c>
      <c r="L105" t="n">
        <v>1</v>
      </c>
      <c r="M105" t="n">
        <v>0</v>
      </c>
      <c r="N105" t="n">
        <v>0</v>
      </c>
      <c r="O105" t="n">
        <v>3</v>
      </c>
      <c r="P105" t="n">
        <v>2</v>
      </c>
      <c r="Q105" t="n">
        <v>6</v>
      </c>
      <c r="R105" s="2" t="inlineStr">
        <is>
          <t>Ask
Stare
Svartvit flugsnappare
Barkticka
Myskmadra
Gullviva</t>
        </is>
      </c>
      <c r="S105">
        <f>HYPERLINK("https://klasma.github.io/Logging_0191/artfynd/A 51848-2024 artfynd.xlsx", "A 51848-2024")</f>
        <v/>
      </c>
      <c r="T105">
        <f>HYPERLINK("https://klasma.github.io/Logging_0191/kartor/A 51848-2024 karta.png", "A 51848-2024")</f>
        <v/>
      </c>
      <c r="V105">
        <f>HYPERLINK("https://klasma.github.io/Logging_0191/klagomål/A 51848-2024 FSC-klagomål.docx", "A 51848-2024")</f>
        <v/>
      </c>
      <c r="W105">
        <f>HYPERLINK("https://klasma.github.io/Logging_0191/klagomålsmail/A 51848-2024 FSC-klagomål mail.docx", "A 51848-2024")</f>
        <v/>
      </c>
      <c r="X105">
        <f>HYPERLINK("https://klasma.github.io/Logging_0191/tillsyn/A 51848-2024 tillsynsbegäran.docx", "A 51848-2024")</f>
        <v/>
      </c>
      <c r="Y105">
        <f>HYPERLINK("https://klasma.github.io/Logging_0191/tillsynsmail/A 51848-2024 tillsynsbegäran mail.docx", "A 51848-2024")</f>
        <v/>
      </c>
      <c r="Z105">
        <f>HYPERLINK("https://klasma.github.io/Logging_0191/fåglar/A 51848-2024 prioriterade fågelarter.docx", "A 51848-2024")</f>
        <v/>
      </c>
    </row>
    <row r="106" ht="15" customHeight="1">
      <c r="A106" t="inlineStr">
        <is>
          <t>A 1054-2022</t>
        </is>
      </c>
      <c r="B106" s="1" t="n">
        <v>44571</v>
      </c>
      <c r="C106" s="1" t="n">
        <v>46050</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46050</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30687-2025</t>
        </is>
      </c>
      <c r="B108" s="1" t="n">
        <v>45831.53390046296</v>
      </c>
      <c r="C108" s="1" t="n">
        <v>46050</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46050</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46050</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3444-2023</t>
        </is>
      </c>
      <c r="B111" s="1" t="n">
        <v>44949</v>
      </c>
      <c r="C111" s="1" t="n">
        <v>46050</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34573-2025</t>
        </is>
      </c>
      <c r="B112" s="1" t="n">
        <v>45846</v>
      </c>
      <c r="C112" s="1" t="n">
        <v>46050</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45595-2025</t>
        </is>
      </c>
      <c r="B113" s="1" t="n">
        <v>45922</v>
      </c>
      <c r="C113" s="1" t="n">
        <v>46050</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72111-2021</t>
        </is>
      </c>
      <c r="B114" s="1" t="n">
        <v>44544</v>
      </c>
      <c r="C114" s="1" t="n">
        <v>46050</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36854-2025</t>
        </is>
      </c>
      <c r="B115" s="1" t="n">
        <v>45874.40010416666</v>
      </c>
      <c r="C115" s="1" t="n">
        <v>46050</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15804-2025</t>
        </is>
      </c>
      <c r="B116" s="1" t="n">
        <v>45748.6521875</v>
      </c>
      <c r="C116" s="1" t="n">
        <v>46050</v>
      </c>
      <c r="D116" t="inlineStr">
        <is>
          <t>STOCKHOLMS LÄN</t>
        </is>
      </c>
      <c r="E116" t="inlineStr">
        <is>
          <t>NORRTÄLJE</t>
        </is>
      </c>
      <c r="F116" t="inlineStr">
        <is>
          <t>Holmen skog AB</t>
        </is>
      </c>
      <c r="G116" t="n">
        <v>1.7</v>
      </c>
      <c r="H116" t="n">
        <v>1</v>
      </c>
      <c r="I116" t="n">
        <v>1</v>
      </c>
      <c r="J116" t="n">
        <v>3</v>
      </c>
      <c r="K116" t="n">
        <v>0</v>
      </c>
      <c r="L116" t="n">
        <v>1</v>
      </c>
      <c r="M116" t="n">
        <v>0</v>
      </c>
      <c r="N116" t="n">
        <v>0</v>
      </c>
      <c r="O116" t="n">
        <v>4</v>
      </c>
      <c r="P116" t="n">
        <v>1</v>
      </c>
      <c r="Q116" t="n">
        <v>5</v>
      </c>
      <c r="R116" s="2" t="inlineStr">
        <is>
          <t>Asknätfjäril
Gullklöver
Skogsklocka
Slåtterfibbla
Spetsvaxing</t>
        </is>
      </c>
      <c r="S116">
        <f>HYPERLINK("https://klasma.github.io/Logging_0188/artfynd/A 15804-2025 artfynd.xlsx", "A 15804-2025")</f>
        <v/>
      </c>
      <c r="T116">
        <f>HYPERLINK("https://klasma.github.io/Logging_0188/kartor/A 15804-2025 karta.png", "A 15804-2025")</f>
        <v/>
      </c>
      <c r="V116">
        <f>HYPERLINK("https://klasma.github.io/Logging_0188/klagomål/A 15804-2025 FSC-klagomål.docx", "A 15804-2025")</f>
        <v/>
      </c>
      <c r="W116">
        <f>HYPERLINK("https://klasma.github.io/Logging_0188/klagomålsmail/A 15804-2025 FSC-klagomål mail.docx", "A 15804-2025")</f>
        <v/>
      </c>
      <c r="X116">
        <f>HYPERLINK("https://klasma.github.io/Logging_0188/tillsyn/A 15804-2025 tillsynsbegäran.docx", "A 15804-2025")</f>
        <v/>
      </c>
      <c r="Y116">
        <f>HYPERLINK("https://klasma.github.io/Logging_0188/tillsynsmail/A 15804-2025 tillsynsbegäran mail.docx", "A 15804-2025")</f>
        <v/>
      </c>
    </row>
    <row r="117" ht="15" customHeight="1">
      <c r="A117" t="inlineStr">
        <is>
          <t>A 56791-2025</t>
        </is>
      </c>
      <c r="B117" s="1" t="n">
        <v>45978</v>
      </c>
      <c r="C117" s="1" t="n">
        <v>46050</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2680-2026</t>
        </is>
      </c>
      <c r="B118" s="1" t="n">
        <v>46037.65403935185</v>
      </c>
      <c r="C118" s="1" t="n">
        <v>46050</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3294-2026</t>
        </is>
      </c>
      <c r="B119" s="1" t="n">
        <v>46041</v>
      </c>
      <c r="C119" s="1" t="n">
        <v>46050</v>
      </c>
      <c r="D119" t="inlineStr">
        <is>
          <t>STOCKHOLMS LÄN</t>
        </is>
      </c>
      <c r="E119" t="inlineStr">
        <is>
          <t>NYKVARN</t>
        </is>
      </c>
      <c r="G119" t="n">
        <v>6.2</v>
      </c>
      <c r="H119" t="n">
        <v>1</v>
      </c>
      <c r="I119" t="n">
        <v>1</v>
      </c>
      <c r="J119" t="n">
        <v>4</v>
      </c>
      <c r="K119" t="n">
        <v>0</v>
      </c>
      <c r="L119" t="n">
        <v>0</v>
      </c>
      <c r="M119" t="n">
        <v>0</v>
      </c>
      <c r="N119" t="n">
        <v>0</v>
      </c>
      <c r="O119" t="n">
        <v>4</v>
      </c>
      <c r="P119" t="n">
        <v>0</v>
      </c>
      <c r="Q119" t="n">
        <v>5</v>
      </c>
      <c r="R119" s="2" t="inlineStr">
        <is>
          <t>Motaggsvamp
Spillkråka
Tallticka
Vedskivlav
Dropptaggsvamp</t>
        </is>
      </c>
      <c r="S119">
        <f>HYPERLINK("https://klasma.github.io/Logging_0140/artfynd/A 3294-2026 artfynd.xlsx", "A 3294-2026")</f>
        <v/>
      </c>
      <c r="T119">
        <f>HYPERLINK("https://klasma.github.io/Logging_0140/kartor/A 3294-2026 karta.png", "A 3294-2026")</f>
        <v/>
      </c>
      <c r="V119">
        <f>HYPERLINK("https://klasma.github.io/Logging_0140/klagomål/A 3294-2026 FSC-klagomål.docx", "A 3294-2026")</f>
        <v/>
      </c>
      <c r="W119">
        <f>HYPERLINK("https://klasma.github.io/Logging_0140/klagomålsmail/A 3294-2026 FSC-klagomål mail.docx", "A 3294-2026")</f>
        <v/>
      </c>
      <c r="X119">
        <f>HYPERLINK("https://klasma.github.io/Logging_0140/tillsyn/A 3294-2026 tillsynsbegäran.docx", "A 3294-2026")</f>
        <v/>
      </c>
      <c r="Y119">
        <f>HYPERLINK("https://klasma.github.io/Logging_0140/tillsynsmail/A 3294-2026 tillsynsbegäran mail.docx", "A 3294-2026")</f>
        <v/>
      </c>
      <c r="Z119">
        <f>HYPERLINK("https://klasma.github.io/Logging_0140/fåglar/A 3294-2026 prioriterade fågelarter.docx", "A 3294-2026")</f>
        <v/>
      </c>
    </row>
    <row r="120" ht="15" customHeight="1">
      <c r="A120" t="inlineStr">
        <is>
          <t>A 52259-2024</t>
        </is>
      </c>
      <c r="B120" s="1" t="n">
        <v>45608.6471875</v>
      </c>
      <c r="C120" s="1" t="n">
        <v>46050</v>
      </c>
      <c r="D120" t="inlineStr">
        <is>
          <t>STOCKHOLMS LÄN</t>
        </is>
      </c>
      <c r="E120" t="inlineStr">
        <is>
          <t>HUDDINGE</t>
        </is>
      </c>
      <c r="F120" t="inlineStr">
        <is>
          <t>Kommuner</t>
        </is>
      </c>
      <c r="G120" t="n">
        <v>11.8</v>
      </c>
      <c r="H120" t="n">
        <v>5</v>
      </c>
      <c r="I120" t="n">
        <v>0</v>
      </c>
      <c r="J120" t="n">
        <v>2</v>
      </c>
      <c r="K120" t="n">
        <v>0</v>
      </c>
      <c r="L120" t="n">
        <v>0</v>
      </c>
      <c r="M120" t="n">
        <v>0</v>
      </c>
      <c r="N120" t="n">
        <v>0</v>
      </c>
      <c r="O120" t="n">
        <v>2</v>
      </c>
      <c r="P120" t="n">
        <v>0</v>
      </c>
      <c r="Q120" t="n">
        <v>5</v>
      </c>
      <c r="R120" s="2" t="inlineStr">
        <is>
          <t>Gulsparv
Svartvit flugsnappare
Dvärgpipistrell
Grönsiska
Större brunfladdermus</t>
        </is>
      </c>
      <c r="S120">
        <f>HYPERLINK("https://klasma.github.io/Logging_0126/artfynd/A 52259-2024 artfynd.xlsx", "A 52259-2024")</f>
        <v/>
      </c>
      <c r="T120">
        <f>HYPERLINK("https://klasma.github.io/Logging_0126/kartor/A 52259-2024 karta.png", "A 52259-2024")</f>
        <v/>
      </c>
      <c r="V120">
        <f>HYPERLINK("https://klasma.github.io/Logging_0126/klagomål/A 52259-2024 FSC-klagomål.docx", "A 52259-2024")</f>
        <v/>
      </c>
      <c r="W120">
        <f>HYPERLINK("https://klasma.github.io/Logging_0126/klagomålsmail/A 52259-2024 FSC-klagomål mail.docx", "A 52259-2024")</f>
        <v/>
      </c>
      <c r="X120">
        <f>HYPERLINK("https://klasma.github.io/Logging_0126/tillsyn/A 52259-2024 tillsynsbegäran.docx", "A 52259-2024")</f>
        <v/>
      </c>
      <c r="Y120">
        <f>HYPERLINK("https://klasma.github.io/Logging_0126/tillsynsmail/A 52259-2024 tillsynsbegäran mail.docx", "A 52259-2024")</f>
        <v/>
      </c>
      <c r="Z120">
        <f>HYPERLINK("https://klasma.github.io/Logging_0126/fåglar/A 52259-2024 prioriterade fågelarter.docx", "A 52259-2024")</f>
        <v/>
      </c>
    </row>
    <row r="121" ht="15" customHeight="1">
      <c r="A121" t="inlineStr">
        <is>
          <t>A 21922-2023</t>
        </is>
      </c>
      <c r="B121" s="1" t="n">
        <v>45068</v>
      </c>
      <c r="C121" s="1" t="n">
        <v>46050</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52884-2022</t>
        </is>
      </c>
      <c r="B122" s="1" t="n">
        <v>44872</v>
      </c>
      <c r="C122" s="1" t="n">
        <v>46050</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46050</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73783-2021</t>
        </is>
      </c>
      <c r="B124" s="1" t="n">
        <v>44552</v>
      </c>
      <c r="C124" s="1" t="n">
        <v>46050</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25687-2025</t>
        </is>
      </c>
      <c r="B125" s="1" t="n">
        <v>45800</v>
      </c>
      <c r="C125" s="1" t="n">
        <v>46050</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8500-2022</t>
        </is>
      </c>
      <c r="B126" s="1" t="n">
        <v>44613</v>
      </c>
      <c r="C126" s="1" t="n">
        <v>46050</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41276-2025</t>
        </is>
      </c>
      <c r="B127" s="1" t="n">
        <v>45898.62723379629</v>
      </c>
      <c r="C127" s="1" t="n">
        <v>46050</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10876-2025</t>
        </is>
      </c>
      <c r="B128" s="1" t="n">
        <v>45722</v>
      </c>
      <c r="C128" s="1" t="n">
        <v>46050</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72305-2021</t>
        </is>
      </c>
      <c r="B129" s="1" t="n">
        <v>44545</v>
      </c>
      <c r="C129" s="1" t="n">
        <v>46050</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34521-2025</t>
        </is>
      </c>
      <c r="B130" s="1" t="n">
        <v>45847.47052083333</v>
      </c>
      <c r="C130" s="1" t="n">
        <v>46050</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47212-2025</t>
        </is>
      </c>
      <c r="B131" s="1" t="n">
        <v>45930</v>
      </c>
      <c r="C131" s="1" t="n">
        <v>46050</v>
      </c>
      <c r="D131" t="inlineStr">
        <is>
          <t>STOCKHOLMS LÄN</t>
        </is>
      </c>
      <c r="E131" t="inlineStr">
        <is>
          <t>NORRTÄLJE</t>
        </is>
      </c>
      <c r="G131" t="n">
        <v>5.5</v>
      </c>
      <c r="H131" t="n">
        <v>2</v>
      </c>
      <c r="I131" t="n">
        <v>2</v>
      </c>
      <c r="J131" t="n">
        <v>0</v>
      </c>
      <c r="K131" t="n">
        <v>0</v>
      </c>
      <c r="L131" t="n">
        <v>0</v>
      </c>
      <c r="M131" t="n">
        <v>0</v>
      </c>
      <c r="N131" t="n">
        <v>0</v>
      </c>
      <c r="O131" t="n">
        <v>0</v>
      </c>
      <c r="P131" t="n">
        <v>0</v>
      </c>
      <c r="Q131" t="n">
        <v>4</v>
      </c>
      <c r="R131" s="2" t="inlineStr">
        <is>
          <t>Grönpyrola
Skarp dropptaggsvamp
Kungsfågel
Blåsippa</t>
        </is>
      </c>
      <c r="S131">
        <f>HYPERLINK("https://klasma.github.io/Logging_0188/artfynd/A 47212-2025 artfynd.xlsx", "A 47212-2025")</f>
        <v/>
      </c>
      <c r="T131">
        <f>HYPERLINK("https://klasma.github.io/Logging_0188/kartor/A 47212-2025 karta.png", "A 47212-2025")</f>
        <v/>
      </c>
      <c r="V131">
        <f>HYPERLINK("https://klasma.github.io/Logging_0188/klagomål/A 47212-2025 FSC-klagomål.docx", "A 47212-2025")</f>
        <v/>
      </c>
      <c r="W131">
        <f>HYPERLINK("https://klasma.github.io/Logging_0188/klagomålsmail/A 47212-2025 FSC-klagomål mail.docx", "A 47212-2025")</f>
        <v/>
      </c>
      <c r="X131">
        <f>HYPERLINK("https://klasma.github.io/Logging_0188/tillsyn/A 47212-2025 tillsynsbegäran.docx", "A 47212-2025")</f>
        <v/>
      </c>
      <c r="Y131">
        <f>HYPERLINK("https://klasma.github.io/Logging_0188/tillsynsmail/A 47212-2025 tillsynsbegäran mail.docx", "A 47212-2025")</f>
        <v/>
      </c>
      <c r="Z131">
        <f>HYPERLINK("https://klasma.github.io/Logging_0188/fåglar/A 47212-2025 prioriterade fågelarter.docx", "A 47212-2025")</f>
        <v/>
      </c>
    </row>
    <row r="132" ht="15" customHeight="1">
      <c r="A132" t="inlineStr">
        <is>
          <t>A 18280-2021</t>
        </is>
      </c>
      <c r="B132" s="1" t="n">
        <v>44298</v>
      </c>
      <c r="C132" s="1" t="n">
        <v>46050</v>
      </c>
      <c r="D132" t="inlineStr">
        <is>
          <t>STOCKHOLMS LÄN</t>
        </is>
      </c>
      <c r="E132" t="inlineStr">
        <is>
          <t>NACKA</t>
        </is>
      </c>
      <c r="G132" t="n">
        <v>4.4</v>
      </c>
      <c r="H132" t="n">
        <v>2</v>
      </c>
      <c r="I132" t="n">
        <v>1</v>
      </c>
      <c r="J132" t="n">
        <v>2</v>
      </c>
      <c r="K132" t="n">
        <v>0</v>
      </c>
      <c r="L132" t="n">
        <v>0</v>
      </c>
      <c r="M132" t="n">
        <v>0</v>
      </c>
      <c r="N132" t="n">
        <v>0</v>
      </c>
      <c r="O132" t="n">
        <v>2</v>
      </c>
      <c r="P132" t="n">
        <v>0</v>
      </c>
      <c r="Q132" t="n">
        <v>4</v>
      </c>
      <c r="R132" s="2" t="inlineStr">
        <is>
          <t>Druvfingersvamp
Duvhök
Granbarkgnagare
Kungsfågel</t>
        </is>
      </c>
      <c r="S132">
        <f>HYPERLINK("https://klasma.github.io/Logging_0182/artfynd/A 18280-2021 artfynd.xlsx", "A 18280-2021")</f>
        <v/>
      </c>
      <c r="T132">
        <f>HYPERLINK("https://klasma.github.io/Logging_0182/kartor/A 18280-2021 karta.png", "A 18280-2021")</f>
        <v/>
      </c>
      <c r="V132">
        <f>HYPERLINK("https://klasma.github.io/Logging_0182/klagomål/A 18280-2021 FSC-klagomål.docx", "A 18280-2021")</f>
        <v/>
      </c>
      <c r="W132">
        <f>HYPERLINK("https://klasma.github.io/Logging_0182/klagomålsmail/A 18280-2021 FSC-klagomål mail.docx", "A 18280-2021")</f>
        <v/>
      </c>
      <c r="X132">
        <f>HYPERLINK("https://klasma.github.io/Logging_0182/tillsyn/A 18280-2021 tillsynsbegäran.docx", "A 18280-2021")</f>
        <v/>
      </c>
      <c r="Y132">
        <f>HYPERLINK("https://klasma.github.io/Logging_0182/tillsynsmail/A 18280-2021 tillsynsbegäran mail.docx", "A 18280-2021")</f>
        <v/>
      </c>
      <c r="Z132">
        <f>HYPERLINK("https://klasma.github.io/Logging_0182/fåglar/A 18280-2021 prioriterade fågelarter.docx", "A 18280-2021")</f>
        <v/>
      </c>
    </row>
    <row r="133" ht="15" customHeight="1">
      <c r="A133" t="inlineStr">
        <is>
          <t>A 14771-2022</t>
        </is>
      </c>
      <c r="B133" s="1" t="n">
        <v>44656</v>
      </c>
      <c r="C133" s="1" t="n">
        <v>46050</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1667-2026</t>
        </is>
      </c>
      <c r="B134" s="1" t="n">
        <v>46034</v>
      </c>
      <c r="C134" s="1" t="n">
        <v>46050</v>
      </c>
      <c r="D134" t="inlineStr">
        <is>
          <t>STOCKHOLMS LÄN</t>
        </is>
      </c>
      <c r="E134" t="inlineStr">
        <is>
          <t>VÄRMDÖ</t>
        </is>
      </c>
      <c r="G134" t="n">
        <v>2.2</v>
      </c>
      <c r="H134" t="n">
        <v>0</v>
      </c>
      <c r="I134" t="n">
        <v>2</v>
      </c>
      <c r="J134" t="n">
        <v>2</v>
      </c>
      <c r="K134" t="n">
        <v>0</v>
      </c>
      <c r="L134" t="n">
        <v>0</v>
      </c>
      <c r="M134" t="n">
        <v>0</v>
      </c>
      <c r="N134" t="n">
        <v>0</v>
      </c>
      <c r="O134" t="n">
        <v>2</v>
      </c>
      <c r="P134" t="n">
        <v>0</v>
      </c>
      <c r="Q134" t="n">
        <v>4</v>
      </c>
      <c r="R134" s="2" t="inlineStr">
        <is>
          <t>Reliktbock
Tallticka
Bronshjon
Grovticka</t>
        </is>
      </c>
      <c r="S134">
        <f>HYPERLINK("https://klasma.github.io/Logging_0120/artfynd/A 1667-2026 artfynd.xlsx", "A 1667-2026")</f>
        <v/>
      </c>
      <c r="T134">
        <f>HYPERLINK("https://klasma.github.io/Logging_0120/kartor/A 1667-2026 karta.png", "A 1667-2026")</f>
        <v/>
      </c>
      <c r="V134">
        <f>HYPERLINK("https://klasma.github.io/Logging_0120/klagomål/A 1667-2026 FSC-klagomål.docx", "A 1667-2026")</f>
        <v/>
      </c>
      <c r="W134">
        <f>HYPERLINK("https://klasma.github.io/Logging_0120/klagomålsmail/A 1667-2026 FSC-klagomål mail.docx", "A 1667-2026")</f>
        <v/>
      </c>
      <c r="X134">
        <f>HYPERLINK("https://klasma.github.io/Logging_0120/tillsyn/A 1667-2026 tillsynsbegäran.docx", "A 1667-2026")</f>
        <v/>
      </c>
      <c r="Y134">
        <f>HYPERLINK("https://klasma.github.io/Logging_0120/tillsynsmail/A 1667-2026 tillsynsbegäran mail.docx", "A 1667-2026")</f>
        <v/>
      </c>
    </row>
    <row r="135" ht="15" customHeight="1">
      <c r="A135" t="inlineStr">
        <is>
          <t>A 4384-2022</t>
        </is>
      </c>
      <c r="B135" s="1" t="n">
        <v>44589</v>
      </c>
      <c r="C135" s="1" t="n">
        <v>46050</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61763-2025</t>
        </is>
      </c>
      <c r="B136" s="1" t="n">
        <v>46002.62600694445</v>
      </c>
      <c r="C136" s="1" t="n">
        <v>46050</v>
      </c>
      <c r="D136" t="inlineStr">
        <is>
          <t>STOCKHOLMS LÄN</t>
        </is>
      </c>
      <c r="E136" t="inlineStr">
        <is>
          <t>VALLENTUNA</t>
        </is>
      </c>
      <c r="G136" t="n">
        <v>6.9</v>
      </c>
      <c r="H136" t="n">
        <v>2</v>
      </c>
      <c r="I136" t="n">
        <v>2</v>
      </c>
      <c r="J136" t="n">
        <v>1</v>
      </c>
      <c r="K136" t="n">
        <v>0</v>
      </c>
      <c r="L136" t="n">
        <v>0</v>
      </c>
      <c r="M136" t="n">
        <v>0</v>
      </c>
      <c r="N136" t="n">
        <v>0</v>
      </c>
      <c r="O136" t="n">
        <v>1</v>
      </c>
      <c r="P136" t="n">
        <v>0</v>
      </c>
      <c r="Q136" t="n">
        <v>4</v>
      </c>
      <c r="R136" s="2" t="inlineStr">
        <is>
          <t>Talltita
Björksplintborre
Blomkålssvamp
Kungsfågel</t>
        </is>
      </c>
      <c r="S136">
        <f>HYPERLINK("https://klasma.github.io/Logging_0115/artfynd/A 61763-2025 artfynd.xlsx", "A 61763-2025")</f>
        <v/>
      </c>
      <c r="T136">
        <f>HYPERLINK("https://klasma.github.io/Logging_0115/kartor/A 61763-2025 karta.png", "A 61763-2025")</f>
        <v/>
      </c>
      <c r="V136">
        <f>HYPERLINK("https://klasma.github.io/Logging_0115/klagomål/A 61763-2025 FSC-klagomål.docx", "A 61763-2025")</f>
        <v/>
      </c>
      <c r="W136">
        <f>HYPERLINK("https://klasma.github.io/Logging_0115/klagomålsmail/A 61763-2025 FSC-klagomål mail.docx", "A 61763-2025")</f>
        <v/>
      </c>
      <c r="X136">
        <f>HYPERLINK("https://klasma.github.io/Logging_0115/tillsyn/A 61763-2025 tillsynsbegäran.docx", "A 61763-2025")</f>
        <v/>
      </c>
      <c r="Y136">
        <f>HYPERLINK("https://klasma.github.io/Logging_0115/tillsynsmail/A 61763-2025 tillsynsbegäran mail.docx", "A 61763-2025")</f>
        <v/>
      </c>
      <c r="Z136">
        <f>HYPERLINK("https://klasma.github.io/Logging_0115/fåglar/A 61763-2025 prioriterade fågelarter.docx", "A 61763-2025")</f>
        <v/>
      </c>
    </row>
    <row r="137" ht="15" customHeight="1">
      <c r="A137" t="inlineStr">
        <is>
          <t>A 24052-2021</t>
        </is>
      </c>
      <c r="B137" s="1" t="n">
        <v>44336</v>
      </c>
      <c r="C137" s="1" t="n">
        <v>46050</v>
      </c>
      <c r="D137" t="inlineStr">
        <is>
          <t>STOCKHOLMS LÄN</t>
        </is>
      </c>
      <c r="E137" t="inlineStr">
        <is>
          <t>NORRTÄLJE</t>
        </is>
      </c>
      <c r="G137" t="n">
        <v>8.6</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HYPERLINK("https://klasma.github.io/Logging_0188/artfynd/A 24052-2021 artfynd.xlsx", "A 24052-2021")</f>
        <v/>
      </c>
      <c r="T137">
        <f>HYPERLINK("https://klasma.github.io/Logging_0188/kartor/A 24052-2021 karta.png", "A 24052-2021")</f>
        <v/>
      </c>
      <c r="V137">
        <f>HYPERLINK("https://klasma.github.io/Logging_0188/klagomål/A 24052-2021 FSC-klagomål.docx", "A 24052-2021")</f>
        <v/>
      </c>
      <c r="W137">
        <f>HYPERLINK("https://klasma.github.io/Logging_0188/klagomålsmail/A 24052-2021 FSC-klagomål mail.docx", "A 24052-2021")</f>
        <v/>
      </c>
      <c r="X137">
        <f>HYPERLINK("https://klasma.github.io/Logging_0188/tillsyn/A 24052-2021 tillsynsbegäran.docx", "A 24052-2021")</f>
        <v/>
      </c>
      <c r="Y137">
        <f>HYPERLINK("https://klasma.github.io/Logging_0188/tillsynsmail/A 24052-2021 tillsynsbegäran mail.docx", "A 24052-2021")</f>
        <v/>
      </c>
    </row>
    <row r="138" ht="15" customHeight="1">
      <c r="A138" t="inlineStr">
        <is>
          <t>A 24365-2023</t>
        </is>
      </c>
      <c r="B138" s="1" t="n">
        <v>45076</v>
      </c>
      <c r="C138" s="1" t="n">
        <v>46050</v>
      </c>
      <c r="D138" t="inlineStr">
        <is>
          <t>STOCKHOLMS LÄN</t>
        </is>
      </c>
      <c r="E138" t="inlineStr">
        <is>
          <t>HUDDINGE</t>
        </is>
      </c>
      <c r="G138" t="n">
        <v>0.7</v>
      </c>
      <c r="H138" t="n">
        <v>0</v>
      </c>
      <c r="I138" t="n">
        <v>3</v>
      </c>
      <c r="J138" t="n">
        <v>1</v>
      </c>
      <c r="K138" t="n">
        <v>0</v>
      </c>
      <c r="L138" t="n">
        <v>0</v>
      </c>
      <c r="M138" t="n">
        <v>0</v>
      </c>
      <c r="N138" t="n">
        <v>0</v>
      </c>
      <c r="O138" t="n">
        <v>1</v>
      </c>
      <c r="P138" t="n">
        <v>0</v>
      </c>
      <c r="Q138" t="n">
        <v>4</v>
      </c>
      <c r="R138" s="2" t="inlineStr">
        <is>
          <t>Motaggsvamp
Björksplintborre
Blåmossa
Jättesvampmal</t>
        </is>
      </c>
      <c r="S138">
        <f>HYPERLINK("https://klasma.github.io/Logging_0126/artfynd/A 24365-2023 artfynd.xlsx", "A 24365-2023")</f>
        <v/>
      </c>
      <c r="T138">
        <f>HYPERLINK("https://klasma.github.io/Logging_0126/kartor/A 24365-2023 karta.png", "A 24365-2023")</f>
        <v/>
      </c>
      <c r="V138">
        <f>HYPERLINK("https://klasma.github.io/Logging_0126/klagomål/A 24365-2023 FSC-klagomål.docx", "A 24365-2023")</f>
        <v/>
      </c>
      <c r="W138">
        <f>HYPERLINK("https://klasma.github.io/Logging_0126/klagomålsmail/A 24365-2023 FSC-klagomål mail.docx", "A 24365-2023")</f>
        <v/>
      </c>
      <c r="X138">
        <f>HYPERLINK("https://klasma.github.io/Logging_0126/tillsyn/A 24365-2023 tillsynsbegäran.docx", "A 24365-2023")</f>
        <v/>
      </c>
      <c r="Y138">
        <f>HYPERLINK("https://klasma.github.io/Logging_0126/tillsynsmail/A 24365-2023 tillsynsbegäran mail.docx", "A 24365-2023")</f>
        <v/>
      </c>
    </row>
    <row r="139" ht="15" customHeight="1">
      <c r="A139" t="inlineStr">
        <is>
          <t>A 52261-2022</t>
        </is>
      </c>
      <c r="B139" s="1" t="n">
        <v>44873.62881944444</v>
      </c>
      <c r="C139" s="1" t="n">
        <v>46050</v>
      </c>
      <c r="D139" t="inlineStr">
        <is>
          <t>STOCKHOLMS LÄN</t>
        </is>
      </c>
      <c r="E139" t="inlineStr">
        <is>
          <t>NYNÄSHAMN</t>
        </is>
      </c>
      <c r="G139" t="n">
        <v>3.8</v>
      </c>
      <c r="H139" t="n">
        <v>1</v>
      </c>
      <c r="I139" t="n">
        <v>1</v>
      </c>
      <c r="J139" t="n">
        <v>2</v>
      </c>
      <c r="K139" t="n">
        <v>0</v>
      </c>
      <c r="L139" t="n">
        <v>0</v>
      </c>
      <c r="M139" t="n">
        <v>0</v>
      </c>
      <c r="N139" t="n">
        <v>0</v>
      </c>
      <c r="O139" t="n">
        <v>2</v>
      </c>
      <c r="P139" t="n">
        <v>0</v>
      </c>
      <c r="Q139" t="n">
        <v>4</v>
      </c>
      <c r="R139" s="2" t="inlineStr">
        <is>
          <t>Tallticka
Vedskivlav
Hasselticka
Blåsippa</t>
        </is>
      </c>
      <c r="S139">
        <f>HYPERLINK("https://klasma.github.io/Logging_0192/artfynd/A 52261-2022 artfynd.xlsx", "A 52261-2022")</f>
        <v/>
      </c>
      <c r="T139">
        <f>HYPERLINK("https://klasma.github.io/Logging_0192/kartor/A 52261-2022 karta.png", "A 52261-2022")</f>
        <v/>
      </c>
      <c r="V139">
        <f>HYPERLINK("https://klasma.github.io/Logging_0192/klagomål/A 52261-2022 FSC-klagomål.docx", "A 52261-2022")</f>
        <v/>
      </c>
      <c r="W139">
        <f>HYPERLINK("https://klasma.github.io/Logging_0192/klagomålsmail/A 52261-2022 FSC-klagomål mail.docx", "A 52261-2022")</f>
        <v/>
      </c>
      <c r="X139">
        <f>HYPERLINK("https://klasma.github.io/Logging_0192/tillsyn/A 52261-2022 tillsynsbegäran.docx", "A 52261-2022")</f>
        <v/>
      </c>
      <c r="Y139">
        <f>HYPERLINK("https://klasma.github.io/Logging_0192/tillsynsmail/A 52261-2022 tillsynsbegäran mail.docx", "A 52261-2022")</f>
        <v/>
      </c>
    </row>
    <row r="140" ht="15" customHeight="1">
      <c r="A140" t="inlineStr">
        <is>
          <t>A 44709-2022</t>
        </is>
      </c>
      <c r="B140" s="1" t="n">
        <v>44839</v>
      </c>
      <c r="C140" s="1" t="n">
        <v>46050</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11714-2021</t>
        </is>
      </c>
      <c r="B141" s="1" t="n">
        <v>44265</v>
      </c>
      <c r="C141" s="1" t="n">
        <v>46050</v>
      </c>
      <c r="D141" t="inlineStr">
        <is>
          <t>STOCKHOLMS LÄN</t>
        </is>
      </c>
      <c r="E141" t="inlineStr">
        <is>
          <t>SIGTUNA</t>
        </is>
      </c>
      <c r="F141" t="inlineStr">
        <is>
          <t>Sveaskog</t>
        </is>
      </c>
      <c r="G141" t="n">
        <v>11.4</v>
      </c>
      <c r="H141" t="n">
        <v>0</v>
      </c>
      <c r="I141" t="n">
        <v>3</v>
      </c>
      <c r="J141" t="n">
        <v>1</v>
      </c>
      <c r="K141" t="n">
        <v>0</v>
      </c>
      <c r="L141" t="n">
        <v>0</v>
      </c>
      <c r="M141" t="n">
        <v>0</v>
      </c>
      <c r="N141" t="n">
        <v>0</v>
      </c>
      <c r="O141" t="n">
        <v>1</v>
      </c>
      <c r="P141" t="n">
        <v>0</v>
      </c>
      <c r="Q141" t="n">
        <v>4</v>
      </c>
      <c r="R141" s="2" t="inlineStr">
        <is>
          <t>Spretfibbla
Guldkremla
Snövit fingersvamp
Svavelriska</t>
        </is>
      </c>
      <c r="S141">
        <f>HYPERLINK("https://klasma.github.io/Logging_0191/artfynd/A 11714-2021 artfynd.xlsx", "A 11714-2021")</f>
        <v/>
      </c>
      <c r="T141">
        <f>HYPERLINK("https://klasma.github.io/Logging_0191/kartor/A 11714-2021 karta.png", "A 11714-2021")</f>
        <v/>
      </c>
      <c r="V141">
        <f>HYPERLINK("https://klasma.github.io/Logging_0191/klagomål/A 11714-2021 FSC-klagomål.docx", "A 11714-2021")</f>
        <v/>
      </c>
      <c r="W141">
        <f>HYPERLINK("https://klasma.github.io/Logging_0191/klagomålsmail/A 11714-2021 FSC-klagomål mail.docx", "A 11714-2021")</f>
        <v/>
      </c>
      <c r="X141">
        <f>HYPERLINK("https://klasma.github.io/Logging_0191/tillsyn/A 11714-2021 tillsynsbegäran.docx", "A 11714-2021")</f>
        <v/>
      </c>
      <c r="Y141">
        <f>HYPERLINK("https://klasma.github.io/Logging_0191/tillsynsmail/A 11714-2021 tillsynsbegäran mail.docx", "A 11714-2021")</f>
        <v/>
      </c>
    </row>
    <row r="142" ht="15" customHeight="1">
      <c r="A142" t="inlineStr">
        <is>
          <t>A 73783-2021</t>
        </is>
      </c>
      <c r="B142" s="1" t="n">
        <v>44552</v>
      </c>
      <c r="C142" s="1" t="n">
        <v>46050</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21730-2025</t>
        </is>
      </c>
      <c r="B143" s="1" t="n">
        <v>45783.58123842593</v>
      </c>
      <c r="C143" s="1" t="n">
        <v>46050</v>
      </c>
      <c r="D143" t="inlineStr">
        <is>
          <t>STOCKHOLMS LÄN</t>
        </is>
      </c>
      <c r="E143" t="inlineStr">
        <is>
          <t>NORRTÄLJE</t>
        </is>
      </c>
      <c r="G143" t="n">
        <v>4.2</v>
      </c>
      <c r="H143" t="n">
        <v>2</v>
      </c>
      <c r="I143" t="n">
        <v>2</v>
      </c>
      <c r="J143" t="n">
        <v>0</v>
      </c>
      <c r="K143" t="n">
        <v>0</v>
      </c>
      <c r="L143" t="n">
        <v>0</v>
      </c>
      <c r="M143" t="n">
        <v>0</v>
      </c>
      <c r="N143" t="n">
        <v>0</v>
      </c>
      <c r="O143" t="n">
        <v>0</v>
      </c>
      <c r="P143" t="n">
        <v>0</v>
      </c>
      <c r="Q143" t="n">
        <v>4</v>
      </c>
      <c r="R143" s="2" t="inlineStr">
        <is>
          <t>Blåmossa
Brandticka
Blåsippa
Revlummer</t>
        </is>
      </c>
      <c r="S143">
        <f>HYPERLINK("https://klasma.github.io/Logging_0188/artfynd/A 21730-2025 artfynd.xlsx", "A 21730-2025")</f>
        <v/>
      </c>
      <c r="T143">
        <f>HYPERLINK("https://klasma.github.io/Logging_0188/kartor/A 21730-2025 karta.png", "A 21730-2025")</f>
        <v/>
      </c>
      <c r="V143">
        <f>HYPERLINK("https://klasma.github.io/Logging_0188/klagomål/A 21730-2025 FSC-klagomål.docx", "A 21730-2025")</f>
        <v/>
      </c>
      <c r="W143">
        <f>HYPERLINK("https://klasma.github.io/Logging_0188/klagomålsmail/A 21730-2025 FSC-klagomål mail.docx", "A 21730-2025")</f>
        <v/>
      </c>
      <c r="X143">
        <f>HYPERLINK("https://klasma.github.io/Logging_0188/tillsyn/A 21730-2025 tillsynsbegäran.docx", "A 21730-2025")</f>
        <v/>
      </c>
      <c r="Y143">
        <f>HYPERLINK("https://klasma.github.io/Logging_0188/tillsynsmail/A 21730-2025 tillsynsbegäran mail.docx", "A 21730-2025")</f>
        <v/>
      </c>
    </row>
    <row r="144" ht="15" customHeight="1">
      <c r="A144" t="inlineStr">
        <is>
          <t>A 41371-2021</t>
        </is>
      </c>
      <c r="B144" s="1" t="n">
        <v>44424</v>
      </c>
      <c r="C144" s="1" t="n">
        <v>46050</v>
      </c>
      <c r="D144" t="inlineStr">
        <is>
          <t>STOCKHOLMS LÄN</t>
        </is>
      </c>
      <c r="E144" t="inlineStr">
        <is>
          <t>NYNÄSHAMN</t>
        </is>
      </c>
      <c r="G144" t="n">
        <v>7.4</v>
      </c>
      <c r="H144" t="n">
        <v>1</v>
      </c>
      <c r="I144" t="n">
        <v>3</v>
      </c>
      <c r="J144" t="n">
        <v>0</v>
      </c>
      <c r="K144" t="n">
        <v>0</v>
      </c>
      <c r="L144" t="n">
        <v>0</v>
      </c>
      <c r="M144" t="n">
        <v>0</v>
      </c>
      <c r="N144" t="n">
        <v>0</v>
      </c>
      <c r="O144" t="n">
        <v>0</v>
      </c>
      <c r="P144" t="n">
        <v>0</v>
      </c>
      <c r="Q144" t="n">
        <v>3</v>
      </c>
      <c r="R144" s="2" t="inlineStr">
        <is>
          <t>Grov fjädermossa
Grön sköldmossa
Stor revmossa</t>
        </is>
      </c>
      <c r="S144">
        <f>HYPERLINK("https://klasma.github.io/Logging_0192/artfynd/A 41371-2021 artfynd.xlsx", "A 41371-2021")</f>
        <v/>
      </c>
      <c r="T144">
        <f>HYPERLINK("https://klasma.github.io/Logging_0192/kartor/A 41371-2021 karta.png", "A 41371-2021")</f>
        <v/>
      </c>
      <c r="V144">
        <f>HYPERLINK("https://klasma.github.io/Logging_0192/klagomål/A 41371-2021 FSC-klagomål.docx", "A 41371-2021")</f>
        <v/>
      </c>
      <c r="W144">
        <f>HYPERLINK("https://klasma.github.io/Logging_0192/klagomålsmail/A 41371-2021 FSC-klagomål mail.docx", "A 41371-2021")</f>
        <v/>
      </c>
      <c r="X144">
        <f>HYPERLINK("https://klasma.github.io/Logging_0192/tillsyn/A 41371-2021 tillsynsbegäran.docx", "A 41371-2021")</f>
        <v/>
      </c>
      <c r="Y144">
        <f>HYPERLINK("https://klasma.github.io/Logging_0192/tillsynsmail/A 41371-2021 tillsynsbegäran mail.docx", "A 41371-2021")</f>
        <v/>
      </c>
    </row>
    <row r="145" ht="15" customHeight="1">
      <c r="A145" t="inlineStr">
        <is>
          <t>A 29818-2021</t>
        </is>
      </c>
      <c r="B145" s="1" t="n">
        <v>44362</v>
      </c>
      <c r="C145" s="1" t="n">
        <v>46050</v>
      </c>
      <c r="D145" t="inlineStr">
        <is>
          <t>STOCKHOLMS LÄN</t>
        </is>
      </c>
      <c r="E145" t="inlineStr">
        <is>
          <t>VÄRMDÖ</t>
        </is>
      </c>
      <c r="F145" t="inlineStr">
        <is>
          <t>Övriga Aktiebolag</t>
        </is>
      </c>
      <c r="G145" t="n">
        <v>1.7</v>
      </c>
      <c r="H145" t="n">
        <v>0</v>
      </c>
      <c r="I145" t="n">
        <v>2</v>
      </c>
      <c r="J145" t="n">
        <v>1</v>
      </c>
      <c r="K145" t="n">
        <v>0</v>
      </c>
      <c r="L145" t="n">
        <v>0</v>
      </c>
      <c r="M145" t="n">
        <v>0</v>
      </c>
      <c r="N145" t="n">
        <v>0</v>
      </c>
      <c r="O145" t="n">
        <v>1</v>
      </c>
      <c r="P145" t="n">
        <v>0</v>
      </c>
      <c r="Q145" t="n">
        <v>3</v>
      </c>
      <c r="R145" s="2" t="inlineStr">
        <is>
          <t>Mindre träfjäril
Mörk husmossa
Stubbspretmossa</t>
        </is>
      </c>
      <c r="S145">
        <f>HYPERLINK("https://klasma.github.io/Logging_0120/artfynd/A 29818-2021 artfynd.xlsx", "A 29818-2021")</f>
        <v/>
      </c>
      <c r="T145">
        <f>HYPERLINK("https://klasma.github.io/Logging_0120/kartor/A 29818-2021 karta.png", "A 29818-2021")</f>
        <v/>
      </c>
      <c r="V145">
        <f>HYPERLINK("https://klasma.github.io/Logging_0120/klagomål/A 29818-2021 FSC-klagomål.docx", "A 29818-2021")</f>
        <v/>
      </c>
      <c r="W145">
        <f>HYPERLINK("https://klasma.github.io/Logging_0120/klagomålsmail/A 29818-2021 FSC-klagomål mail.docx", "A 29818-2021")</f>
        <v/>
      </c>
      <c r="X145">
        <f>HYPERLINK("https://klasma.github.io/Logging_0120/tillsyn/A 29818-2021 tillsynsbegäran.docx", "A 29818-2021")</f>
        <v/>
      </c>
      <c r="Y145">
        <f>HYPERLINK("https://klasma.github.io/Logging_0120/tillsynsmail/A 29818-2021 tillsynsbegäran mail.docx", "A 29818-2021")</f>
        <v/>
      </c>
    </row>
    <row r="146" ht="15" customHeight="1">
      <c r="A146" t="inlineStr">
        <is>
          <t>A 1244-2022</t>
        </is>
      </c>
      <c r="B146" s="1" t="n">
        <v>44572</v>
      </c>
      <c r="C146" s="1" t="n">
        <v>46050</v>
      </c>
      <c r="D146" t="inlineStr">
        <is>
          <t>STOCKHOLMS LÄN</t>
        </is>
      </c>
      <c r="E146" t="inlineStr">
        <is>
          <t>VÄRMDÖ</t>
        </is>
      </c>
      <c r="G146" t="n">
        <v>2.3</v>
      </c>
      <c r="H146" t="n">
        <v>2</v>
      </c>
      <c r="I146" t="n">
        <v>2</v>
      </c>
      <c r="J146" t="n">
        <v>1</v>
      </c>
      <c r="K146" t="n">
        <v>0</v>
      </c>
      <c r="L146" t="n">
        <v>0</v>
      </c>
      <c r="M146" t="n">
        <v>0</v>
      </c>
      <c r="N146" t="n">
        <v>0</v>
      </c>
      <c r="O146" t="n">
        <v>1</v>
      </c>
      <c r="P146" t="n">
        <v>0</v>
      </c>
      <c r="Q146" t="n">
        <v>3</v>
      </c>
      <c r="R146" s="2" t="inlineStr">
        <is>
          <t>Spillkråka
Grön sköldmossa
Thomsons trägnagare</t>
        </is>
      </c>
      <c r="S146">
        <f>HYPERLINK("https://klasma.github.io/Logging_0120/artfynd/A 1244-2022 artfynd.xlsx", "A 1244-2022")</f>
        <v/>
      </c>
      <c r="T146">
        <f>HYPERLINK("https://klasma.github.io/Logging_0120/kartor/A 1244-2022 karta.png", "A 1244-2022")</f>
        <v/>
      </c>
      <c r="V146">
        <f>HYPERLINK("https://klasma.github.io/Logging_0120/klagomål/A 1244-2022 FSC-klagomål.docx", "A 1244-2022")</f>
        <v/>
      </c>
      <c r="W146">
        <f>HYPERLINK("https://klasma.github.io/Logging_0120/klagomålsmail/A 1244-2022 FSC-klagomål mail.docx", "A 1244-2022")</f>
        <v/>
      </c>
      <c r="X146">
        <f>HYPERLINK("https://klasma.github.io/Logging_0120/tillsyn/A 1244-2022 tillsynsbegäran.docx", "A 1244-2022")</f>
        <v/>
      </c>
      <c r="Y146">
        <f>HYPERLINK("https://klasma.github.io/Logging_0120/tillsynsmail/A 1244-2022 tillsynsbegäran mail.docx", "A 1244-2022")</f>
        <v/>
      </c>
      <c r="Z146">
        <f>HYPERLINK("https://klasma.github.io/Logging_0120/fåglar/A 1244-2022 prioriterade fågelarter.docx", "A 1244-2022")</f>
        <v/>
      </c>
    </row>
    <row r="147" ht="15" customHeight="1">
      <c r="A147" t="inlineStr">
        <is>
          <t>A 17673-2021</t>
        </is>
      </c>
      <c r="B147" s="1" t="n">
        <v>44300</v>
      </c>
      <c r="C147" s="1" t="n">
        <v>46050</v>
      </c>
      <c r="D147" t="inlineStr">
        <is>
          <t>STOCKHOLMS LÄN</t>
        </is>
      </c>
      <c r="E147" t="inlineStr">
        <is>
          <t>NORRTÄLJE</t>
        </is>
      </c>
      <c r="G147" t="n">
        <v>9.199999999999999</v>
      </c>
      <c r="H147" t="n">
        <v>3</v>
      </c>
      <c r="I147" t="n">
        <v>0</v>
      </c>
      <c r="J147" t="n">
        <v>2</v>
      </c>
      <c r="K147" t="n">
        <v>0</v>
      </c>
      <c r="L147" t="n">
        <v>0</v>
      </c>
      <c r="M147" t="n">
        <v>0</v>
      </c>
      <c r="N147" t="n">
        <v>0</v>
      </c>
      <c r="O147" t="n">
        <v>2</v>
      </c>
      <c r="P147" t="n">
        <v>0</v>
      </c>
      <c r="Q147" t="n">
        <v>3</v>
      </c>
      <c r="R147" s="2" t="inlineStr">
        <is>
          <t>Grönsångare
Havsörn
Blåsippa</t>
        </is>
      </c>
      <c r="S147">
        <f>HYPERLINK("https://klasma.github.io/Logging_0188/artfynd/A 17673-2021 artfynd.xlsx", "A 17673-2021")</f>
        <v/>
      </c>
      <c r="T147">
        <f>HYPERLINK("https://klasma.github.io/Logging_0188/kartor/A 17673-2021 karta.png", "A 17673-2021")</f>
        <v/>
      </c>
      <c r="V147">
        <f>HYPERLINK("https://klasma.github.io/Logging_0188/klagomål/A 17673-2021 FSC-klagomål.docx", "A 17673-2021")</f>
        <v/>
      </c>
      <c r="W147">
        <f>HYPERLINK("https://klasma.github.io/Logging_0188/klagomålsmail/A 17673-2021 FSC-klagomål mail.docx", "A 17673-2021")</f>
        <v/>
      </c>
      <c r="X147">
        <f>HYPERLINK("https://klasma.github.io/Logging_0188/tillsyn/A 17673-2021 tillsynsbegäran.docx", "A 17673-2021")</f>
        <v/>
      </c>
      <c r="Y147">
        <f>HYPERLINK("https://klasma.github.io/Logging_0188/tillsynsmail/A 17673-2021 tillsynsbegäran mail.docx", "A 17673-2021")</f>
        <v/>
      </c>
      <c r="Z147">
        <f>HYPERLINK("https://klasma.github.io/Logging_0188/fåglar/A 17673-2021 prioriterade fågelarter.docx", "A 17673-2021")</f>
        <v/>
      </c>
    </row>
    <row r="148" ht="15" customHeight="1">
      <c r="A148" t="inlineStr">
        <is>
          <t>A 11803-2022</t>
        </is>
      </c>
      <c r="B148" s="1" t="n">
        <v>44634</v>
      </c>
      <c r="C148" s="1" t="n">
        <v>46050</v>
      </c>
      <c r="D148" t="inlineStr">
        <is>
          <t>STOCKHOLMS LÄN</t>
        </is>
      </c>
      <c r="E148" t="inlineStr">
        <is>
          <t>EKERÖ</t>
        </is>
      </c>
      <c r="G148" t="n">
        <v>2.7</v>
      </c>
      <c r="H148" t="n">
        <v>1</v>
      </c>
      <c r="I148" t="n">
        <v>0</v>
      </c>
      <c r="J148" t="n">
        <v>2</v>
      </c>
      <c r="K148" t="n">
        <v>0</v>
      </c>
      <c r="L148" t="n">
        <v>0</v>
      </c>
      <c r="M148" t="n">
        <v>0</v>
      </c>
      <c r="N148" t="n">
        <v>0</v>
      </c>
      <c r="O148" t="n">
        <v>2</v>
      </c>
      <c r="P148" t="n">
        <v>0</v>
      </c>
      <c r="Q148" t="n">
        <v>3</v>
      </c>
      <c r="R148" s="2" t="inlineStr">
        <is>
          <t>Backklöver
Solvända
Gullviva</t>
        </is>
      </c>
      <c r="S148">
        <f>HYPERLINK("https://klasma.github.io/Logging_0125/artfynd/A 11803-2022 artfynd.xlsx", "A 11803-2022")</f>
        <v/>
      </c>
      <c r="T148">
        <f>HYPERLINK("https://klasma.github.io/Logging_0125/kartor/A 11803-2022 karta.png", "A 11803-2022")</f>
        <v/>
      </c>
      <c r="V148">
        <f>HYPERLINK("https://klasma.github.io/Logging_0125/klagomål/A 11803-2022 FSC-klagomål.docx", "A 11803-2022")</f>
        <v/>
      </c>
      <c r="W148">
        <f>HYPERLINK("https://klasma.github.io/Logging_0125/klagomålsmail/A 11803-2022 FSC-klagomål mail.docx", "A 11803-2022")</f>
        <v/>
      </c>
      <c r="X148">
        <f>HYPERLINK("https://klasma.github.io/Logging_0125/tillsyn/A 11803-2022 tillsynsbegäran.docx", "A 11803-2022")</f>
        <v/>
      </c>
      <c r="Y148">
        <f>HYPERLINK("https://klasma.github.io/Logging_0125/tillsynsmail/A 11803-2022 tillsynsbegäran mail.docx", "A 11803-2022")</f>
        <v/>
      </c>
    </row>
    <row r="149" ht="15" customHeight="1">
      <c r="A149" t="inlineStr">
        <is>
          <t>A 49680-2022</t>
        </is>
      </c>
      <c r="B149" s="1" t="n">
        <v>44862</v>
      </c>
      <c r="C149" s="1" t="n">
        <v>46050</v>
      </c>
      <c r="D149" t="inlineStr">
        <is>
          <t>STOCKHOLMS LÄN</t>
        </is>
      </c>
      <c r="E149" t="inlineStr">
        <is>
          <t>NYKVARN</t>
        </is>
      </c>
      <c r="F149" t="inlineStr">
        <is>
          <t>Allmännings- och besparingsskogar</t>
        </is>
      </c>
      <c r="G149" t="n">
        <v>2.4</v>
      </c>
      <c r="H149" t="n">
        <v>0</v>
      </c>
      <c r="I149" t="n">
        <v>1</v>
      </c>
      <c r="J149" t="n">
        <v>2</v>
      </c>
      <c r="K149" t="n">
        <v>0</v>
      </c>
      <c r="L149" t="n">
        <v>0</v>
      </c>
      <c r="M149" t="n">
        <v>0</v>
      </c>
      <c r="N149" t="n">
        <v>0</v>
      </c>
      <c r="O149" t="n">
        <v>2</v>
      </c>
      <c r="P149" t="n">
        <v>0</v>
      </c>
      <c r="Q149" t="n">
        <v>3</v>
      </c>
      <c r="R149" s="2" t="inlineStr">
        <is>
          <t>Granticka
Ullticka
Granbarkgnagare</t>
        </is>
      </c>
      <c r="S149">
        <f>HYPERLINK("https://klasma.github.io/Logging_0140/artfynd/A 49680-2022 artfynd.xlsx", "A 49680-2022")</f>
        <v/>
      </c>
      <c r="T149">
        <f>HYPERLINK("https://klasma.github.io/Logging_0140/kartor/A 49680-2022 karta.png", "A 49680-2022")</f>
        <v/>
      </c>
      <c r="V149">
        <f>HYPERLINK("https://klasma.github.io/Logging_0140/klagomål/A 49680-2022 FSC-klagomål.docx", "A 49680-2022")</f>
        <v/>
      </c>
      <c r="W149">
        <f>HYPERLINK("https://klasma.github.io/Logging_0140/klagomålsmail/A 49680-2022 FSC-klagomål mail.docx", "A 49680-2022")</f>
        <v/>
      </c>
      <c r="X149">
        <f>HYPERLINK("https://klasma.github.io/Logging_0140/tillsyn/A 49680-2022 tillsynsbegäran.docx", "A 49680-2022")</f>
        <v/>
      </c>
      <c r="Y149">
        <f>HYPERLINK("https://klasma.github.io/Logging_0140/tillsynsmail/A 49680-2022 tillsynsbegäran mail.docx", "A 49680-2022")</f>
        <v/>
      </c>
    </row>
    <row r="150" ht="15" customHeight="1">
      <c r="A150" t="inlineStr">
        <is>
          <t>A 48691-2022</t>
        </is>
      </c>
      <c r="B150" s="1" t="n">
        <v>44859</v>
      </c>
      <c r="C150" s="1" t="n">
        <v>46050</v>
      </c>
      <c r="D150" t="inlineStr">
        <is>
          <t>STOCKHOLMS LÄN</t>
        </is>
      </c>
      <c r="E150" t="inlineStr">
        <is>
          <t>VÄRMDÖ</t>
        </is>
      </c>
      <c r="G150" t="n">
        <v>3.6</v>
      </c>
      <c r="H150" t="n">
        <v>1</v>
      </c>
      <c r="I150" t="n">
        <v>2</v>
      </c>
      <c r="J150" t="n">
        <v>1</v>
      </c>
      <c r="K150" t="n">
        <v>0</v>
      </c>
      <c r="L150" t="n">
        <v>0</v>
      </c>
      <c r="M150" t="n">
        <v>0</v>
      </c>
      <c r="N150" t="n">
        <v>0</v>
      </c>
      <c r="O150" t="n">
        <v>1</v>
      </c>
      <c r="P150" t="n">
        <v>0</v>
      </c>
      <c r="Q150" t="n">
        <v>3</v>
      </c>
      <c r="R150" s="2" t="inlineStr">
        <is>
          <t>Havsörn
Brandticka
Skarp dropptaggsvamp</t>
        </is>
      </c>
      <c r="S150">
        <f>HYPERLINK("https://klasma.github.io/Logging_0120/artfynd/A 48691-2022 artfynd.xlsx", "A 48691-2022")</f>
        <v/>
      </c>
      <c r="T150">
        <f>HYPERLINK("https://klasma.github.io/Logging_0120/kartor/A 48691-2022 karta.png", "A 48691-2022")</f>
        <v/>
      </c>
      <c r="V150">
        <f>HYPERLINK("https://klasma.github.io/Logging_0120/klagomål/A 48691-2022 FSC-klagomål.docx", "A 48691-2022")</f>
        <v/>
      </c>
      <c r="W150">
        <f>HYPERLINK("https://klasma.github.io/Logging_0120/klagomålsmail/A 48691-2022 FSC-klagomål mail.docx", "A 48691-2022")</f>
        <v/>
      </c>
      <c r="X150">
        <f>HYPERLINK("https://klasma.github.io/Logging_0120/tillsyn/A 48691-2022 tillsynsbegäran.docx", "A 48691-2022")</f>
        <v/>
      </c>
      <c r="Y150">
        <f>HYPERLINK("https://klasma.github.io/Logging_0120/tillsynsmail/A 48691-2022 tillsynsbegäran mail.docx", "A 48691-2022")</f>
        <v/>
      </c>
      <c r="Z150">
        <f>HYPERLINK("https://klasma.github.io/Logging_0120/fåglar/A 48691-2022 prioriterade fågelarter.docx", "A 48691-2022")</f>
        <v/>
      </c>
    </row>
    <row r="151" ht="15" customHeight="1">
      <c r="A151" t="inlineStr">
        <is>
          <t>A 45113-2022</t>
        </is>
      </c>
      <c r="B151" s="1" t="n">
        <v>44843</v>
      </c>
      <c r="C151" s="1" t="n">
        <v>46050</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43900-2021</t>
        </is>
      </c>
      <c r="B152" s="1" t="n">
        <v>44434</v>
      </c>
      <c r="C152" s="1" t="n">
        <v>46050</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28836-2022</t>
        </is>
      </c>
      <c r="B153" s="1" t="n">
        <v>44749</v>
      </c>
      <c r="C153" s="1" t="n">
        <v>46050</v>
      </c>
      <c r="D153" t="inlineStr">
        <is>
          <t>STOCKHOLMS LÄN</t>
        </is>
      </c>
      <c r="E153" t="inlineStr">
        <is>
          <t>NORRTÄLJE</t>
        </is>
      </c>
      <c r="G153" t="n">
        <v>25</v>
      </c>
      <c r="H153" t="n">
        <v>2</v>
      </c>
      <c r="I153" t="n">
        <v>0</v>
      </c>
      <c r="J153" t="n">
        <v>2</v>
      </c>
      <c r="K153" t="n">
        <v>0</v>
      </c>
      <c r="L153" t="n">
        <v>0</v>
      </c>
      <c r="M153" t="n">
        <v>0</v>
      </c>
      <c r="N153" t="n">
        <v>0</v>
      </c>
      <c r="O153" t="n">
        <v>2</v>
      </c>
      <c r="P153" t="n">
        <v>0</v>
      </c>
      <c r="Q153" t="n">
        <v>3</v>
      </c>
      <c r="R153" s="2" t="inlineStr">
        <is>
          <t>Backklöver
Svartvit flugsnappare
Skogsödla</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c r="Z153">
        <f>HYPERLINK("https://klasma.github.io/Logging_0188/fåglar/A 28836-2022 prioriterade fågelarter.docx", "A 28836-2022")</f>
        <v/>
      </c>
    </row>
    <row r="154" ht="15" customHeight="1">
      <c r="A154" t="inlineStr">
        <is>
          <t>A 14560-2021</t>
        </is>
      </c>
      <c r="B154" s="1" t="n">
        <v>44279</v>
      </c>
      <c r="C154" s="1" t="n">
        <v>46050</v>
      </c>
      <c r="D154" t="inlineStr">
        <is>
          <t>STOCKHOLMS LÄN</t>
        </is>
      </c>
      <c r="E154" t="inlineStr">
        <is>
          <t>NORRTÄLJE</t>
        </is>
      </c>
      <c r="G154" t="n">
        <v>1.8</v>
      </c>
      <c r="H154" t="n">
        <v>0</v>
      </c>
      <c r="I154" t="n">
        <v>2</v>
      </c>
      <c r="J154" t="n">
        <v>1</v>
      </c>
      <c r="K154" t="n">
        <v>0</v>
      </c>
      <c r="L154" t="n">
        <v>0</v>
      </c>
      <c r="M154" t="n">
        <v>0</v>
      </c>
      <c r="N154" t="n">
        <v>0</v>
      </c>
      <c r="O154" t="n">
        <v>1</v>
      </c>
      <c r="P154" t="n">
        <v>0</v>
      </c>
      <c r="Q154" t="n">
        <v>3</v>
      </c>
      <c r="R154" s="2" t="inlineStr">
        <is>
          <t>Vit vedfingersvamp
Stor aspticka
Vedticka</t>
        </is>
      </c>
      <c r="S154">
        <f>HYPERLINK("https://klasma.github.io/Logging_0188/artfynd/A 14560-2021 artfynd.xlsx", "A 14560-2021")</f>
        <v/>
      </c>
      <c r="T154">
        <f>HYPERLINK("https://klasma.github.io/Logging_0188/kartor/A 14560-2021 karta.png", "A 14560-2021")</f>
        <v/>
      </c>
      <c r="V154">
        <f>HYPERLINK("https://klasma.github.io/Logging_0188/klagomål/A 14560-2021 FSC-klagomål.docx", "A 14560-2021")</f>
        <v/>
      </c>
      <c r="W154">
        <f>HYPERLINK("https://klasma.github.io/Logging_0188/klagomålsmail/A 14560-2021 FSC-klagomål mail.docx", "A 14560-2021")</f>
        <v/>
      </c>
      <c r="X154">
        <f>HYPERLINK("https://klasma.github.io/Logging_0188/tillsyn/A 14560-2021 tillsynsbegäran.docx", "A 14560-2021")</f>
        <v/>
      </c>
      <c r="Y154">
        <f>HYPERLINK("https://klasma.github.io/Logging_0188/tillsynsmail/A 14560-2021 tillsynsbegäran mail.docx", "A 14560-2021")</f>
        <v/>
      </c>
    </row>
    <row r="155" ht="15" customHeight="1">
      <c r="A155" t="inlineStr">
        <is>
          <t>A 13237-2023</t>
        </is>
      </c>
      <c r="B155" s="1" t="n">
        <v>45002</v>
      </c>
      <c r="C155" s="1" t="n">
        <v>46050</v>
      </c>
      <c r="D155" t="inlineStr">
        <is>
          <t>STOCKHOLMS LÄN</t>
        </is>
      </c>
      <c r="E155" t="inlineStr">
        <is>
          <t>EKERÖ</t>
        </is>
      </c>
      <c r="F155" t="inlineStr">
        <is>
          <t>Kommuner</t>
        </is>
      </c>
      <c r="G155" t="n">
        <v>9.300000000000001</v>
      </c>
      <c r="H155" t="n">
        <v>1</v>
      </c>
      <c r="I155" t="n">
        <v>1</v>
      </c>
      <c r="J155" t="n">
        <v>1</v>
      </c>
      <c r="K155" t="n">
        <v>0</v>
      </c>
      <c r="L155" t="n">
        <v>0</v>
      </c>
      <c r="M155" t="n">
        <v>0</v>
      </c>
      <c r="N155" t="n">
        <v>0</v>
      </c>
      <c r="O155" t="n">
        <v>1</v>
      </c>
      <c r="P155" t="n">
        <v>0</v>
      </c>
      <c r="Q155" t="n">
        <v>3</v>
      </c>
      <c r="R155" s="2" t="inlineStr">
        <is>
          <t>Tallticka
Granbarkgnagare
Blåsippa</t>
        </is>
      </c>
      <c r="S155">
        <f>HYPERLINK("https://klasma.github.io/Logging_0125/artfynd/A 13237-2023 artfynd.xlsx", "A 13237-2023")</f>
        <v/>
      </c>
      <c r="T155">
        <f>HYPERLINK("https://klasma.github.io/Logging_0125/kartor/A 13237-2023 karta.png", "A 13237-2023")</f>
        <v/>
      </c>
      <c r="V155">
        <f>HYPERLINK("https://klasma.github.io/Logging_0125/klagomål/A 13237-2023 FSC-klagomål.docx", "A 13237-2023")</f>
        <v/>
      </c>
      <c r="W155">
        <f>HYPERLINK("https://klasma.github.io/Logging_0125/klagomålsmail/A 13237-2023 FSC-klagomål mail.docx", "A 13237-2023")</f>
        <v/>
      </c>
      <c r="X155">
        <f>HYPERLINK("https://klasma.github.io/Logging_0125/tillsyn/A 13237-2023 tillsynsbegäran.docx", "A 13237-2023")</f>
        <v/>
      </c>
      <c r="Y155">
        <f>HYPERLINK("https://klasma.github.io/Logging_0125/tillsynsmail/A 13237-2023 tillsynsbegäran mail.docx", "A 13237-2023")</f>
        <v/>
      </c>
    </row>
    <row r="156" ht="15" customHeight="1">
      <c r="A156" t="inlineStr">
        <is>
          <t>A 53065-2024</t>
        </is>
      </c>
      <c r="B156" s="1" t="n">
        <v>45611.47233796296</v>
      </c>
      <c r="C156" s="1" t="n">
        <v>46050</v>
      </c>
      <c r="D156" t="inlineStr">
        <is>
          <t>STOCKHOLMS LÄN</t>
        </is>
      </c>
      <c r="E156" t="inlineStr">
        <is>
          <t>NORRTÄLJE</t>
        </is>
      </c>
      <c r="G156" t="n">
        <v>12.3</v>
      </c>
      <c r="H156" t="n">
        <v>0</v>
      </c>
      <c r="I156" t="n">
        <v>1</v>
      </c>
      <c r="J156" t="n">
        <v>1</v>
      </c>
      <c r="K156" t="n">
        <v>1</v>
      </c>
      <c r="L156" t="n">
        <v>0</v>
      </c>
      <c r="M156" t="n">
        <v>0</v>
      </c>
      <c r="N156" t="n">
        <v>0</v>
      </c>
      <c r="O156" t="n">
        <v>2</v>
      </c>
      <c r="P156" t="n">
        <v>1</v>
      </c>
      <c r="Q156" t="n">
        <v>3</v>
      </c>
      <c r="R156" s="2" t="inlineStr">
        <is>
          <t>Aspsplintbock
Grön aspvedbock
Gulröd blankbock</t>
        </is>
      </c>
      <c r="S156">
        <f>HYPERLINK("https://klasma.github.io/Logging_0188/artfynd/A 53065-2024 artfynd.xlsx", "A 53065-2024")</f>
        <v/>
      </c>
      <c r="T156">
        <f>HYPERLINK("https://klasma.github.io/Logging_0188/kartor/A 53065-2024 karta.png", "A 53065-2024")</f>
        <v/>
      </c>
      <c r="V156">
        <f>HYPERLINK("https://klasma.github.io/Logging_0188/klagomål/A 53065-2024 FSC-klagomål.docx", "A 53065-2024")</f>
        <v/>
      </c>
      <c r="W156">
        <f>HYPERLINK("https://klasma.github.io/Logging_0188/klagomålsmail/A 53065-2024 FSC-klagomål mail.docx", "A 53065-2024")</f>
        <v/>
      </c>
      <c r="X156">
        <f>HYPERLINK("https://klasma.github.io/Logging_0188/tillsyn/A 53065-2024 tillsynsbegäran.docx", "A 53065-2024")</f>
        <v/>
      </c>
      <c r="Y156">
        <f>HYPERLINK("https://klasma.github.io/Logging_0188/tillsynsmail/A 53065-2024 tillsynsbegäran mail.docx", "A 53065-2024")</f>
        <v/>
      </c>
    </row>
    <row r="157" ht="15" customHeight="1">
      <c r="A157" t="inlineStr">
        <is>
          <t>A 27971-2022</t>
        </is>
      </c>
      <c r="B157" s="1" t="n">
        <v>44744</v>
      </c>
      <c r="C157" s="1" t="n">
        <v>46050</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47707-2023</t>
        </is>
      </c>
      <c r="B158" s="1" t="n">
        <v>45203</v>
      </c>
      <c r="C158" s="1" t="n">
        <v>46050</v>
      </c>
      <c r="D158" t="inlineStr">
        <is>
          <t>STOCKHOLMS LÄN</t>
        </is>
      </c>
      <c r="E158" t="inlineStr">
        <is>
          <t>HANINGE</t>
        </is>
      </c>
      <c r="G158" t="n">
        <v>1.4</v>
      </c>
      <c r="H158" t="n">
        <v>0</v>
      </c>
      <c r="I158" t="n">
        <v>2</v>
      </c>
      <c r="J158" t="n">
        <v>1</v>
      </c>
      <c r="K158" t="n">
        <v>0</v>
      </c>
      <c r="L158" t="n">
        <v>0</v>
      </c>
      <c r="M158" t="n">
        <v>0</v>
      </c>
      <c r="N158" t="n">
        <v>0</v>
      </c>
      <c r="O158" t="n">
        <v>1</v>
      </c>
      <c r="P158" t="n">
        <v>0</v>
      </c>
      <c r="Q158" t="n">
        <v>3</v>
      </c>
      <c r="R158" s="2" t="inlineStr">
        <is>
          <t>Motaggsvamp
Granbarkgnagare
Stubbspretmossa</t>
        </is>
      </c>
      <c r="S158">
        <f>HYPERLINK("https://klasma.github.io/Logging_0136/artfynd/A 47707-2023 artfynd.xlsx", "A 47707-2023")</f>
        <v/>
      </c>
      <c r="T158">
        <f>HYPERLINK("https://klasma.github.io/Logging_0136/kartor/A 47707-2023 karta.png", "A 47707-2023")</f>
        <v/>
      </c>
      <c r="V158">
        <f>HYPERLINK("https://klasma.github.io/Logging_0136/klagomål/A 47707-2023 FSC-klagomål.docx", "A 47707-2023")</f>
        <v/>
      </c>
      <c r="W158">
        <f>HYPERLINK("https://klasma.github.io/Logging_0136/klagomålsmail/A 47707-2023 FSC-klagomål mail.docx", "A 47707-2023")</f>
        <v/>
      </c>
      <c r="X158">
        <f>HYPERLINK("https://klasma.github.io/Logging_0136/tillsyn/A 47707-2023 tillsynsbegäran.docx", "A 47707-2023")</f>
        <v/>
      </c>
      <c r="Y158">
        <f>HYPERLINK("https://klasma.github.io/Logging_0136/tillsynsmail/A 47707-2023 tillsynsbegäran mail.docx", "A 47707-2023")</f>
        <v/>
      </c>
    </row>
    <row r="159" ht="15" customHeight="1">
      <c r="A159" t="inlineStr">
        <is>
          <t>A 47711-2023</t>
        </is>
      </c>
      <c r="B159" s="1" t="n">
        <v>45198</v>
      </c>
      <c r="C159" s="1" t="n">
        <v>46050</v>
      </c>
      <c r="D159" t="inlineStr">
        <is>
          <t>STOCKHOLMS LÄN</t>
        </is>
      </c>
      <c r="E159" t="inlineStr">
        <is>
          <t>SÖDERTÄLJE</t>
        </is>
      </c>
      <c r="G159" t="n">
        <v>4.4</v>
      </c>
      <c r="H159" t="n">
        <v>1</v>
      </c>
      <c r="I159" t="n">
        <v>2</v>
      </c>
      <c r="J159" t="n">
        <v>0</v>
      </c>
      <c r="K159" t="n">
        <v>0</v>
      </c>
      <c r="L159" t="n">
        <v>0</v>
      </c>
      <c r="M159" t="n">
        <v>0</v>
      </c>
      <c r="N159" t="n">
        <v>0</v>
      </c>
      <c r="O159" t="n">
        <v>0</v>
      </c>
      <c r="P159" t="n">
        <v>0</v>
      </c>
      <c r="Q159" t="n">
        <v>3</v>
      </c>
      <c r="R159" s="2" t="inlineStr">
        <is>
          <t>Björksplintborre
Jättesvampmal
Blåsippa</t>
        </is>
      </c>
      <c r="S159">
        <f>HYPERLINK("https://klasma.github.io/Logging_0181/artfynd/A 47711-2023 artfynd.xlsx", "A 47711-2023")</f>
        <v/>
      </c>
      <c r="T159">
        <f>HYPERLINK("https://klasma.github.io/Logging_0181/kartor/A 47711-2023 karta.png", "A 47711-2023")</f>
        <v/>
      </c>
      <c r="V159">
        <f>HYPERLINK("https://klasma.github.io/Logging_0181/klagomål/A 47711-2023 FSC-klagomål.docx", "A 47711-2023")</f>
        <v/>
      </c>
      <c r="W159">
        <f>HYPERLINK("https://klasma.github.io/Logging_0181/klagomålsmail/A 47711-2023 FSC-klagomål mail.docx", "A 47711-2023")</f>
        <v/>
      </c>
      <c r="X159">
        <f>HYPERLINK("https://klasma.github.io/Logging_0181/tillsyn/A 47711-2023 tillsynsbegäran.docx", "A 47711-2023")</f>
        <v/>
      </c>
      <c r="Y159">
        <f>HYPERLINK("https://klasma.github.io/Logging_0181/tillsynsmail/A 47711-2023 tillsynsbegäran mail.docx", "A 47711-2023")</f>
        <v/>
      </c>
    </row>
    <row r="160" ht="15" customHeight="1">
      <c r="A160" t="inlineStr">
        <is>
          <t>A 54110-2024</t>
        </is>
      </c>
      <c r="B160" s="1" t="n">
        <v>45616.54866898148</v>
      </c>
      <c r="C160" s="1" t="n">
        <v>46050</v>
      </c>
      <c r="D160" t="inlineStr">
        <is>
          <t>STOCKHOLMS LÄN</t>
        </is>
      </c>
      <c r="E160" t="inlineStr">
        <is>
          <t>NORRTÄLJE</t>
        </is>
      </c>
      <c r="G160" t="n">
        <v>6.7</v>
      </c>
      <c r="H160" t="n">
        <v>2</v>
      </c>
      <c r="I160" t="n">
        <v>0</v>
      </c>
      <c r="J160" t="n">
        <v>1</v>
      </c>
      <c r="K160" t="n">
        <v>0</v>
      </c>
      <c r="L160" t="n">
        <v>0</v>
      </c>
      <c r="M160" t="n">
        <v>0</v>
      </c>
      <c r="N160" t="n">
        <v>0</v>
      </c>
      <c r="O160" t="n">
        <v>1</v>
      </c>
      <c r="P160" t="n">
        <v>0</v>
      </c>
      <c r="Q160" t="n">
        <v>3</v>
      </c>
      <c r="R160" s="2" t="inlineStr">
        <is>
          <t>Klasefibbla
Nattviol
Gullviva</t>
        </is>
      </c>
      <c r="S160">
        <f>HYPERLINK("https://klasma.github.io/Logging_0188/artfynd/A 54110-2024 artfynd.xlsx", "A 54110-2024")</f>
        <v/>
      </c>
      <c r="T160">
        <f>HYPERLINK("https://klasma.github.io/Logging_0188/kartor/A 54110-2024 karta.png", "A 54110-2024")</f>
        <v/>
      </c>
      <c r="V160">
        <f>HYPERLINK("https://klasma.github.io/Logging_0188/klagomål/A 54110-2024 FSC-klagomål.docx", "A 54110-2024")</f>
        <v/>
      </c>
      <c r="W160">
        <f>HYPERLINK("https://klasma.github.io/Logging_0188/klagomålsmail/A 54110-2024 FSC-klagomål mail.docx", "A 54110-2024")</f>
        <v/>
      </c>
      <c r="X160">
        <f>HYPERLINK("https://klasma.github.io/Logging_0188/tillsyn/A 54110-2024 tillsynsbegäran.docx", "A 54110-2024")</f>
        <v/>
      </c>
      <c r="Y160">
        <f>HYPERLINK("https://klasma.github.io/Logging_0188/tillsynsmail/A 54110-2024 tillsynsbegäran mail.docx", "A 54110-2024")</f>
        <v/>
      </c>
    </row>
    <row r="161" ht="15" customHeight="1">
      <c r="A161" t="inlineStr">
        <is>
          <t>A 25270-2025</t>
        </is>
      </c>
      <c r="B161" s="1" t="n">
        <v>45800</v>
      </c>
      <c r="C161" s="1" t="n">
        <v>46050</v>
      </c>
      <c r="D161" t="inlineStr">
        <is>
          <t>STOCKHOLMS LÄN</t>
        </is>
      </c>
      <c r="E161" t="inlineStr">
        <is>
          <t>NORRTÄLJE</t>
        </is>
      </c>
      <c r="F161" t="inlineStr">
        <is>
          <t>Övriga Aktiebolag</t>
        </is>
      </c>
      <c r="G161" t="n">
        <v>30</v>
      </c>
      <c r="H161" t="n">
        <v>0</v>
      </c>
      <c r="I161" t="n">
        <v>2</v>
      </c>
      <c r="J161" t="n">
        <v>1</v>
      </c>
      <c r="K161" t="n">
        <v>0</v>
      </c>
      <c r="L161" t="n">
        <v>0</v>
      </c>
      <c r="M161" t="n">
        <v>0</v>
      </c>
      <c r="N161" t="n">
        <v>0</v>
      </c>
      <c r="O161" t="n">
        <v>1</v>
      </c>
      <c r="P161" t="n">
        <v>0</v>
      </c>
      <c r="Q161" t="n">
        <v>3</v>
      </c>
      <c r="R161" s="2" t="inlineStr">
        <is>
          <t>Kandelabersvamp
Fjällig taggsvamp s.str.
Skarp dropptaggsvamp</t>
        </is>
      </c>
      <c r="S161">
        <f>HYPERLINK("https://klasma.github.io/Logging_0188/artfynd/A 25270-2025 artfynd.xlsx", "A 25270-2025")</f>
        <v/>
      </c>
      <c r="T161">
        <f>HYPERLINK("https://klasma.github.io/Logging_0188/kartor/A 25270-2025 karta.png", "A 25270-2025")</f>
        <v/>
      </c>
      <c r="V161">
        <f>HYPERLINK("https://klasma.github.io/Logging_0188/klagomål/A 25270-2025 FSC-klagomål.docx", "A 25270-2025")</f>
        <v/>
      </c>
      <c r="W161">
        <f>HYPERLINK("https://klasma.github.io/Logging_0188/klagomålsmail/A 25270-2025 FSC-klagomål mail.docx", "A 25270-2025")</f>
        <v/>
      </c>
      <c r="X161">
        <f>HYPERLINK("https://klasma.github.io/Logging_0188/tillsyn/A 25270-2025 tillsynsbegäran.docx", "A 25270-2025")</f>
        <v/>
      </c>
      <c r="Y161">
        <f>HYPERLINK("https://klasma.github.io/Logging_0188/tillsynsmail/A 25270-2025 tillsynsbegäran mail.docx", "A 25270-2025")</f>
        <v/>
      </c>
    </row>
    <row r="162" ht="15" customHeight="1">
      <c r="A162" t="inlineStr">
        <is>
          <t>A 33166-2023</t>
        </is>
      </c>
      <c r="B162" s="1" t="n">
        <v>45126</v>
      </c>
      <c r="C162" s="1" t="n">
        <v>46050</v>
      </c>
      <c r="D162" t="inlineStr">
        <is>
          <t>STOCKHOLMS LÄN</t>
        </is>
      </c>
      <c r="E162" t="inlineStr">
        <is>
          <t>VÄRMDÖ</t>
        </is>
      </c>
      <c r="G162" t="n">
        <v>3.8</v>
      </c>
      <c r="H162" t="n">
        <v>0</v>
      </c>
      <c r="I162" t="n">
        <v>0</v>
      </c>
      <c r="J162" t="n">
        <v>3</v>
      </c>
      <c r="K162" t="n">
        <v>0</v>
      </c>
      <c r="L162" t="n">
        <v>0</v>
      </c>
      <c r="M162" t="n">
        <v>0</v>
      </c>
      <c r="N162" t="n">
        <v>0</v>
      </c>
      <c r="O162" t="n">
        <v>3</v>
      </c>
      <c r="P162" t="n">
        <v>0</v>
      </c>
      <c r="Q162" t="n">
        <v>3</v>
      </c>
      <c r="R162" s="2" t="inlineStr">
        <is>
          <t>Backklöver
Gullklöver
Vippärt</t>
        </is>
      </c>
      <c r="S162">
        <f>HYPERLINK("https://klasma.github.io/Logging_0120/artfynd/A 33166-2023 artfynd.xlsx", "A 33166-2023")</f>
        <v/>
      </c>
      <c r="T162">
        <f>HYPERLINK("https://klasma.github.io/Logging_0120/kartor/A 33166-2023 karta.png", "A 33166-2023")</f>
        <v/>
      </c>
      <c r="V162">
        <f>HYPERLINK("https://klasma.github.io/Logging_0120/klagomål/A 33166-2023 FSC-klagomål.docx", "A 33166-2023")</f>
        <v/>
      </c>
      <c r="W162">
        <f>HYPERLINK("https://klasma.github.io/Logging_0120/klagomålsmail/A 33166-2023 FSC-klagomål mail.docx", "A 33166-2023")</f>
        <v/>
      </c>
      <c r="X162">
        <f>HYPERLINK("https://klasma.github.io/Logging_0120/tillsyn/A 33166-2023 tillsynsbegäran.docx", "A 33166-2023")</f>
        <v/>
      </c>
      <c r="Y162">
        <f>HYPERLINK("https://klasma.github.io/Logging_0120/tillsynsmail/A 33166-2023 tillsynsbegäran mail.docx", "A 33166-2023")</f>
        <v/>
      </c>
    </row>
    <row r="163" ht="15" customHeight="1">
      <c r="A163" t="inlineStr">
        <is>
          <t>A 17342-2025</t>
        </is>
      </c>
      <c r="B163" s="1" t="n">
        <v>45756</v>
      </c>
      <c r="C163" s="1" t="n">
        <v>46050</v>
      </c>
      <c r="D163" t="inlineStr">
        <is>
          <t>STOCKHOLMS LÄN</t>
        </is>
      </c>
      <c r="E163" t="inlineStr">
        <is>
          <t>VALLENTUNA</t>
        </is>
      </c>
      <c r="F163" t="inlineStr">
        <is>
          <t>Övriga Aktiebolag</t>
        </is>
      </c>
      <c r="G163" t="n">
        <v>3.9</v>
      </c>
      <c r="H163" t="n">
        <v>1</v>
      </c>
      <c r="I163" t="n">
        <v>2</v>
      </c>
      <c r="J163" t="n">
        <v>1</v>
      </c>
      <c r="K163" t="n">
        <v>0</v>
      </c>
      <c r="L163" t="n">
        <v>0</v>
      </c>
      <c r="M163" t="n">
        <v>0</v>
      </c>
      <c r="N163" t="n">
        <v>0</v>
      </c>
      <c r="O163" t="n">
        <v>1</v>
      </c>
      <c r="P163" t="n">
        <v>0</v>
      </c>
      <c r="Q163" t="n">
        <v>3</v>
      </c>
      <c r="R163" s="2" t="inlineStr">
        <is>
          <t>Spillkråka
Mindre märgborre
Vågbandad barkbock</t>
        </is>
      </c>
      <c r="S163">
        <f>HYPERLINK("https://klasma.github.io/Logging_0115/artfynd/A 17342-2025 artfynd.xlsx", "A 17342-2025")</f>
        <v/>
      </c>
      <c r="T163">
        <f>HYPERLINK("https://klasma.github.io/Logging_0115/kartor/A 17342-2025 karta.png", "A 17342-2025")</f>
        <v/>
      </c>
      <c r="V163">
        <f>HYPERLINK("https://klasma.github.io/Logging_0115/klagomål/A 17342-2025 FSC-klagomål.docx", "A 17342-2025")</f>
        <v/>
      </c>
      <c r="W163">
        <f>HYPERLINK("https://klasma.github.io/Logging_0115/klagomålsmail/A 17342-2025 FSC-klagomål mail.docx", "A 17342-2025")</f>
        <v/>
      </c>
      <c r="X163">
        <f>HYPERLINK("https://klasma.github.io/Logging_0115/tillsyn/A 17342-2025 tillsynsbegäran.docx", "A 17342-2025")</f>
        <v/>
      </c>
      <c r="Y163">
        <f>HYPERLINK("https://klasma.github.io/Logging_0115/tillsynsmail/A 17342-2025 tillsynsbegäran mail.docx", "A 17342-2025")</f>
        <v/>
      </c>
      <c r="Z163">
        <f>HYPERLINK("https://klasma.github.io/Logging_0115/fåglar/A 17342-2025 prioriterade fågelarter.docx", "A 17342-2025")</f>
        <v/>
      </c>
    </row>
    <row r="164" ht="15" customHeight="1">
      <c r="A164" t="inlineStr">
        <is>
          <t>A 29185-2025</t>
        </is>
      </c>
      <c r="B164" s="1" t="n">
        <v>45821</v>
      </c>
      <c r="C164" s="1" t="n">
        <v>46050</v>
      </c>
      <c r="D164" t="inlineStr">
        <is>
          <t>STOCKHOLMS LÄN</t>
        </is>
      </c>
      <c r="E164" t="inlineStr">
        <is>
          <t>NORRTÄLJE</t>
        </is>
      </c>
      <c r="F164" t="inlineStr">
        <is>
          <t>Övriga Aktiebolag</t>
        </is>
      </c>
      <c r="G164" t="n">
        <v>8.5</v>
      </c>
      <c r="H164" t="n">
        <v>2</v>
      </c>
      <c r="I164" t="n">
        <v>1</v>
      </c>
      <c r="J164" t="n">
        <v>0</v>
      </c>
      <c r="K164" t="n">
        <v>0</v>
      </c>
      <c r="L164" t="n">
        <v>0</v>
      </c>
      <c r="M164" t="n">
        <v>0</v>
      </c>
      <c r="N164" t="n">
        <v>0</v>
      </c>
      <c r="O164" t="n">
        <v>0</v>
      </c>
      <c r="P164" t="n">
        <v>0</v>
      </c>
      <c r="Q164" t="n">
        <v>3</v>
      </c>
      <c r="R164" s="2" t="inlineStr">
        <is>
          <t>Vårärt
Fläcknycklar
Blåsippa</t>
        </is>
      </c>
      <c r="S164">
        <f>HYPERLINK("https://klasma.github.io/Logging_0188/artfynd/A 29185-2025 artfynd.xlsx", "A 29185-2025")</f>
        <v/>
      </c>
      <c r="T164">
        <f>HYPERLINK("https://klasma.github.io/Logging_0188/kartor/A 29185-2025 karta.png", "A 29185-2025")</f>
        <v/>
      </c>
      <c r="V164">
        <f>HYPERLINK("https://klasma.github.io/Logging_0188/klagomål/A 29185-2025 FSC-klagomål.docx", "A 29185-2025")</f>
        <v/>
      </c>
      <c r="W164">
        <f>HYPERLINK("https://klasma.github.io/Logging_0188/klagomålsmail/A 29185-2025 FSC-klagomål mail.docx", "A 29185-2025")</f>
        <v/>
      </c>
      <c r="X164">
        <f>HYPERLINK("https://klasma.github.io/Logging_0188/tillsyn/A 29185-2025 tillsynsbegäran.docx", "A 29185-2025")</f>
        <v/>
      </c>
      <c r="Y164">
        <f>HYPERLINK("https://klasma.github.io/Logging_0188/tillsynsmail/A 29185-2025 tillsynsbegäran mail.docx", "A 29185-2025")</f>
        <v/>
      </c>
    </row>
    <row r="165" ht="15" customHeight="1">
      <c r="A165" t="inlineStr">
        <is>
          <t>A 31577-2025</t>
        </is>
      </c>
      <c r="B165" s="1" t="n">
        <v>45833.67671296297</v>
      </c>
      <c r="C165" s="1" t="n">
        <v>46050</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34717-2025</t>
        </is>
      </c>
      <c r="B166" s="1" t="n">
        <v>45848</v>
      </c>
      <c r="C166" s="1" t="n">
        <v>46050</v>
      </c>
      <c r="D166" t="inlineStr">
        <is>
          <t>STOCKHOLMS LÄN</t>
        </is>
      </c>
      <c r="E166" t="inlineStr">
        <is>
          <t>ÖSTERÅKER</t>
        </is>
      </c>
      <c r="G166" t="n">
        <v>3.8</v>
      </c>
      <c r="H166" t="n">
        <v>3</v>
      </c>
      <c r="I166" t="n">
        <v>0</v>
      </c>
      <c r="J166" t="n">
        <v>1</v>
      </c>
      <c r="K166" t="n">
        <v>0</v>
      </c>
      <c r="L166" t="n">
        <v>0</v>
      </c>
      <c r="M166" t="n">
        <v>0</v>
      </c>
      <c r="N166" t="n">
        <v>0</v>
      </c>
      <c r="O166" t="n">
        <v>1</v>
      </c>
      <c r="P166" t="n">
        <v>0</v>
      </c>
      <c r="Q166" t="n">
        <v>3</v>
      </c>
      <c r="R166" s="2" t="inlineStr">
        <is>
          <t>Nordfladdermus
Dvärgpipistrell
Större brunfladdermus</t>
        </is>
      </c>
      <c r="S166">
        <f>HYPERLINK("https://klasma.github.io/Logging_0117/artfynd/A 34717-2025 artfynd.xlsx", "A 34717-2025")</f>
        <v/>
      </c>
      <c r="T166">
        <f>HYPERLINK("https://klasma.github.io/Logging_0117/kartor/A 34717-2025 karta.png", "A 34717-2025")</f>
        <v/>
      </c>
      <c r="V166">
        <f>HYPERLINK("https://klasma.github.io/Logging_0117/klagomål/A 34717-2025 FSC-klagomål.docx", "A 34717-2025")</f>
        <v/>
      </c>
      <c r="W166">
        <f>HYPERLINK("https://klasma.github.io/Logging_0117/klagomålsmail/A 34717-2025 FSC-klagomål mail.docx", "A 34717-2025")</f>
        <v/>
      </c>
      <c r="X166">
        <f>HYPERLINK("https://klasma.github.io/Logging_0117/tillsyn/A 34717-2025 tillsynsbegäran.docx", "A 34717-2025")</f>
        <v/>
      </c>
      <c r="Y166">
        <f>HYPERLINK("https://klasma.github.io/Logging_0117/tillsynsmail/A 34717-2025 tillsynsbegäran mail.docx", "A 34717-2025")</f>
        <v/>
      </c>
    </row>
    <row r="167" ht="15" customHeight="1">
      <c r="A167" t="inlineStr">
        <is>
          <t>A 2851-2023</t>
        </is>
      </c>
      <c r="B167" s="1" t="n">
        <v>44945</v>
      </c>
      <c r="C167" s="1" t="n">
        <v>46050</v>
      </c>
      <c r="D167" t="inlineStr">
        <is>
          <t>STOCKHOLMS LÄN</t>
        </is>
      </c>
      <c r="E167" t="inlineStr">
        <is>
          <t>NORRTÄLJE</t>
        </is>
      </c>
      <c r="G167" t="n">
        <v>5.8</v>
      </c>
      <c r="H167" t="n">
        <v>1</v>
      </c>
      <c r="I167" t="n">
        <v>1</v>
      </c>
      <c r="J167" t="n">
        <v>2</v>
      </c>
      <c r="K167" t="n">
        <v>0</v>
      </c>
      <c r="L167" t="n">
        <v>0</v>
      </c>
      <c r="M167" t="n">
        <v>0</v>
      </c>
      <c r="N167" t="n">
        <v>0</v>
      </c>
      <c r="O167" t="n">
        <v>2</v>
      </c>
      <c r="P167" t="n">
        <v>0</v>
      </c>
      <c r="Q167" t="n">
        <v>3</v>
      </c>
      <c r="R167" s="2" t="inlineStr">
        <is>
          <t>Gulsparv
Vedflikmossa
Terpentinmossa</t>
        </is>
      </c>
      <c r="S167">
        <f>HYPERLINK("https://klasma.github.io/Logging_0188/artfynd/A 2851-2023 artfynd.xlsx", "A 2851-2023")</f>
        <v/>
      </c>
      <c r="T167">
        <f>HYPERLINK("https://klasma.github.io/Logging_0188/kartor/A 2851-2023 karta.png", "A 2851-2023")</f>
        <v/>
      </c>
      <c r="V167">
        <f>HYPERLINK("https://klasma.github.io/Logging_0188/klagomål/A 2851-2023 FSC-klagomål.docx", "A 2851-2023")</f>
        <v/>
      </c>
      <c r="W167">
        <f>HYPERLINK("https://klasma.github.io/Logging_0188/klagomålsmail/A 2851-2023 FSC-klagomål mail.docx", "A 2851-2023")</f>
        <v/>
      </c>
      <c r="X167">
        <f>HYPERLINK("https://klasma.github.io/Logging_0188/tillsyn/A 2851-2023 tillsynsbegäran.docx", "A 2851-2023")</f>
        <v/>
      </c>
      <c r="Y167">
        <f>HYPERLINK("https://klasma.github.io/Logging_0188/tillsynsmail/A 2851-2023 tillsynsbegäran mail.docx", "A 2851-2023")</f>
        <v/>
      </c>
      <c r="Z167">
        <f>HYPERLINK("https://klasma.github.io/Logging_0188/fåglar/A 2851-2023 prioriterade fågelarter.docx", "A 2851-2023")</f>
        <v/>
      </c>
    </row>
    <row r="168" ht="15" customHeight="1">
      <c r="A168" t="inlineStr">
        <is>
          <t>A 9956-2021</t>
        </is>
      </c>
      <c r="B168" s="1" t="n">
        <v>44252</v>
      </c>
      <c r="C168" s="1" t="n">
        <v>46050</v>
      </c>
      <c r="D168" t="inlineStr">
        <is>
          <t>STOCKHOLMS LÄN</t>
        </is>
      </c>
      <c r="E168" t="inlineStr">
        <is>
          <t>UPPLANDS-BRO</t>
        </is>
      </c>
      <c r="F168" t="inlineStr">
        <is>
          <t>Kyrkan</t>
        </is>
      </c>
      <c r="G168" t="n">
        <v>3.4</v>
      </c>
      <c r="H168" t="n">
        <v>0</v>
      </c>
      <c r="I168" t="n">
        <v>1</v>
      </c>
      <c r="J168" t="n">
        <v>2</v>
      </c>
      <c r="K168" t="n">
        <v>0</v>
      </c>
      <c r="L168" t="n">
        <v>0</v>
      </c>
      <c r="M168" t="n">
        <v>0</v>
      </c>
      <c r="N168" t="n">
        <v>0</v>
      </c>
      <c r="O168" t="n">
        <v>2</v>
      </c>
      <c r="P168" t="n">
        <v>0</v>
      </c>
      <c r="Q168" t="n">
        <v>3</v>
      </c>
      <c r="R168" s="2" t="inlineStr">
        <is>
          <t>Dofttaggsvamp
Orange taggsvamp
Svavelriska</t>
        </is>
      </c>
      <c r="S168">
        <f>HYPERLINK("https://klasma.github.io/Logging_0139/artfynd/A 9956-2021 artfynd.xlsx", "A 9956-2021")</f>
        <v/>
      </c>
      <c r="T168">
        <f>HYPERLINK("https://klasma.github.io/Logging_0139/kartor/A 9956-2021 karta.png", "A 9956-2021")</f>
        <v/>
      </c>
      <c r="V168">
        <f>HYPERLINK("https://klasma.github.io/Logging_0139/klagomål/A 9956-2021 FSC-klagomål.docx", "A 9956-2021")</f>
        <v/>
      </c>
      <c r="W168">
        <f>HYPERLINK("https://klasma.github.io/Logging_0139/klagomålsmail/A 9956-2021 FSC-klagomål mail.docx", "A 9956-2021")</f>
        <v/>
      </c>
      <c r="X168">
        <f>HYPERLINK("https://klasma.github.io/Logging_0139/tillsyn/A 9956-2021 tillsynsbegäran.docx", "A 9956-2021")</f>
        <v/>
      </c>
      <c r="Y168">
        <f>HYPERLINK("https://klasma.github.io/Logging_0139/tillsynsmail/A 9956-2021 tillsynsbegäran mail.docx", "A 9956-2021")</f>
        <v/>
      </c>
    </row>
    <row r="169" ht="15" customHeight="1">
      <c r="A169" t="inlineStr">
        <is>
          <t>A 48717-2024</t>
        </is>
      </c>
      <c r="B169" s="1" t="n">
        <v>45593</v>
      </c>
      <c r="C169" s="1" t="n">
        <v>46050</v>
      </c>
      <c r="D169" t="inlineStr">
        <is>
          <t>STOCKHOLMS LÄN</t>
        </is>
      </c>
      <c r="E169" t="inlineStr">
        <is>
          <t>VALLENTUNA</t>
        </is>
      </c>
      <c r="G169" t="n">
        <v>6.2</v>
      </c>
      <c r="H169" t="n">
        <v>1</v>
      </c>
      <c r="I169" t="n">
        <v>0</v>
      </c>
      <c r="J169" t="n">
        <v>2</v>
      </c>
      <c r="K169" t="n">
        <v>0</v>
      </c>
      <c r="L169" t="n">
        <v>0</v>
      </c>
      <c r="M169" t="n">
        <v>0</v>
      </c>
      <c r="N169" t="n">
        <v>0</v>
      </c>
      <c r="O169" t="n">
        <v>2</v>
      </c>
      <c r="P169" t="n">
        <v>0</v>
      </c>
      <c r="Q169" t="n">
        <v>3</v>
      </c>
      <c r="R169" s="2" t="inlineStr">
        <is>
          <t>Granticka
Ullticka
Kungsfågel</t>
        </is>
      </c>
      <c r="S169">
        <f>HYPERLINK("https://klasma.github.io/Logging_0115/artfynd/A 48717-2024 artfynd.xlsx", "A 48717-2024")</f>
        <v/>
      </c>
      <c r="T169">
        <f>HYPERLINK("https://klasma.github.io/Logging_0115/kartor/A 48717-2024 karta.png", "A 48717-2024")</f>
        <v/>
      </c>
      <c r="V169">
        <f>HYPERLINK("https://klasma.github.io/Logging_0115/klagomål/A 48717-2024 FSC-klagomål.docx", "A 48717-2024")</f>
        <v/>
      </c>
      <c r="W169">
        <f>HYPERLINK("https://klasma.github.io/Logging_0115/klagomålsmail/A 48717-2024 FSC-klagomål mail.docx", "A 48717-2024")</f>
        <v/>
      </c>
      <c r="X169">
        <f>HYPERLINK("https://klasma.github.io/Logging_0115/tillsyn/A 48717-2024 tillsynsbegäran.docx", "A 48717-2024")</f>
        <v/>
      </c>
      <c r="Y169">
        <f>HYPERLINK("https://klasma.github.io/Logging_0115/tillsynsmail/A 48717-2024 tillsynsbegäran mail.docx", "A 48717-2024")</f>
        <v/>
      </c>
      <c r="Z169">
        <f>HYPERLINK("https://klasma.github.io/Logging_0115/fåglar/A 48717-2024 prioriterade fågelarter.docx", "A 48717-2024")</f>
        <v/>
      </c>
    </row>
    <row r="170" ht="15" customHeight="1">
      <c r="A170" t="inlineStr">
        <is>
          <t>A 14220-2025</t>
        </is>
      </c>
      <c r="B170" s="1" t="n">
        <v>45740</v>
      </c>
      <c r="C170" s="1" t="n">
        <v>46050</v>
      </c>
      <c r="D170" t="inlineStr">
        <is>
          <t>STOCKHOLMS LÄN</t>
        </is>
      </c>
      <c r="E170" t="inlineStr">
        <is>
          <t>BOTKYRKA</t>
        </is>
      </c>
      <c r="G170" t="n">
        <v>3.3</v>
      </c>
      <c r="H170" t="n">
        <v>1</v>
      </c>
      <c r="I170" t="n">
        <v>1</v>
      </c>
      <c r="J170" t="n">
        <v>1</v>
      </c>
      <c r="K170" t="n">
        <v>1</v>
      </c>
      <c r="L170" t="n">
        <v>0</v>
      </c>
      <c r="M170" t="n">
        <v>0</v>
      </c>
      <c r="N170" t="n">
        <v>0</v>
      </c>
      <c r="O170" t="n">
        <v>2</v>
      </c>
      <c r="P170" t="n">
        <v>1</v>
      </c>
      <c r="Q170" t="n">
        <v>3</v>
      </c>
      <c r="R170" s="2" t="inlineStr">
        <is>
          <t>Knärot
Tallticka
Tibast</t>
        </is>
      </c>
      <c r="S170">
        <f>HYPERLINK("https://klasma.github.io/Logging_0127/artfynd/A 14220-2025 artfynd.xlsx", "A 14220-2025")</f>
        <v/>
      </c>
      <c r="T170">
        <f>HYPERLINK("https://klasma.github.io/Logging_0127/kartor/A 14220-2025 karta.png", "A 14220-2025")</f>
        <v/>
      </c>
      <c r="U170">
        <f>HYPERLINK("https://klasma.github.io/Logging_0127/knärot/A 14220-2025 karta knärot.png", "A 14220-2025")</f>
        <v/>
      </c>
      <c r="V170">
        <f>HYPERLINK("https://klasma.github.io/Logging_0127/klagomål/A 14220-2025 FSC-klagomål.docx", "A 14220-2025")</f>
        <v/>
      </c>
      <c r="W170">
        <f>HYPERLINK("https://klasma.github.io/Logging_0127/klagomålsmail/A 14220-2025 FSC-klagomål mail.docx", "A 14220-2025")</f>
        <v/>
      </c>
      <c r="X170">
        <f>HYPERLINK("https://klasma.github.io/Logging_0127/tillsyn/A 14220-2025 tillsynsbegäran.docx", "A 14220-2025")</f>
        <v/>
      </c>
      <c r="Y170">
        <f>HYPERLINK("https://klasma.github.io/Logging_0127/tillsynsmail/A 14220-2025 tillsynsbegäran mail.docx", "A 14220-2025")</f>
        <v/>
      </c>
    </row>
    <row r="171" ht="15" customHeight="1">
      <c r="A171" t="inlineStr">
        <is>
          <t>A 34524-2025</t>
        </is>
      </c>
      <c r="B171" s="1" t="n">
        <v>45847.47685185185</v>
      </c>
      <c r="C171" s="1" t="n">
        <v>46050</v>
      </c>
      <c r="D171" t="inlineStr">
        <is>
          <t>STOCKHOLMS LÄN</t>
        </is>
      </c>
      <c r="E171" t="inlineStr">
        <is>
          <t>NORRTÄLJE</t>
        </is>
      </c>
      <c r="G171" t="n">
        <v>3.3</v>
      </c>
      <c r="H171" t="n">
        <v>0</v>
      </c>
      <c r="I171" t="n">
        <v>1</v>
      </c>
      <c r="J171" t="n">
        <v>2</v>
      </c>
      <c r="K171" t="n">
        <v>0</v>
      </c>
      <c r="L171" t="n">
        <v>0</v>
      </c>
      <c r="M171" t="n">
        <v>0</v>
      </c>
      <c r="N171" t="n">
        <v>0</v>
      </c>
      <c r="O171" t="n">
        <v>2</v>
      </c>
      <c r="P171" t="n">
        <v>0</v>
      </c>
      <c r="Q171" t="n">
        <v>3</v>
      </c>
      <c r="R171" s="2" t="inlineStr">
        <is>
          <t>Tallticka
Vedtrappmossa
Kornknutmossa</t>
        </is>
      </c>
      <c r="S171">
        <f>HYPERLINK("https://klasma.github.io/Logging_0188/artfynd/A 34524-2025 artfynd.xlsx", "A 34524-2025")</f>
        <v/>
      </c>
      <c r="T171">
        <f>HYPERLINK("https://klasma.github.io/Logging_0188/kartor/A 34524-2025 karta.png", "A 34524-2025")</f>
        <v/>
      </c>
      <c r="V171">
        <f>HYPERLINK("https://klasma.github.io/Logging_0188/klagomål/A 34524-2025 FSC-klagomål.docx", "A 34524-2025")</f>
        <v/>
      </c>
      <c r="W171">
        <f>HYPERLINK("https://klasma.github.io/Logging_0188/klagomålsmail/A 34524-2025 FSC-klagomål mail.docx", "A 34524-2025")</f>
        <v/>
      </c>
      <c r="X171">
        <f>HYPERLINK("https://klasma.github.io/Logging_0188/tillsyn/A 34524-2025 tillsynsbegäran.docx", "A 34524-2025")</f>
        <v/>
      </c>
      <c r="Y171">
        <f>HYPERLINK("https://klasma.github.io/Logging_0188/tillsynsmail/A 34524-2025 tillsynsbegäran mail.docx", "A 34524-2025")</f>
        <v/>
      </c>
    </row>
    <row r="172" ht="15" customHeight="1">
      <c r="A172" t="inlineStr">
        <is>
          <t>A 36131-2025</t>
        </is>
      </c>
      <c r="B172" s="1" t="n">
        <v>45866.62395833333</v>
      </c>
      <c r="C172" s="1" t="n">
        <v>46050</v>
      </c>
      <c r="D172" t="inlineStr">
        <is>
          <t>STOCKHOLMS LÄN</t>
        </is>
      </c>
      <c r="E172" t="inlineStr">
        <is>
          <t>NYNÄSHAMN</t>
        </is>
      </c>
      <c r="G172" t="n">
        <v>5.2</v>
      </c>
      <c r="H172" t="n">
        <v>1</v>
      </c>
      <c r="I172" t="n">
        <v>1</v>
      </c>
      <c r="J172" t="n">
        <v>1</v>
      </c>
      <c r="K172" t="n">
        <v>0</v>
      </c>
      <c r="L172" t="n">
        <v>0</v>
      </c>
      <c r="M172" t="n">
        <v>0</v>
      </c>
      <c r="N172" t="n">
        <v>0</v>
      </c>
      <c r="O172" t="n">
        <v>1</v>
      </c>
      <c r="P172" t="n">
        <v>0</v>
      </c>
      <c r="Q172" t="n">
        <v>3</v>
      </c>
      <c r="R172" s="2" t="inlineStr">
        <is>
          <t>Vedskivlav
Fällmossa
Blåsippa</t>
        </is>
      </c>
      <c r="S172">
        <f>HYPERLINK("https://klasma.github.io/Logging_0192/artfynd/A 36131-2025 artfynd.xlsx", "A 36131-2025")</f>
        <v/>
      </c>
      <c r="T172">
        <f>HYPERLINK("https://klasma.github.io/Logging_0192/kartor/A 36131-2025 karta.png", "A 36131-2025")</f>
        <v/>
      </c>
      <c r="V172">
        <f>HYPERLINK("https://klasma.github.io/Logging_0192/klagomål/A 36131-2025 FSC-klagomål.docx", "A 36131-2025")</f>
        <v/>
      </c>
      <c r="W172">
        <f>HYPERLINK("https://klasma.github.io/Logging_0192/klagomålsmail/A 36131-2025 FSC-klagomål mail.docx", "A 36131-2025")</f>
        <v/>
      </c>
      <c r="X172">
        <f>HYPERLINK("https://klasma.github.io/Logging_0192/tillsyn/A 36131-2025 tillsynsbegäran.docx", "A 36131-2025")</f>
        <v/>
      </c>
      <c r="Y172">
        <f>HYPERLINK("https://klasma.github.io/Logging_0192/tillsynsmail/A 36131-2025 tillsynsbegäran mail.docx", "A 36131-2025")</f>
        <v/>
      </c>
    </row>
    <row r="173" ht="15" customHeight="1">
      <c r="A173" t="inlineStr">
        <is>
          <t>A 49850-2025</t>
        </is>
      </c>
      <c r="B173" s="1" t="n">
        <v>45940.48542824074</v>
      </c>
      <c r="C173" s="1" t="n">
        <v>46050</v>
      </c>
      <c r="D173" t="inlineStr">
        <is>
          <t>STOCKHOLMS LÄN</t>
        </is>
      </c>
      <c r="E173" t="inlineStr">
        <is>
          <t>SÖDERTÄLJE</t>
        </is>
      </c>
      <c r="F173" t="inlineStr">
        <is>
          <t>Sveaskog</t>
        </is>
      </c>
      <c r="G173" t="n">
        <v>4.1</v>
      </c>
      <c r="H173" t="n">
        <v>2</v>
      </c>
      <c r="I173" t="n">
        <v>1</v>
      </c>
      <c r="J173" t="n">
        <v>0</v>
      </c>
      <c r="K173" t="n">
        <v>0</v>
      </c>
      <c r="L173" t="n">
        <v>0</v>
      </c>
      <c r="M173" t="n">
        <v>0</v>
      </c>
      <c r="N173" t="n">
        <v>0</v>
      </c>
      <c r="O173" t="n">
        <v>0</v>
      </c>
      <c r="P173" t="n">
        <v>0</v>
      </c>
      <c r="Q173" t="n">
        <v>3</v>
      </c>
      <c r="R173" s="2" t="inlineStr">
        <is>
          <t>Strutbräken
Blåsippa
Mattlummer</t>
        </is>
      </c>
      <c r="S173">
        <f>HYPERLINK("https://klasma.github.io/Logging_0181/artfynd/A 49850-2025 artfynd.xlsx", "A 49850-2025")</f>
        <v/>
      </c>
      <c r="T173">
        <f>HYPERLINK("https://klasma.github.io/Logging_0181/kartor/A 49850-2025 karta.png", "A 49850-2025")</f>
        <v/>
      </c>
      <c r="V173">
        <f>HYPERLINK("https://klasma.github.io/Logging_0181/klagomål/A 49850-2025 FSC-klagomål.docx", "A 49850-2025")</f>
        <v/>
      </c>
      <c r="W173">
        <f>HYPERLINK("https://klasma.github.io/Logging_0181/klagomålsmail/A 49850-2025 FSC-klagomål mail.docx", "A 49850-2025")</f>
        <v/>
      </c>
      <c r="X173">
        <f>HYPERLINK("https://klasma.github.io/Logging_0181/tillsyn/A 49850-2025 tillsynsbegäran.docx", "A 49850-2025")</f>
        <v/>
      </c>
      <c r="Y173">
        <f>HYPERLINK("https://klasma.github.io/Logging_0181/tillsynsmail/A 49850-2025 tillsynsbegäran mail.docx", "A 49850-2025")</f>
        <v/>
      </c>
    </row>
    <row r="174" ht="15" customHeight="1">
      <c r="A174" t="inlineStr">
        <is>
          <t>A 52726-2025</t>
        </is>
      </c>
      <c r="B174" s="1" t="n">
        <v>45957.34722222222</v>
      </c>
      <c r="C174" s="1" t="n">
        <v>46050</v>
      </c>
      <c r="D174" t="inlineStr">
        <is>
          <t>STOCKHOLMS LÄN</t>
        </is>
      </c>
      <c r="E174" t="inlineStr">
        <is>
          <t>NORRTÄLJE</t>
        </is>
      </c>
      <c r="G174" t="n">
        <v>4.7</v>
      </c>
      <c r="H174" t="n">
        <v>2</v>
      </c>
      <c r="I174" t="n">
        <v>2</v>
      </c>
      <c r="J174" t="n">
        <v>0</v>
      </c>
      <c r="K174" t="n">
        <v>0</v>
      </c>
      <c r="L174" t="n">
        <v>0</v>
      </c>
      <c r="M174" t="n">
        <v>0</v>
      </c>
      <c r="N174" t="n">
        <v>0</v>
      </c>
      <c r="O174" t="n">
        <v>0</v>
      </c>
      <c r="P174" t="n">
        <v>0</v>
      </c>
      <c r="Q174" t="n">
        <v>3</v>
      </c>
      <c r="R174" s="2" t="inlineStr">
        <is>
          <t>Grön sköldmossa
Vågbandad barkbock
Tjäder</t>
        </is>
      </c>
      <c r="S174">
        <f>HYPERLINK("https://klasma.github.io/Logging_0188/artfynd/A 52726-2025 artfynd.xlsx", "A 52726-2025")</f>
        <v/>
      </c>
      <c r="T174">
        <f>HYPERLINK("https://klasma.github.io/Logging_0188/kartor/A 52726-2025 karta.png", "A 52726-2025")</f>
        <v/>
      </c>
      <c r="V174">
        <f>HYPERLINK("https://klasma.github.io/Logging_0188/klagomål/A 52726-2025 FSC-klagomål.docx", "A 52726-2025")</f>
        <v/>
      </c>
      <c r="W174">
        <f>HYPERLINK("https://klasma.github.io/Logging_0188/klagomålsmail/A 52726-2025 FSC-klagomål mail.docx", "A 52726-2025")</f>
        <v/>
      </c>
      <c r="X174">
        <f>HYPERLINK("https://klasma.github.io/Logging_0188/tillsyn/A 52726-2025 tillsynsbegäran.docx", "A 52726-2025")</f>
        <v/>
      </c>
      <c r="Y174">
        <f>HYPERLINK("https://klasma.github.io/Logging_0188/tillsynsmail/A 52726-2025 tillsynsbegäran mail.docx", "A 52726-2025")</f>
        <v/>
      </c>
      <c r="Z174">
        <f>HYPERLINK("https://klasma.github.io/Logging_0188/fåglar/A 52726-2025 prioriterade fågelarter.docx", "A 52726-2025")</f>
        <v/>
      </c>
    </row>
    <row r="175" ht="15" customHeight="1">
      <c r="A175" t="inlineStr">
        <is>
          <t>A 12620-2022</t>
        </is>
      </c>
      <c r="B175" s="1" t="n">
        <v>44638</v>
      </c>
      <c r="C175" s="1" t="n">
        <v>46050</v>
      </c>
      <c r="D175" t="inlineStr">
        <is>
          <t>STOCKHOLMS LÄN</t>
        </is>
      </c>
      <c r="E175" t="inlineStr">
        <is>
          <t>ÖSTERÅKER</t>
        </is>
      </c>
      <c r="G175" t="n">
        <v>9.4</v>
      </c>
      <c r="H175" t="n">
        <v>1</v>
      </c>
      <c r="I175" t="n">
        <v>1</v>
      </c>
      <c r="J175" t="n">
        <v>0</v>
      </c>
      <c r="K175" t="n">
        <v>1</v>
      </c>
      <c r="L175" t="n">
        <v>0</v>
      </c>
      <c r="M175" t="n">
        <v>0</v>
      </c>
      <c r="N175" t="n">
        <v>0</v>
      </c>
      <c r="O175" t="n">
        <v>1</v>
      </c>
      <c r="P175" t="n">
        <v>1</v>
      </c>
      <c r="Q175" t="n">
        <v>3</v>
      </c>
      <c r="R175" s="2" t="inlineStr">
        <is>
          <t>Taggfingersvamp
Fällmossa
Blåsippa</t>
        </is>
      </c>
      <c r="S175">
        <f>HYPERLINK("https://klasma.github.io/Logging_0117/artfynd/A 12620-2022 artfynd.xlsx", "A 12620-2022")</f>
        <v/>
      </c>
      <c r="T175">
        <f>HYPERLINK("https://klasma.github.io/Logging_0117/kartor/A 12620-2022 karta.png", "A 12620-2022")</f>
        <v/>
      </c>
      <c r="V175">
        <f>HYPERLINK("https://klasma.github.io/Logging_0117/klagomål/A 12620-2022 FSC-klagomål.docx", "A 12620-2022")</f>
        <v/>
      </c>
      <c r="W175">
        <f>HYPERLINK("https://klasma.github.io/Logging_0117/klagomålsmail/A 12620-2022 FSC-klagomål mail.docx", "A 12620-2022")</f>
        <v/>
      </c>
      <c r="X175">
        <f>HYPERLINK("https://klasma.github.io/Logging_0117/tillsyn/A 12620-2022 tillsynsbegäran.docx", "A 12620-2022")</f>
        <v/>
      </c>
      <c r="Y175">
        <f>HYPERLINK("https://klasma.github.io/Logging_0117/tillsynsmail/A 12620-2022 tillsynsbegäran mail.docx", "A 12620-2022")</f>
        <v/>
      </c>
    </row>
    <row r="176" ht="15" customHeight="1">
      <c r="A176" t="inlineStr">
        <is>
          <t>A 27870-2022</t>
        </is>
      </c>
      <c r="B176" s="1" t="n">
        <v>44743.64592592593</v>
      </c>
      <c r="C176" s="1" t="n">
        <v>46050</v>
      </c>
      <c r="D176" t="inlineStr">
        <is>
          <t>STOCKHOLMS LÄN</t>
        </is>
      </c>
      <c r="E176" t="inlineStr">
        <is>
          <t>NORRTÄLJE</t>
        </is>
      </c>
      <c r="F176" t="inlineStr">
        <is>
          <t>Holmen skog AB</t>
        </is>
      </c>
      <c r="G176" t="n">
        <v>1.8</v>
      </c>
      <c r="H176" t="n">
        <v>3</v>
      </c>
      <c r="I176" t="n">
        <v>0</v>
      </c>
      <c r="J176" t="n">
        <v>1</v>
      </c>
      <c r="K176" t="n">
        <v>0</v>
      </c>
      <c r="L176" t="n">
        <v>0</v>
      </c>
      <c r="M176" t="n">
        <v>0</v>
      </c>
      <c r="N176" t="n">
        <v>0</v>
      </c>
      <c r="O176" t="n">
        <v>1</v>
      </c>
      <c r="P176" t="n">
        <v>0</v>
      </c>
      <c r="Q176" t="n">
        <v>3</v>
      </c>
      <c r="R176" s="2" t="inlineStr">
        <is>
          <t>Nordfladdermus
Dvärgpipistrell
Större brunfladdermus</t>
        </is>
      </c>
      <c r="S176">
        <f>HYPERLINK("https://klasma.github.io/Logging_0188/artfynd/A 27870-2022 artfynd.xlsx", "A 27870-2022")</f>
        <v/>
      </c>
      <c r="T176">
        <f>HYPERLINK("https://klasma.github.io/Logging_0188/kartor/A 27870-2022 karta.png", "A 27870-2022")</f>
        <v/>
      </c>
      <c r="V176">
        <f>HYPERLINK("https://klasma.github.io/Logging_0188/klagomål/A 27870-2022 FSC-klagomål.docx", "A 27870-2022")</f>
        <v/>
      </c>
      <c r="W176">
        <f>HYPERLINK("https://klasma.github.io/Logging_0188/klagomålsmail/A 27870-2022 FSC-klagomål mail.docx", "A 27870-2022")</f>
        <v/>
      </c>
      <c r="X176">
        <f>HYPERLINK("https://klasma.github.io/Logging_0188/tillsyn/A 27870-2022 tillsynsbegäran.docx", "A 27870-2022")</f>
        <v/>
      </c>
      <c r="Y176">
        <f>HYPERLINK("https://klasma.github.io/Logging_0188/tillsynsmail/A 27870-2022 tillsynsbegäran mail.docx", "A 27870-2022")</f>
        <v/>
      </c>
    </row>
    <row r="177" ht="15" customHeight="1">
      <c r="A177" t="inlineStr">
        <is>
          <t>A 50618-2022</t>
        </is>
      </c>
      <c r="B177" s="1" t="n">
        <v>44866</v>
      </c>
      <c r="C177" s="1" t="n">
        <v>46050</v>
      </c>
      <c r="D177" t="inlineStr">
        <is>
          <t>STOCKHOLMS LÄN</t>
        </is>
      </c>
      <c r="E177" t="inlineStr">
        <is>
          <t>NORRTÄLJE</t>
        </is>
      </c>
      <c r="G177" t="n">
        <v>7.8</v>
      </c>
      <c r="H177" t="n">
        <v>2</v>
      </c>
      <c r="I177" t="n">
        <v>2</v>
      </c>
      <c r="J177" t="n">
        <v>0</v>
      </c>
      <c r="K177" t="n">
        <v>0</v>
      </c>
      <c r="L177" t="n">
        <v>0</v>
      </c>
      <c r="M177" t="n">
        <v>0</v>
      </c>
      <c r="N177" t="n">
        <v>0</v>
      </c>
      <c r="O177" t="n">
        <v>0</v>
      </c>
      <c r="P177" t="n">
        <v>0</v>
      </c>
      <c r="Q177" t="n">
        <v>3</v>
      </c>
      <c r="R177" s="2" t="inlineStr">
        <is>
          <t>Skogsknipprot
Vårärt
Blåsippa</t>
        </is>
      </c>
      <c r="S177">
        <f>HYPERLINK("https://klasma.github.io/Logging_0188/artfynd/A 50618-2022 artfynd.xlsx", "A 50618-2022")</f>
        <v/>
      </c>
      <c r="T177">
        <f>HYPERLINK("https://klasma.github.io/Logging_0188/kartor/A 50618-2022 karta.png", "A 50618-2022")</f>
        <v/>
      </c>
      <c r="V177">
        <f>HYPERLINK("https://klasma.github.io/Logging_0188/klagomål/A 50618-2022 FSC-klagomål.docx", "A 50618-2022")</f>
        <v/>
      </c>
      <c r="W177">
        <f>HYPERLINK("https://klasma.github.io/Logging_0188/klagomålsmail/A 50618-2022 FSC-klagomål mail.docx", "A 50618-2022")</f>
        <v/>
      </c>
      <c r="X177">
        <f>HYPERLINK("https://klasma.github.io/Logging_0188/tillsyn/A 50618-2022 tillsynsbegäran.docx", "A 50618-2022")</f>
        <v/>
      </c>
      <c r="Y177">
        <f>HYPERLINK("https://klasma.github.io/Logging_0188/tillsynsmail/A 50618-2022 tillsynsbegäran mail.docx", "A 50618-2022")</f>
        <v/>
      </c>
    </row>
    <row r="178" ht="15" customHeight="1">
      <c r="A178" t="inlineStr">
        <is>
          <t>A 61288-2025</t>
        </is>
      </c>
      <c r="B178" s="1" t="n">
        <v>46000.73247685185</v>
      </c>
      <c r="C178" s="1" t="n">
        <v>46050</v>
      </c>
      <c r="D178" t="inlineStr">
        <is>
          <t>STOCKHOLMS LÄN</t>
        </is>
      </c>
      <c r="E178" t="inlineStr">
        <is>
          <t>NORRTÄLJE</t>
        </is>
      </c>
      <c r="G178" t="n">
        <v>2</v>
      </c>
      <c r="H178" t="n">
        <v>2</v>
      </c>
      <c r="I178" t="n">
        <v>1</v>
      </c>
      <c r="J178" t="n">
        <v>0</v>
      </c>
      <c r="K178" t="n">
        <v>1</v>
      </c>
      <c r="L178" t="n">
        <v>0</v>
      </c>
      <c r="M178" t="n">
        <v>0</v>
      </c>
      <c r="N178" t="n">
        <v>0</v>
      </c>
      <c r="O178" t="n">
        <v>1</v>
      </c>
      <c r="P178" t="n">
        <v>1</v>
      </c>
      <c r="Q178" t="n">
        <v>3</v>
      </c>
      <c r="R178" s="2" t="inlineStr">
        <is>
          <t>Knärot
Kattfotslav
Kungsfågel</t>
        </is>
      </c>
      <c r="S178">
        <f>HYPERLINK("https://klasma.github.io/Logging_0188/artfynd/A 61288-2025 artfynd.xlsx", "A 61288-2025")</f>
        <v/>
      </c>
      <c r="T178">
        <f>HYPERLINK("https://klasma.github.io/Logging_0188/kartor/A 61288-2025 karta.png", "A 61288-2025")</f>
        <v/>
      </c>
      <c r="U178">
        <f>HYPERLINK("https://klasma.github.io/Logging_0188/knärot/A 61288-2025 karta knärot.png", "A 61288-2025")</f>
        <v/>
      </c>
      <c r="V178">
        <f>HYPERLINK("https://klasma.github.io/Logging_0188/klagomål/A 61288-2025 FSC-klagomål.docx", "A 61288-2025")</f>
        <v/>
      </c>
      <c r="W178">
        <f>HYPERLINK("https://klasma.github.io/Logging_0188/klagomålsmail/A 61288-2025 FSC-klagomål mail.docx", "A 61288-2025")</f>
        <v/>
      </c>
      <c r="X178">
        <f>HYPERLINK("https://klasma.github.io/Logging_0188/tillsyn/A 61288-2025 tillsynsbegäran.docx", "A 61288-2025")</f>
        <v/>
      </c>
      <c r="Y178">
        <f>HYPERLINK("https://klasma.github.io/Logging_0188/tillsynsmail/A 61288-2025 tillsynsbegäran mail.docx", "A 61288-2025")</f>
        <v/>
      </c>
      <c r="Z178">
        <f>HYPERLINK("https://klasma.github.io/Logging_0188/fåglar/A 61288-2025 prioriterade fågelarter.docx", "A 61288-2025")</f>
        <v/>
      </c>
    </row>
    <row r="179" ht="15" customHeight="1">
      <c r="A179" t="inlineStr">
        <is>
          <t>A 31335-2021</t>
        </is>
      </c>
      <c r="B179" s="1" t="n">
        <v>44368</v>
      </c>
      <c r="C179" s="1" t="n">
        <v>46050</v>
      </c>
      <c r="D179" t="inlineStr">
        <is>
          <t>STOCKHOLMS LÄN</t>
        </is>
      </c>
      <c r="E179" t="inlineStr">
        <is>
          <t>UPPLANDS-BRO</t>
        </is>
      </c>
      <c r="G179" t="n">
        <v>6.3</v>
      </c>
      <c r="H179" t="n">
        <v>0</v>
      </c>
      <c r="I179" t="n">
        <v>3</v>
      </c>
      <c r="J179" t="n">
        <v>0</v>
      </c>
      <c r="K179" t="n">
        <v>0</v>
      </c>
      <c r="L179" t="n">
        <v>0</v>
      </c>
      <c r="M179" t="n">
        <v>0</v>
      </c>
      <c r="N179" t="n">
        <v>0</v>
      </c>
      <c r="O179" t="n">
        <v>0</v>
      </c>
      <c r="P179" t="n">
        <v>0</v>
      </c>
      <c r="Q179" t="n">
        <v>3</v>
      </c>
      <c r="R179" s="2" t="inlineStr">
        <is>
          <t>Grovticka
Skarp dropptaggsvamp
Svavelriska</t>
        </is>
      </c>
      <c r="S179">
        <f>HYPERLINK("https://klasma.github.io/Logging_0139/artfynd/A 31335-2021 artfynd.xlsx", "A 31335-2021")</f>
        <v/>
      </c>
      <c r="T179">
        <f>HYPERLINK("https://klasma.github.io/Logging_0139/kartor/A 31335-2021 karta.png", "A 31335-2021")</f>
        <v/>
      </c>
      <c r="V179">
        <f>HYPERLINK("https://klasma.github.io/Logging_0139/klagomål/A 31335-2021 FSC-klagomål.docx", "A 31335-2021")</f>
        <v/>
      </c>
      <c r="W179">
        <f>HYPERLINK("https://klasma.github.io/Logging_0139/klagomålsmail/A 31335-2021 FSC-klagomål mail.docx", "A 31335-2021")</f>
        <v/>
      </c>
      <c r="X179">
        <f>HYPERLINK("https://klasma.github.io/Logging_0139/tillsyn/A 31335-2021 tillsynsbegäran.docx", "A 31335-2021")</f>
        <v/>
      </c>
      <c r="Y179">
        <f>HYPERLINK("https://klasma.github.io/Logging_0139/tillsynsmail/A 31335-2021 tillsynsbegäran mail.docx", "A 31335-2021")</f>
        <v/>
      </c>
    </row>
    <row r="180" ht="15" customHeight="1">
      <c r="A180" t="inlineStr">
        <is>
          <t>A 20185-2022</t>
        </is>
      </c>
      <c r="B180" s="1" t="n">
        <v>44698</v>
      </c>
      <c r="C180" s="1" t="n">
        <v>46050</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37456-2023</t>
        </is>
      </c>
      <c r="B181" s="1" t="n">
        <v>45156</v>
      </c>
      <c r="C181" s="1" t="n">
        <v>46050</v>
      </c>
      <c r="D181" t="inlineStr">
        <is>
          <t>STOCKHOLMS LÄN</t>
        </is>
      </c>
      <c r="E181" t="inlineStr">
        <is>
          <t>VALLENTUNA</t>
        </is>
      </c>
      <c r="F181" t="inlineStr">
        <is>
          <t>Övriga Aktiebolag</t>
        </is>
      </c>
      <c r="G181" t="n">
        <v>3.3</v>
      </c>
      <c r="H181" t="n">
        <v>1</v>
      </c>
      <c r="I181" t="n">
        <v>2</v>
      </c>
      <c r="J181" t="n">
        <v>0</v>
      </c>
      <c r="K181" t="n">
        <v>0</v>
      </c>
      <c r="L181" t="n">
        <v>0</v>
      </c>
      <c r="M181" t="n">
        <v>0</v>
      </c>
      <c r="N181" t="n">
        <v>0</v>
      </c>
      <c r="O181" t="n">
        <v>0</v>
      </c>
      <c r="P181" t="n">
        <v>0</v>
      </c>
      <c r="Q181" t="n">
        <v>3</v>
      </c>
      <c r="R181" s="2" t="inlineStr">
        <is>
          <t>Skarp dropptaggsvamp
Tjockfotad fingersvamp
Blåsippa</t>
        </is>
      </c>
      <c r="S181">
        <f>HYPERLINK("https://klasma.github.io/Logging_0115/artfynd/A 37456-2023 artfynd.xlsx", "A 37456-2023")</f>
        <v/>
      </c>
      <c r="T181">
        <f>HYPERLINK("https://klasma.github.io/Logging_0115/kartor/A 37456-2023 karta.png", "A 37456-2023")</f>
        <v/>
      </c>
      <c r="V181">
        <f>HYPERLINK("https://klasma.github.io/Logging_0115/klagomål/A 37456-2023 FSC-klagomål.docx", "A 37456-2023")</f>
        <v/>
      </c>
      <c r="W181">
        <f>HYPERLINK("https://klasma.github.io/Logging_0115/klagomålsmail/A 37456-2023 FSC-klagomål mail.docx", "A 37456-2023")</f>
        <v/>
      </c>
      <c r="X181">
        <f>HYPERLINK("https://klasma.github.io/Logging_0115/tillsyn/A 37456-2023 tillsynsbegäran.docx", "A 37456-2023")</f>
        <v/>
      </c>
      <c r="Y181">
        <f>HYPERLINK("https://klasma.github.io/Logging_0115/tillsynsmail/A 37456-2023 tillsynsbegäran mail.docx", "A 37456-2023")</f>
        <v/>
      </c>
    </row>
    <row r="182" ht="15" customHeight="1">
      <c r="A182" t="inlineStr">
        <is>
          <t>A 22400-2025</t>
        </is>
      </c>
      <c r="B182" s="1" t="n">
        <v>45786.53068287037</v>
      </c>
      <c r="C182" s="1" t="n">
        <v>46050</v>
      </c>
      <c r="D182" t="inlineStr">
        <is>
          <t>STOCKHOLMS LÄN</t>
        </is>
      </c>
      <c r="E182" t="inlineStr">
        <is>
          <t>SIGTUNA</t>
        </is>
      </c>
      <c r="G182" t="n">
        <v>8.9</v>
      </c>
      <c r="H182" t="n">
        <v>2</v>
      </c>
      <c r="I182" t="n">
        <v>0</v>
      </c>
      <c r="J182" t="n">
        <v>2</v>
      </c>
      <c r="K182" t="n">
        <v>0</v>
      </c>
      <c r="L182" t="n">
        <v>0</v>
      </c>
      <c r="M182" t="n">
        <v>0</v>
      </c>
      <c r="N182" t="n">
        <v>0</v>
      </c>
      <c r="O182" t="n">
        <v>2</v>
      </c>
      <c r="P182" t="n">
        <v>0</v>
      </c>
      <c r="Q182" t="n">
        <v>3</v>
      </c>
      <c r="R182" s="2" t="inlineStr">
        <is>
          <t>Slåtterfibbla
Spillkråka
Nattviol</t>
        </is>
      </c>
      <c r="S182">
        <f>HYPERLINK("https://klasma.github.io/Logging_0191/artfynd/A 22400-2025 artfynd.xlsx", "A 22400-2025")</f>
        <v/>
      </c>
      <c r="T182">
        <f>HYPERLINK("https://klasma.github.io/Logging_0191/kartor/A 22400-2025 karta.png", "A 22400-2025")</f>
        <v/>
      </c>
      <c r="V182">
        <f>HYPERLINK("https://klasma.github.io/Logging_0191/klagomål/A 22400-2025 FSC-klagomål.docx", "A 22400-2025")</f>
        <v/>
      </c>
      <c r="W182">
        <f>HYPERLINK("https://klasma.github.io/Logging_0191/klagomålsmail/A 22400-2025 FSC-klagomål mail.docx", "A 22400-2025")</f>
        <v/>
      </c>
      <c r="X182">
        <f>HYPERLINK("https://klasma.github.io/Logging_0191/tillsyn/A 22400-2025 tillsynsbegäran.docx", "A 22400-2025")</f>
        <v/>
      </c>
      <c r="Y182">
        <f>HYPERLINK("https://klasma.github.io/Logging_0191/tillsynsmail/A 22400-2025 tillsynsbegäran mail.docx", "A 22400-2025")</f>
        <v/>
      </c>
      <c r="Z182">
        <f>HYPERLINK("https://klasma.github.io/Logging_0191/fåglar/A 22400-2025 prioriterade fågelarter.docx", "A 22400-2025")</f>
        <v/>
      </c>
    </row>
    <row r="183" ht="15" customHeight="1">
      <c r="A183" t="inlineStr">
        <is>
          <t>A 22716-2025</t>
        </is>
      </c>
      <c r="B183" s="1" t="n">
        <v>45789.56619212963</v>
      </c>
      <c r="C183" s="1" t="n">
        <v>46050</v>
      </c>
      <c r="D183" t="inlineStr">
        <is>
          <t>STOCKHOLMS LÄN</t>
        </is>
      </c>
      <c r="E183" t="inlineStr">
        <is>
          <t>NYNÄSHAMN</t>
        </is>
      </c>
      <c r="F183" t="inlineStr">
        <is>
          <t>Kommuner</t>
        </is>
      </c>
      <c r="G183" t="n">
        <v>2</v>
      </c>
      <c r="H183" t="n">
        <v>1</v>
      </c>
      <c r="I183" t="n">
        <v>2</v>
      </c>
      <c r="J183" t="n">
        <v>0</v>
      </c>
      <c r="K183" t="n">
        <v>0</v>
      </c>
      <c r="L183" t="n">
        <v>0</v>
      </c>
      <c r="M183" t="n">
        <v>0</v>
      </c>
      <c r="N183" t="n">
        <v>0</v>
      </c>
      <c r="O183" t="n">
        <v>0</v>
      </c>
      <c r="P183" t="n">
        <v>0</v>
      </c>
      <c r="Q183" t="n">
        <v>3</v>
      </c>
      <c r="R183" s="2" t="inlineStr">
        <is>
          <t>Björksplintborre
Stekelbock
Revlummer</t>
        </is>
      </c>
      <c r="S183">
        <f>HYPERLINK("https://klasma.github.io/Logging_0192/artfynd/A 22716-2025 artfynd.xlsx", "A 22716-2025")</f>
        <v/>
      </c>
      <c r="T183">
        <f>HYPERLINK("https://klasma.github.io/Logging_0192/kartor/A 22716-2025 karta.png", "A 22716-2025")</f>
        <v/>
      </c>
      <c r="V183">
        <f>HYPERLINK("https://klasma.github.io/Logging_0192/klagomål/A 22716-2025 FSC-klagomål.docx", "A 22716-2025")</f>
        <v/>
      </c>
      <c r="W183">
        <f>HYPERLINK("https://klasma.github.io/Logging_0192/klagomålsmail/A 22716-2025 FSC-klagomål mail.docx", "A 22716-2025")</f>
        <v/>
      </c>
      <c r="X183">
        <f>HYPERLINK("https://klasma.github.io/Logging_0192/tillsyn/A 22716-2025 tillsynsbegäran.docx", "A 22716-2025")</f>
        <v/>
      </c>
      <c r="Y183">
        <f>HYPERLINK("https://klasma.github.io/Logging_0192/tillsynsmail/A 22716-2025 tillsynsbegäran mail.docx", "A 22716-2025")</f>
        <v/>
      </c>
    </row>
    <row r="184" ht="15" customHeight="1">
      <c r="A184" t="inlineStr">
        <is>
          <t>A 52133-2022</t>
        </is>
      </c>
      <c r="B184" s="1" t="n">
        <v>44868</v>
      </c>
      <c r="C184" s="1" t="n">
        <v>46050</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46050</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15314-2021</t>
        </is>
      </c>
      <c r="B186" s="1" t="n">
        <v>44284</v>
      </c>
      <c r="C186" s="1" t="n">
        <v>46050</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16869-2021</t>
        </is>
      </c>
      <c r="B187" s="1" t="n">
        <v>44295</v>
      </c>
      <c r="C187" s="1" t="n">
        <v>46050</v>
      </c>
      <c r="D187" t="inlineStr">
        <is>
          <t>STOCKHOLMS LÄN</t>
        </is>
      </c>
      <c r="E187" t="inlineStr">
        <is>
          <t>NYNÄSHAMN</t>
        </is>
      </c>
      <c r="F187" t="inlineStr">
        <is>
          <t>Kommuner</t>
        </is>
      </c>
      <c r="G187" t="n">
        <v>6.5</v>
      </c>
      <c r="H187" t="n">
        <v>1</v>
      </c>
      <c r="I187" t="n">
        <v>2</v>
      </c>
      <c r="J187" t="n">
        <v>0</v>
      </c>
      <c r="K187" t="n">
        <v>0</v>
      </c>
      <c r="L187" t="n">
        <v>0</v>
      </c>
      <c r="M187" t="n">
        <v>0</v>
      </c>
      <c r="N187" t="n">
        <v>0</v>
      </c>
      <c r="O187" t="n">
        <v>0</v>
      </c>
      <c r="P187" t="n">
        <v>0</v>
      </c>
      <c r="Q187" t="n">
        <v>2</v>
      </c>
      <c r="R187" s="2" t="inlineStr">
        <is>
          <t>Grön sköldmossa
Kattfotslav</t>
        </is>
      </c>
      <c r="S187">
        <f>HYPERLINK("https://klasma.github.io/Logging_0192/artfynd/A 16869-2021 artfynd.xlsx", "A 16869-2021")</f>
        <v/>
      </c>
      <c r="T187">
        <f>HYPERLINK("https://klasma.github.io/Logging_0192/kartor/A 16869-2021 karta.png", "A 16869-2021")</f>
        <v/>
      </c>
      <c r="V187">
        <f>HYPERLINK("https://klasma.github.io/Logging_0192/klagomål/A 16869-2021 FSC-klagomål.docx", "A 16869-2021")</f>
        <v/>
      </c>
      <c r="W187">
        <f>HYPERLINK("https://klasma.github.io/Logging_0192/klagomålsmail/A 16869-2021 FSC-klagomål mail.docx", "A 16869-2021")</f>
        <v/>
      </c>
      <c r="X187">
        <f>HYPERLINK("https://klasma.github.io/Logging_0192/tillsyn/A 16869-2021 tillsynsbegäran.docx", "A 16869-2021")</f>
        <v/>
      </c>
      <c r="Y187">
        <f>HYPERLINK("https://klasma.github.io/Logging_0192/tillsynsmail/A 16869-2021 tillsynsbegäran mail.docx", "A 16869-2021")</f>
        <v/>
      </c>
    </row>
    <row r="188" ht="15" customHeight="1">
      <c r="A188" t="inlineStr">
        <is>
          <t>A 4634-2021</t>
        </is>
      </c>
      <c r="B188" s="1" t="n">
        <v>44224</v>
      </c>
      <c r="C188" s="1" t="n">
        <v>46050</v>
      </c>
      <c r="D188" t="inlineStr">
        <is>
          <t>STOCKHOLMS LÄN</t>
        </is>
      </c>
      <c r="E188" t="inlineStr">
        <is>
          <t>NORRTÄLJE</t>
        </is>
      </c>
      <c r="G188" t="n">
        <v>3.7</v>
      </c>
      <c r="H188" t="n">
        <v>2</v>
      </c>
      <c r="I188" t="n">
        <v>1</v>
      </c>
      <c r="J188" t="n">
        <v>0</v>
      </c>
      <c r="K188" t="n">
        <v>0</v>
      </c>
      <c r="L188" t="n">
        <v>0</v>
      </c>
      <c r="M188" t="n">
        <v>0</v>
      </c>
      <c r="N188" t="n">
        <v>0</v>
      </c>
      <c r="O188" t="n">
        <v>0</v>
      </c>
      <c r="P188" t="n">
        <v>0</v>
      </c>
      <c r="Q188" t="n">
        <v>2</v>
      </c>
      <c r="R188" s="2" t="inlineStr">
        <is>
          <t>Grön sköldmossa
Tjäder</t>
        </is>
      </c>
      <c r="S188">
        <f>HYPERLINK("https://klasma.github.io/Logging_0188/artfynd/A 4634-2021 artfynd.xlsx", "A 4634-2021")</f>
        <v/>
      </c>
      <c r="T188">
        <f>HYPERLINK("https://klasma.github.io/Logging_0188/kartor/A 4634-2021 karta.png", "A 4634-2021")</f>
        <v/>
      </c>
      <c r="V188">
        <f>HYPERLINK("https://klasma.github.io/Logging_0188/klagomål/A 4634-2021 FSC-klagomål.docx", "A 4634-2021")</f>
        <v/>
      </c>
      <c r="W188">
        <f>HYPERLINK("https://klasma.github.io/Logging_0188/klagomålsmail/A 4634-2021 FSC-klagomål mail.docx", "A 4634-2021")</f>
        <v/>
      </c>
      <c r="X188">
        <f>HYPERLINK("https://klasma.github.io/Logging_0188/tillsyn/A 4634-2021 tillsynsbegäran.docx", "A 4634-2021")</f>
        <v/>
      </c>
      <c r="Y188">
        <f>HYPERLINK("https://klasma.github.io/Logging_0188/tillsynsmail/A 4634-2021 tillsynsbegäran mail.docx", "A 4634-2021")</f>
        <v/>
      </c>
      <c r="Z188">
        <f>HYPERLINK("https://klasma.github.io/Logging_0188/fåglar/A 4634-2021 prioriterade fågelarter.docx", "A 4634-2021")</f>
        <v/>
      </c>
    </row>
    <row r="189" ht="15" customHeight="1">
      <c r="A189" t="inlineStr">
        <is>
          <t>A 58676-2021</t>
        </is>
      </c>
      <c r="B189" s="1" t="n">
        <v>44489</v>
      </c>
      <c r="C189" s="1" t="n">
        <v>46050</v>
      </c>
      <c r="D189" t="inlineStr">
        <is>
          <t>STOCKHOLMS LÄN</t>
        </is>
      </c>
      <c r="E189" t="inlineStr">
        <is>
          <t>NORRTÄLJE</t>
        </is>
      </c>
      <c r="G189" t="n">
        <v>0.6</v>
      </c>
      <c r="H189" t="n">
        <v>2</v>
      </c>
      <c r="I189" t="n">
        <v>0</v>
      </c>
      <c r="J189" t="n">
        <v>0</v>
      </c>
      <c r="K189" t="n">
        <v>0</v>
      </c>
      <c r="L189" t="n">
        <v>0</v>
      </c>
      <c r="M189" t="n">
        <v>0</v>
      </c>
      <c r="N189" t="n">
        <v>0</v>
      </c>
      <c r="O189" t="n">
        <v>0</v>
      </c>
      <c r="P189" t="n">
        <v>0</v>
      </c>
      <c r="Q189" t="n">
        <v>2</v>
      </c>
      <c r="R189" s="2" t="inlineStr">
        <is>
          <t>Nattviol
Blåsippa</t>
        </is>
      </c>
      <c r="S189">
        <f>HYPERLINK("https://klasma.github.io/Logging_0188/artfynd/A 58676-2021 artfynd.xlsx", "A 58676-2021")</f>
        <v/>
      </c>
      <c r="T189">
        <f>HYPERLINK("https://klasma.github.io/Logging_0188/kartor/A 58676-2021 karta.png", "A 58676-2021")</f>
        <v/>
      </c>
      <c r="V189">
        <f>HYPERLINK("https://klasma.github.io/Logging_0188/klagomål/A 58676-2021 FSC-klagomål.docx", "A 58676-2021")</f>
        <v/>
      </c>
      <c r="W189">
        <f>HYPERLINK("https://klasma.github.io/Logging_0188/klagomålsmail/A 58676-2021 FSC-klagomål mail.docx", "A 58676-2021")</f>
        <v/>
      </c>
      <c r="X189">
        <f>HYPERLINK("https://klasma.github.io/Logging_0188/tillsyn/A 58676-2021 tillsynsbegäran.docx", "A 58676-2021")</f>
        <v/>
      </c>
      <c r="Y189">
        <f>HYPERLINK("https://klasma.github.io/Logging_0188/tillsynsmail/A 58676-2021 tillsynsbegäran mail.docx", "A 58676-2021")</f>
        <v/>
      </c>
    </row>
    <row r="190" ht="15" customHeight="1">
      <c r="A190" t="inlineStr">
        <is>
          <t>A 16084-2021</t>
        </is>
      </c>
      <c r="B190" s="1" t="n">
        <v>44288</v>
      </c>
      <c r="C190" s="1" t="n">
        <v>46050</v>
      </c>
      <c r="D190" t="inlineStr">
        <is>
          <t>STOCKHOLMS LÄN</t>
        </is>
      </c>
      <c r="E190" t="inlineStr">
        <is>
          <t>VÄRMDÖ</t>
        </is>
      </c>
      <c r="G190" t="n">
        <v>1.2</v>
      </c>
      <c r="H190" t="n">
        <v>0</v>
      </c>
      <c r="I190" t="n">
        <v>1</v>
      </c>
      <c r="J190" t="n">
        <v>1</v>
      </c>
      <c r="K190" t="n">
        <v>0</v>
      </c>
      <c r="L190" t="n">
        <v>0</v>
      </c>
      <c r="M190" t="n">
        <v>0</v>
      </c>
      <c r="N190" t="n">
        <v>0</v>
      </c>
      <c r="O190" t="n">
        <v>1</v>
      </c>
      <c r="P190" t="n">
        <v>0</v>
      </c>
      <c r="Q190" t="n">
        <v>2</v>
      </c>
      <c r="R190" s="2" t="inlineStr">
        <is>
          <t>Reliktbock
Grovticka</t>
        </is>
      </c>
      <c r="S190">
        <f>HYPERLINK("https://klasma.github.io/Logging_0120/artfynd/A 16084-2021 artfynd.xlsx", "A 16084-2021")</f>
        <v/>
      </c>
      <c r="T190">
        <f>HYPERLINK("https://klasma.github.io/Logging_0120/kartor/A 16084-2021 karta.png", "A 16084-2021")</f>
        <v/>
      </c>
      <c r="V190">
        <f>HYPERLINK("https://klasma.github.io/Logging_0120/klagomål/A 16084-2021 FSC-klagomål.docx", "A 16084-2021")</f>
        <v/>
      </c>
      <c r="W190">
        <f>HYPERLINK("https://klasma.github.io/Logging_0120/klagomålsmail/A 16084-2021 FSC-klagomål mail.docx", "A 16084-2021")</f>
        <v/>
      </c>
      <c r="X190">
        <f>HYPERLINK("https://klasma.github.io/Logging_0120/tillsyn/A 16084-2021 tillsynsbegäran.docx", "A 16084-2021")</f>
        <v/>
      </c>
      <c r="Y190">
        <f>HYPERLINK("https://klasma.github.io/Logging_0120/tillsynsmail/A 16084-2021 tillsynsbegäran mail.docx", "A 16084-2021")</f>
        <v/>
      </c>
    </row>
    <row r="191" ht="15" customHeight="1">
      <c r="A191" t="inlineStr">
        <is>
          <t>A 60-2022</t>
        </is>
      </c>
      <c r="B191" s="1" t="n">
        <v>44560</v>
      </c>
      <c r="C191" s="1" t="n">
        <v>46050</v>
      </c>
      <c r="D191" t="inlineStr">
        <is>
          <t>STOCKHOLMS LÄN</t>
        </is>
      </c>
      <c r="E191" t="inlineStr">
        <is>
          <t>VALLENTUNA</t>
        </is>
      </c>
      <c r="F191" t="inlineStr">
        <is>
          <t>Övriga Aktiebolag</t>
        </is>
      </c>
      <c r="G191" t="n">
        <v>14.3</v>
      </c>
      <c r="H191" t="n">
        <v>0</v>
      </c>
      <c r="I191" t="n">
        <v>2</v>
      </c>
      <c r="J191" t="n">
        <v>0</v>
      </c>
      <c r="K191" t="n">
        <v>0</v>
      </c>
      <c r="L191" t="n">
        <v>0</v>
      </c>
      <c r="M191" t="n">
        <v>0</v>
      </c>
      <c r="N191" t="n">
        <v>0</v>
      </c>
      <c r="O191" t="n">
        <v>0</v>
      </c>
      <c r="P191" t="n">
        <v>0</v>
      </c>
      <c r="Q191" t="n">
        <v>2</v>
      </c>
      <c r="R191" s="2" t="inlineStr">
        <is>
          <t>Vätteros
Vårärt</t>
        </is>
      </c>
      <c r="S191">
        <f>HYPERLINK("https://klasma.github.io/Logging_0115/artfynd/A 60-2022 artfynd.xlsx", "A 60-2022")</f>
        <v/>
      </c>
      <c r="T191">
        <f>HYPERLINK("https://klasma.github.io/Logging_0115/kartor/A 60-2022 karta.png", "A 60-2022")</f>
        <v/>
      </c>
      <c r="V191">
        <f>HYPERLINK("https://klasma.github.io/Logging_0115/klagomål/A 60-2022 FSC-klagomål.docx", "A 60-2022")</f>
        <v/>
      </c>
      <c r="W191">
        <f>HYPERLINK("https://klasma.github.io/Logging_0115/klagomålsmail/A 60-2022 FSC-klagomål mail.docx", "A 60-2022")</f>
        <v/>
      </c>
      <c r="X191">
        <f>HYPERLINK("https://klasma.github.io/Logging_0115/tillsyn/A 60-2022 tillsynsbegäran.docx", "A 60-2022")</f>
        <v/>
      </c>
      <c r="Y191">
        <f>HYPERLINK("https://klasma.github.io/Logging_0115/tillsynsmail/A 60-2022 tillsynsbegäran mail.docx", "A 60-2022")</f>
        <v/>
      </c>
    </row>
    <row r="192" ht="15" customHeight="1">
      <c r="A192" t="inlineStr">
        <is>
          <t>A 70608-2021</t>
        </is>
      </c>
      <c r="B192" s="1" t="n">
        <v>44536</v>
      </c>
      <c r="C192" s="1" t="n">
        <v>46050</v>
      </c>
      <c r="D192" t="inlineStr">
        <is>
          <t>STOCKHOLMS LÄN</t>
        </is>
      </c>
      <c r="E192" t="inlineStr">
        <is>
          <t>VALLENTUNA</t>
        </is>
      </c>
      <c r="G192" t="n">
        <v>10.4</v>
      </c>
      <c r="H192" t="n">
        <v>1</v>
      </c>
      <c r="I192" t="n">
        <v>1</v>
      </c>
      <c r="J192" t="n">
        <v>1</v>
      </c>
      <c r="K192" t="n">
        <v>0</v>
      </c>
      <c r="L192" t="n">
        <v>0</v>
      </c>
      <c r="M192" t="n">
        <v>0</v>
      </c>
      <c r="N192" t="n">
        <v>0</v>
      </c>
      <c r="O192" t="n">
        <v>1</v>
      </c>
      <c r="P192" t="n">
        <v>0</v>
      </c>
      <c r="Q192" t="n">
        <v>2</v>
      </c>
      <c r="R192" s="2" t="inlineStr">
        <is>
          <t>Talltita
Tibast</t>
        </is>
      </c>
      <c r="S192">
        <f>HYPERLINK("https://klasma.github.io/Logging_0115/artfynd/A 70608-2021 artfynd.xlsx", "A 70608-2021")</f>
        <v/>
      </c>
      <c r="T192">
        <f>HYPERLINK("https://klasma.github.io/Logging_0115/kartor/A 70608-2021 karta.png", "A 70608-2021")</f>
        <v/>
      </c>
      <c r="V192">
        <f>HYPERLINK("https://klasma.github.io/Logging_0115/klagomål/A 70608-2021 FSC-klagomål.docx", "A 70608-2021")</f>
        <v/>
      </c>
      <c r="W192">
        <f>HYPERLINK("https://klasma.github.io/Logging_0115/klagomålsmail/A 70608-2021 FSC-klagomål mail.docx", "A 70608-2021")</f>
        <v/>
      </c>
      <c r="X192">
        <f>HYPERLINK("https://klasma.github.io/Logging_0115/tillsyn/A 70608-2021 tillsynsbegäran.docx", "A 70608-2021")</f>
        <v/>
      </c>
      <c r="Y192">
        <f>HYPERLINK("https://klasma.github.io/Logging_0115/tillsynsmail/A 70608-2021 tillsynsbegäran mail.docx", "A 70608-2021")</f>
        <v/>
      </c>
      <c r="Z192">
        <f>HYPERLINK("https://klasma.github.io/Logging_0115/fåglar/A 70608-2021 prioriterade fågelarter.docx", "A 70608-2021")</f>
        <v/>
      </c>
    </row>
    <row r="193" ht="15" customHeight="1">
      <c r="A193" t="inlineStr">
        <is>
          <t>A 34068-2022</t>
        </is>
      </c>
      <c r="B193" s="1" t="n">
        <v>44791</v>
      </c>
      <c r="C193" s="1" t="n">
        <v>46050</v>
      </c>
      <c r="D193" t="inlineStr">
        <is>
          <t>STOCKHOLMS LÄN</t>
        </is>
      </c>
      <c r="E193" t="inlineStr">
        <is>
          <t>SIGTUNA</t>
        </is>
      </c>
      <c r="G193" t="n">
        <v>5.8</v>
      </c>
      <c r="H193" t="n">
        <v>1</v>
      </c>
      <c r="I193" t="n">
        <v>0</v>
      </c>
      <c r="J193" t="n">
        <v>0</v>
      </c>
      <c r="K193" t="n">
        <v>0</v>
      </c>
      <c r="L193" t="n">
        <v>1</v>
      </c>
      <c r="M193" t="n">
        <v>0</v>
      </c>
      <c r="N193" t="n">
        <v>0</v>
      </c>
      <c r="O193" t="n">
        <v>1</v>
      </c>
      <c r="P193" t="n">
        <v>1</v>
      </c>
      <c r="Q193" t="n">
        <v>2</v>
      </c>
      <c r="R193" s="2" t="inlineStr">
        <is>
          <t>Ask
Gullviva</t>
        </is>
      </c>
      <c r="S193">
        <f>HYPERLINK("https://klasma.github.io/Logging_0191/artfynd/A 34068-2022 artfynd.xlsx", "A 34068-2022")</f>
        <v/>
      </c>
      <c r="T193">
        <f>HYPERLINK("https://klasma.github.io/Logging_0191/kartor/A 34068-2022 karta.png", "A 34068-2022")</f>
        <v/>
      </c>
      <c r="V193">
        <f>HYPERLINK("https://klasma.github.io/Logging_0191/klagomål/A 34068-2022 FSC-klagomål.docx", "A 34068-2022")</f>
        <v/>
      </c>
      <c r="W193">
        <f>HYPERLINK("https://klasma.github.io/Logging_0191/klagomålsmail/A 34068-2022 FSC-klagomål mail.docx", "A 34068-2022")</f>
        <v/>
      </c>
      <c r="X193">
        <f>HYPERLINK("https://klasma.github.io/Logging_0191/tillsyn/A 34068-2022 tillsynsbegäran.docx", "A 34068-2022")</f>
        <v/>
      </c>
      <c r="Y193">
        <f>HYPERLINK("https://klasma.github.io/Logging_0191/tillsynsmail/A 34068-2022 tillsynsbegäran mail.docx", "A 34068-2022")</f>
        <v/>
      </c>
    </row>
    <row r="194" ht="15" customHeight="1">
      <c r="A194" t="inlineStr">
        <is>
          <t>A 17244-2022</t>
        </is>
      </c>
      <c r="B194" s="1" t="n">
        <v>44678</v>
      </c>
      <c r="C194" s="1" t="n">
        <v>46050</v>
      </c>
      <c r="D194" t="inlineStr">
        <is>
          <t>STOCKHOLMS LÄN</t>
        </is>
      </c>
      <c r="E194" t="inlineStr">
        <is>
          <t>ÖSTERÅKER</t>
        </is>
      </c>
      <c r="G194" t="n">
        <v>1.4</v>
      </c>
      <c r="H194" t="n">
        <v>1</v>
      </c>
      <c r="I194" t="n">
        <v>2</v>
      </c>
      <c r="J194" t="n">
        <v>0</v>
      </c>
      <c r="K194" t="n">
        <v>0</v>
      </c>
      <c r="L194" t="n">
        <v>0</v>
      </c>
      <c r="M194" t="n">
        <v>0</v>
      </c>
      <c r="N194" t="n">
        <v>0</v>
      </c>
      <c r="O194" t="n">
        <v>0</v>
      </c>
      <c r="P194" t="n">
        <v>0</v>
      </c>
      <c r="Q194" t="n">
        <v>2</v>
      </c>
      <c r="R194" s="2" t="inlineStr">
        <is>
          <t>Bronshjon
Grön sköldmossa</t>
        </is>
      </c>
      <c r="S194">
        <f>HYPERLINK("https://klasma.github.io/Logging_0117/artfynd/A 17244-2022 artfynd.xlsx", "A 17244-2022")</f>
        <v/>
      </c>
      <c r="T194">
        <f>HYPERLINK("https://klasma.github.io/Logging_0117/kartor/A 17244-2022 karta.png", "A 17244-2022")</f>
        <v/>
      </c>
      <c r="V194">
        <f>HYPERLINK("https://klasma.github.io/Logging_0117/klagomål/A 17244-2022 FSC-klagomål.docx", "A 17244-2022")</f>
        <v/>
      </c>
      <c r="W194">
        <f>HYPERLINK("https://klasma.github.io/Logging_0117/klagomålsmail/A 17244-2022 FSC-klagomål mail.docx", "A 17244-2022")</f>
        <v/>
      </c>
      <c r="X194">
        <f>HYPERLINK("https://klasma.github.io/Logging_0117/tillsyn/A 17244-2022 tillsynsbegäran.docx", "A 17244-2022")</f>
        <v/>
      </c>
      <c r="Y194">
        <f>HYPERLINK("https://klasma.github.io/Logging_0117/tillsynsmail/A 17244-2022 tillsynsbegäran mail.docx", "A 17244-2022")</f>
        <v/>
      </c>
    </row>
    <row r="195" ht="15" customHeight="1">
      <c r="A195" t="inlineStr">
        <is>
          <t>A 9445-2022</t>
        </is>
      </c>
      <c r="B195" s="1" t="n">
        <v>44616</v>
      </c>
      <c r="C195" s="1" t="n">
        <v>46050</v>
      </c>
      <c r="D195" t="inlineStr">
        <is>
          <t>STOCKHOLMS LÄN</t>
        </is>
      </c>
      <c r="E195" t="inlineStr">
        <is>
          <t>VALLENTUNA</t>
        </is>
      </c>
      <c r="G195" t="n">
        <v>10.8</v>
      </c>
      <c r="H195" t="n">
        <v>1</v>
      </c>
      <c r="I195" t="n">
        <v>1</v>
      </c>
      <c r="J195" t="n">
        <v>0</v>
      </c>
      <c r="K195" t="n">
        <v>0</v>
      </c>
      <c r="L195" t="n">
        <v>0</v>
      </c>
      <c r="M195" t="n">
        <v>0</v>
      </c>
      <c r="N195" t="n">
        <v>0</v>
      </c>
      <c r="O195" t="n">
        <v>0</v>
      </c>
      <c r="P195" t="n">
        <v>0</v>
      </c>
      <c r="Q195" t="n">
        <v>2</v>
      </c>
      <c r="R195" s="2" t="inlineStr">
        <is>
          <t>Grönpyrola
Blåsippa</t>
        </is>
      </c>
      <c r="S195">
        <f>HYPERLINK("https://klasma.github.io/Logging_0115/artfynd/A 9445-2022 artfynd.xlsx", "A 9445-2022")</f>
        <v/>
      </c>
      <c r="T195">
        <f>HYPERLINK("https://klasma.github.io/Logging_0115/kartor/A 9445-2022 karta.png", "A 9445-2022")</f>
        <v/>
      </c>
      <c r="V195">
        <f>HYPERLINK("https://klasma.github.io/Logging_0115/klagomål/A 9445-2022 FSC-klagomål.docx", "A 9445-2022")</f>
        <v/>
      </c>
      <c r="W195">
        <f>HYPERLINK("https://klasma.github.io/Logging_0115/klagomålsmail/A 9445-2022 FSC-klagomål mail.docx", "A 9445-2022")</f>
        <v/>
      </c>
      <c r="X195">
        <f>HYPERLINK("https://klasma.github.io/Logging_0115/tillsyn/A 9445-2022 tillsynsbegäran.docx", "A 9445-2022")</f>
        <v/>
      </c>
      <c r="Y195">
        <f>HYPERLINK("https://klasma.github.io/Logging_0115/tillsynsmail/A 9445-2022 tillsynsbegäran mail.docx", "A 9445-2022")</f>
        <v/>
      </c>
    </row>
    <row r="196" ht="15" customHeight="1">
      <c r="A196" t="inlineStr">
        <is>
          <t>A 61275-2021</t>
        </is>
      </c>
      <c r="B196" s="1" t="n">
        <v>44498</v>
      </c>
      <c r="C196" s="1" t="n">
        <v>46050</v>
      </c>
      <c r="D196" t="inlineStr">
        <is>
          <t>STOCKHOLMS LÄN</t>
        </is>
      </c>
      <c r="E196" t="inlineStr">
        <is>
          <t>ÖSTERÅKER</t>
        </is>
      </c>
      <c r="G196" t="n">
        <v>2.1</v>
      </c>
      <c r="H196" t="n">
        <v>2</v>
      </c>
      <c r="I196" t="n">
        <v>0</v>
      </c>
      <c r="J196" t="n">
        <v>0</v>
      </c>
      <c r="K196" t="n">
        <v>0</v>
      </c>
      <c r="L196" t="n">
        <v>0</v>
      </c>
      <c r="M196" t="n">
        <v>0</v>
      </c>
      <c r="N196" t="n">
        <v>0</v>
      </c>
      <c r="O196" t="n">
        <v>0</v>
      </c>
      <c r="P196" t="n">
        <v>0</v>
      </c>
      <c r="Q196" t="n">
        <v>2</v>
      </c>
      <c r="R196" s="2" t="inlineStr">
        <is>
          <t>Fläcknycklar
Nattviol</t>
        </is>
      </c>
      <c r="S196">
        <f>HYPERLINK("https://klasma.github.io/Logging_0117/artfynd/A 61275-2021 artfynd.xlsx", "A 61275-2021")</f>
        <v/>
      </c>
      <c r="T196">
        <f>HYPERLINK("https://klasma.github.io/Logging_0117/kartor/A 61275-2021 karta.png", "A 61275-2021")</f>
        <v/>
      </c>
      <c r="V196">
        <f>HYPERLINK("https://klasma.github.io/Logging_0117/klagomål/A 61275-2021 FSC-klagomål.docx", "A 61275-2021")</f>
        <v/>
      </c>
      <c r="W196">
        <f>HYPERLINK("https://klasma.github.io/Logging_0117/klagomålsmail/A 61275-2021 FSC-klagomål mail.docx", "A 61275-2021")</f>
        <v/>
      </c>
      <c r="X196">
        <f>HYPERLINK("https://klasma.github.io/Logging_0117/tillsyn/A 61275-2021 tillsynsbegäran.docx", "A 61275-2021")</f>
        <v/>
      </c>
      <c r="Y196">
        <f>HYPERLINK("https://klasma.github.io/Logging_0117/tillsynsmail/A 61275-2021 tillsynsbegäran mail.docx", "A 61275-2021")</f>
        <v/>
      </c>
    </row>
    <row r="197" ht="15" customHeight="1">
      <c r="A197" t="inlineStr">
        <is>
          <t>A 38991-2022</t>
        </is>
      </c>
      <c r="B197" s="1" t="n">
        <v>44816.89569444444</v>
      </c>
      <c r="C197" s="1" t="n">
        <v>46050</v>
      </c>
      <c r="D197" t="inlineStr">
        <is>
          <t>STOCKHOLMS LÄN</t>
        </is>
      </c>
      <c r="E197" t="inlineStr">
        <is>
          <t>NORRTÄLJE</t>
        </is>
      </c>
      <c r="G197" t="n">
        <v>1.9</v>
      </c>
      <c r="H197" t="n">
        <v>0</v>
      </c>
      <c r="I197" t="n">
        <v>2</v>
      </c>
      <c r="J197" t="n">
        <v>0</v>
      </c>
      <c r="K197" t="n">
        <v>0</v>
      </c>
      <c r="L197" t="n">
        <v>0</v>
      </c>
      <c r="M197" t="n">
        <v>0</v>
      </c>
      <c r="N197" t="n">
        <v>0</v>
      </c>
      <c r="O197" t="n">
        <v>0</v>
      </c>
      <c r="P197" t="n">
        <v>0</v>
      </c>
      <c r="Q197" t="n">
        <v>2</v>
      </c>
      <c r="R197" s="2" t="inlineStr">
        <is>
          <t>Bronshjon
Grovticka</t>
        </is>
      </c>
      <c r="S197">
        <f>HYPERLINK("https://klasma.github.io/Logging_0188/artfynd/A 38991-2022 artfynd.xlsx", "A 38991-2022")</f>
        <v/>
      </c>
      <c r="T197">
        <f>HYPERLINK("https://klasma.github.io/Logging_0188/kartor/A 38991-2022 karta.png", "A 38991-2022")</f>
        <v/>
      </c>
      <c r="V197">
        <f>HYPERLINK("https://klasma.github.io/Logging_0188/klagomål/A 38991-2022 FSC-klagomål.docx", "A 38991-2022")</f>
        <v/>
      </c>
      <c r="W197">
        <f>HYPERLINK("https://klasma.github.io/Logging_0188/klagomålsmail/A 38991-2022 FSC-klagomål mail.docx", "A 38991-2022")</f>
        <v/>
      </c>
      <c r="X197">
        <f>HYPERLINK("https://klasma.github.io/Logging_0188/tillsyn/A 38991-2022 tillsynsbegäran.docx", "A 38991-2022")</f>
        <v/>
      </c>
      <c r="Y197">
        <f>HYPERLINK("https://klasma.github.io/Logging_0188/tillsynsmail/A 38991-2022 tillsynsbegäran mail.docx", "A 38991-2022")</f>
        <v/>
      </c>
    </row>
    <row r="198" ht="15" customHeight="1">
      <c r="A198" t="inlineStr">
        <is>
          <t>A 9268-2023</t>
        </is>
      </c>
      <c r="B198" s="1" t="n">
        <v>44980</v>
      </c>
      <c r="C198" s="1" t="n">
        <v>46050</v>
      </c>
      <c r="D198" t="inlineStr">
        <is>
          <t>STOCKHOLMS LÄN</t>
        </is>
      </c>
      <c r="E198" t="inlineStr">
        <is>
          <t>NYNÄSHAMN</t>
        </is>
      </c>
      <c r="G198" t="n">
        <v>4.9</v>
      </c>
      <c r="H198" t="n">
        <v>0</v>
      </c>
      <c r="I198" t="n">
        <v>1</v>
      </c>
      <c r="J198" t="n">
        <v>1</v>
      </c>
      <c r="K198" t="n">
        <v>0</v>
      </c>
      <c r="L198" t="n">
        <v>0</v>
      </c>
      <c r="M198" t="n">
        <v>0</v>
      </c>
      <c r="N198" t="n">
        <v>0</v>
      </c>
      <c r="O198" t="n">
        <v>1</v>
      </c>
      <c r="P198" t="n">
        <v>0</v>
      </c>
      <c r="Q198" t="n">
        <v>2</v>
      </c>
      <c r="R198" s="2" t="inlineStr">
        <is>
          <t>Tallticka
Mindre märgborre</t>
        </is>
      </c>
      <c r="S198">
        <f>HYPERLINK("https://klasma.github.io/Logging_0192/artfynd/A 9268-2023 artfynd.xlsx", "A 9268-2023")</f>
        <v/>
      </c>
      <c r="T198">
        <f>HYPERLINK("https://klasma.github.io/Logging_0192/kartor/A 9268-2023 karta.png", "A 9268-2023")</f>
        <v/>
      </c>
      <c r="V198">
        <f>HYPERLINK("https://klasma.github.io/Logging_0192/klagomål/A 9268-2023 FSC-klagomål.docx", "A 9268-2023")</f>
        <v/>
      </c>
      <c r="W198">
        <f>HYPERLINK("https://klasma.github.io/Logging_0192/klagomålsmail/A 9268-2023 FSC-klagomål mail.docx", "A 9268-2023")</f>
        <v/>
      </c>
      <c r="X198">
        <f>HYPERLINK("https://klasma.github.io/Logging_0192/tillsyn/A 9268-2023 tillsynsbegäran.docx", "A 9268-2023")</f>
        <v/>
      </c>
      <c r="Y198">
        <f>HYPERLINK("https://klasma.github.io/Logging_0192/tillsynsmail/A 9268-2023 tillsynsbegäran mail.docx", "A 9268-2023")</f>
        <v/>
      </c>
    </row>
    <row r="199" ht="15" customHeight="1">
      <c r="A199" t="inlineStr">
        <is>
          <t>A 11348-2022</t>
        </is>
      </c>
      <c r="B199" s="1" t="n">
        <v>44630.39990740741</v>
      </c>
      <c r="C199" s="1" t="n">
        <v>46050</v>
      </c>
      <c r="D199" t="inlineStr">
        <is>
          <t>STOCKHOLMS LÄN</t>
        </is>
      </c>
      <c r="E199" t="inlineStr">
        <is>
          <t>NYKVARN</t>
        </is>
      </c>
      <c r="G199" t="n">
        <v>2.6</v>
      </c>
      <c r="H199" t="n">
        <v>2</v>
      </c>
      <c r="I199" t="n">
        <v>0</v>
      </c>
      <c r="J199" t="n">
        <v>1</v>
      </c>
      <c r="K199" t="n">
        <v>0</v>
      </c>
      <c r="L199" t="n">
        <v>0</v>
      </c>
      <c r="M199" t="n">
        <v>0</v>
      </c>
      <c r="N199" t="n">
        <v>0</v>
      </c>
      <c r="O199" t="n">
        <v>1</v>
      </c>
      <c r="P199" t="n">
        <v>0</v>
      </c>
      <c r="Q199" t="n">
        <v>2</v>
      </c>
      <c r="R199" s="2" t="inlineStr">
        <is>
          <t>Gulsparv
Blåsippa</t>
        </is>
      </c>
      <c r="S199">
        <f>HYPERLINK("https://klasma.github.io/Logging_0140/artfynd/A 11348-2022 artfynd.xlsx", "A 11348-2022")</f>
        <v/>
      </c>
      <c r="T199">
        <f>HYPERLINK("https://klasma.github.io/Logging_0140/kartor/A 11348-2022 karta.png", "A 11348-2022")</f>
        <v/>
      </c>
      <c r="V199">
        <f>HYPERLINK("https://klasma.github.io/Logging_0140/klagomål/A 11348-2022 FSC-klagomål.docx", "A 11348-2022")</f>
        <v/>
      </c>
      <c r="W199">
        <f>HYPERLINK("https://klasma.github.io/Logging_0140/klagomålsmail/A 11348-2022 FSC-klagomål mail.docx", "A 11348-2022")</f>
        <v/>
      </c>
      <c r="X199">
        <f>HYPERLINK("https://klasma.github.io/Logging_0140/tillsyn/A 11348-2022 tillsynsbegäran.docx", "A 11348-2022")</f>
        <v/>
      </c>
      <c r="Y199">
        <f>HYPERLINK("https://klasma.github.io/Logging_0140/tillsynsmail/A 11348-2022 tillsynsbegäran mail.docx", "A 11348-2022")</f>
        <v/>
      </c>
      <c r="Z199">
        <f>HYPERLINK("https://klasma.github.io/Logging_0140/fåglar/A 11348-2022 prioriterade fågelarter.docx", "A 11348-2022")</f>
        <v/>
      </c>
    </row>
    <row r="200" ht="15" customHeight="1">
      <c r="A200" t="inlineStr">
        <is>
          <t>A 49419-2023</t>
        </is>
      </c>
      <c r="B200" s="1" t="n">
        <v>45211</v>
      </c>
      <c r="C200" s="1" t="n">
        <v>46050</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30693-2022</t>
        </is>
      </c>
      <c r="B201" s="1" t="n">
        <v>44763</v>
      </c>
      <c r="C201" s="1" t="n">
        <v>46050</v>
      </c>
      <c r="D201" t="inlineStr">
        <is>
          <t>STOCKHOLMS LÄN</t>
        </is>
      </c>
      <c r="E201" t="inlineStr">
        <is>
          <t>NORRTÄLJE</t>
        </is>
      </c>
      <c r="F201" t="inlineStr">
        <is>
          <t>Sveaskog</t>
        </is>
      </c>
      <c r="G201" t="n">
        <v>3.4</v>
      </c>
      <c r="H201" t="n">
        <v>2</v>
      </c>
      <c r="I201" t="n">
        <v>0</v>
      </c>
      <c r="J201" t="n">
        <v>1</v>
      </c>
      <c r="K201" t="n">
        <v>0</v>
      </c>
      <c r="L201" t="n">
        <v>0</v>
      </c>
      <c r="M201" t="n">
        <v>0</v>
      </c>
      <c r="N201" t="n">
        <v>0</v>
      </c>
      <c r="O201" t="n">
        <v>1</v>
      </c>
      <c r="P201" t="n">
        <v>0</v>
      </c>
      <c r="Q201" t="n">
        <v>2</v>
      </c>
      <c r="R201" s="2" t="inlineStr">
        <is>
          <t>Gulsparv
Gullviva</t>
        </is>
      </c>
      <c r="S201">
        <f>HYPERLINK("https://klasma.github.io/Logging_0188/artfynd/A 30693-2022 artfynd.xlsx", "A 30693-2022")</f>
        <v/>
      </c>
      <c r="T201">
        <f>HYPERLINK("https://klasma.github.io/Logging_0188/kartor/A 30693-2022 karta.png", "A 30693-2022")</f>
        <v/>
      </c>
      <c r="V201">
        <f>HYPERLINK("https://klasma.github.io/Logging_0188/klagomål/A 30693-2022 FSC-klagomål.docx", "A 30693-2022")</f>
        <v/>
      </c>
      <c r="W201">
        <f>HYPERLINK("https://klasma.github.io/Logging_0188/klagomålsmail/A 30693-2022 FSC-klagomål mail.docx", "A 30693-2022")</f>
        <v/>
      </c>
      <c r="X201">
        <f>HYPERLINK("https://klasma.github.io/Logging_0188/tillsyn/A 30693-2022 tillsynsbegäran.docx", "A 30693-2022")</f>
        <v/>
      </c>
      <c r="Y201">
        <f>HYPERLINK("https://klasma.github.io/Logging_0188/tillsynsmail/A 30693-2022 tillsynsbegäran mail.docx", "A 30693-2022")</f>
        <v/>
      </c>
      <c r="Z201">
        <f>HYPERLINK("https://klasma.github.io/Logging_0188/fåglar/A 30693-2022 prioriterade fågelarter.docx", "A 30693-2022")</f>
        <v/>
      </c>
    </row>
    <row r="202" ht="15" customHeight="1">
      <c r="A202" t="inlineStr">
        <is>
          <t>A 24189-2025</t>
        </is>
      </c>
      <c r="B202" s="1" t="n">
        <v>45796.84584490741</v>
      </c>
      <c r="C202" s="1" t="n">
        <v>46050</v>
      </c>
      <c r="D202" t="inlineStr">
        <is>
          <t>STOCKHOLMS LÄN</t>
        </is>
      </c>
      <c r="E202" t="inlineStr">
        <is>
          <t>HANINGE</t>
        </is>
      </c>
      <c r="G202" t="n">
        <v>6.1</v>
      </c>
      <c r="H202" t="n">
        <v>1</v>
      </c>
      <c r="I202" t="n">
        <v>1</v>
      </c>
      <c r="J202" t="n">
        <v>0</v>
      </c>
      <c r="K202" t="n">
        <v>0</v>
      </c>
      <c r="L202" t="n">
        <v>0</v>
      </c>
      <c r="M202" t="n">
        <v>0</v>
      </c>
      <c r="N202" t="n">
        <v>0</v>
      </c>
      <c r="O202" t="n">
        <v>0</v>
      </c>
      <c r="P202" t="n">
        <v>0</v>
      </c>
      <c r="Q202" t="n">
        <v>2</v>
      </c>
      <c r="R202" s="2" t="inlineStr">
        <is>
          <t>Myskmadra
Blåsippa</t>
        </is>
      </c>
      <c r="S202">
        <f>HYPERLINK("https://klasma.github.io/Logging_0136/artfynd/A 24189-2025 artfynd.xlsx", "A 24189-2025")</f>
        <v/>
      </c>
      <c r="T202">
        <f>HYPERLINK("https://klasma.github.io/Logging_0136/kartor/A 24189-2025 karta.png", "A 24189-2025")</f>
        <v/>
      </c>
      <c r="V202">
        <f>HYPERLINK("https://klasma.github.io/Logging_0136/klagomål/A 24189-2025 FSC-klagomål.docx", "A 24189-2025")</f>
        <v/>
      </c>
      <c r="W202">
        <f>HYPERLINK("https://klasma.github.io/Logging_0136/klagomålsmail/A 24189-2025 FSC-klagomål mail.docx", "A 24189-2025")</f>
        <v/>
      </c>
      <c r="X202">
        <f>HYPERLINK("https://klasma.github.io/Logging_0136/tillsyn/A 24189-2025 tillsynsbegäran.docx", "A 24189-2025")</f>
        <v/>
      </c>
      <c r="Y202">
        <f>HYPERLINK("https://klasma.github.io/Logging_0136/tillsynsmail/A 24189-2025 tillsynsbegäran mail.docx", "A 24189-2025")</f>
        <v/>
      </c>
    </row>
    <row r="203" ht="15" customHeight="1">
      <c r="A203" t="inlineStr">
        <is>
          <t>A 64357-2023</t>
        </is>
      </c>
      <c r="B203" s="1" t="n">
        <v>45280</v>
      </c>
      <c r="C203" s="1" t="n">
        <v>46050</v>
      </c>
      <c r="D203" t="inlineStr">
        <is>
          <t>STOCKHOLMS LÄN</t>
        </is>
      </c>
      <c r="E203" t="inlineStr">
        <is>
          <t>SIGTUNA</t>
        </is>
      </c>
      <c r="F203" t="inlineStr">
        <is>
          <t>Allmännings- och besparingsskogar</t>
        </is>
      </c>
      <c r="G203" t="n">
        <v>6.7</v>
      </c>
      <c r="H203" t="n">
        <v>2</v>
      </c>
      <c r="I203" t="n">
        <v>0</v>
      </c>
      <c r="J203" t="n">
        <v>0</v>
      </c>
      <c r="K203" t="n">
        <v>0</v>
      </c>
      <c r="L203" t="n">
        <v>0</v>
      </c>
      <c r="M203" t="n">
        <v>0</v>
      </c>
      <c r="N203" t="n">
        <v>0</v>
      </c>
      <c r="O203" t="n">
        <v>0</v>
      </c>
      <c r="P203" t="n">
        <v>0</v>
      </c>
      <c r="Q203" t="n">
        <v>2</v>
      </c>
      <c r="R203" s="2" t="inlineStr">
        <is>
          <t>Grönsiska
Pudrad kärrtrollslända</t>
        </is>
      </c>
      <c r="S203">
        <f>HYPERLINK("https://klasma.github.io/Logging_0191/artfynd/A 64357-2023 artfynd.xlsx", "A 64357-2023")</f>
        <v/>
      </c>
      <c r="T203">
        <f>HYPERLINK("https://klasma.github.io/Logging_0191/kartor/A 64357-2023 karta.png", "A 64357-2023")</f>
        <v/>
      </c>
      <c r="V203">
        <f>HYPERLINK("https://klasma.github.io/Logging_0191/klagomål/A 64357-2023 FSC-klagomål.docx", "A 64357-2023")</f>
        <v/>
      </c>
      <c r="W203">
        <f>HYPERLINK("https://klasma.github.io/Logging_0191/klagomålsmail/A 64357-2023 FSC-klagomål mail.docx", "A 64357-2023")</f>
        <v/>
      </c>
      <c r="X203">
        <f>HYPERLINK("https://klasma.github.io/Logging_0191/tillsyn/A 64357-2023 tillsynsbegäran.docx", "A 64357-2023")</f>
        <v/>
      </c>
      <c r="Y203">
        <f>HYPERLINK("https://klasma.github.io/Logging_0191/tillsynsmail/A 64357-2023 tillsynsbegäran mail.docx", "A 64357-2023")</f>
        <v/>
      </c>
      <c r="Z203">
        <f>HYPERLINK("https://klasma.github.io/Logging_0191/fåglar/A 64357-2023 prioriterade fågelarter.docx", "A 64357-2023")</f>
        <v/>
      </c>
    </row>
    <row r="204" ht="15" customHeight="1">
      <c r="A204" t="inlineStr">
        <is>
          <t>A 1697-2023</t>
        </is>
      </c>
      <c r="B204" s="1" t="n">
        <v>44938</v>
      </c>
      <c r="C204" s="1" t="n">
        <v>46050</v>
      </c>
      <c r="D204" t="inlineStr">
        <is>
          <t>STOCKHOLMS LÄN</t>
        </is>
      </c>
      <c r="E204" t="inlineStr">
        <is>
          <t>BOTKYRKA</t>
        </is>
      </c>
      <c r="G204" t="n">
        <v>1.1</v>
      </c>
      <c r="H204" t="n">
        <v>0</v>
      </c>
      <c r="I204" t="n">
        <v>1</v>
      </c>
      <c r="J204" t="n">
        <v>1</v>
      </c>
      <c r="K204" t="n">
        <v>0</v>
      </c>
      <c r="L204" t="n">
        <v>0</v>
      </c>
      <c r="M204" t="n">
        <v>0</v>
      </c>
      <c r="N204" t="n">
        <v>0</v>
      </c>
      <c r="O204" t="n">
        <v>1</v>
      </c>
      <c r="P204" t="n">
        <v>0</v>
      </c>
      <c r="Q204" t="n">
        <v>2</v>
      </c>
      <c r="R204" s="2" t="inlineStr">
        <is>
          <t>Lunglav
Bårdlav</t>
        </is>
      </c>
      <c r="S204">
        <f>HYPERLINK("https://klasma.github.io/Logging_0127/artfynd/A 1697-2023 artfynd.xlsx", "A 1697-2023")</f>
        <v/>
      </c>
      <c r="T204">
        <f>HYPERLINK("https://klasma.github.io/Logging_0127/kartor/A 1697-2023 karta.png", "A 1697-2023")</f>
        <v/>
      </c>
      <c r="V204">
        <f>HYPERLINK("https://klasma.github.io/Logging_0127/klagomål/A 1697-2023 FSC-klagomål.docx", "A 1697-2023")</f>
        <v/>
      </c>
      <c r="W204">
        <f>HYPERLINK("https://klasma.github.io/Logging_0127/klagomålsmail/A 1697-2023 FSC-klagomål mail.docx", "A 1697-2023")</f>
        <v/>
      </c>
      <c r="X204">
        <f>HYPERLINK("https://klasma.github.io/Logging_0127/tillsyn/A 1697-2023 tillsynsbegäran.docx", "A 1697-2023")</f>
        <v/>
      </c>
      <c r="Y204">
        <f>HYPERLINK("https://klasma.github.io/Logging_0127/tillsynsmail/A 1697-2023 tillsynsbegäran mail.docx", "A 1697-2023")</f>
        <v/>
      </c>
    </row>
    <row r="205" ht="15" customHeight="1">
      <c r="A205" t="inlineStr">
        <is>
          <t>A 35937-2023</t>
        </is>
      </c>
      <c r="B205" s="1" t="n">
        <v>45148</v>
      </c>
      <c r="C205" s="1" t="n">
        <v>46050</v>
      </c>
      <c r="D205" t="inlineStr">
        <is>
          <t>STOCKHOLMS LÄN</t>
        </is>
      </c>
      <c r="E205" t="inlineStr">
        <is>
          <t>SÖDERTÄLJE</t>
        </is>
      </c>
      <c r="G205" t="n">
        <v>3</v>
      </c>
      <c r="H205" t="n">
        <v>0</v>
      </c>
      <c r="I205" t="n">
        <v>0</v>
      </c>
      <c r="J205" t="n">
        <v>0</v>
      </c>
      <c r="K205" t="n">
        <v>0</v>
      </c>
      <c r="L205" t="n">
        <v>1</v>
      </c>
      <c r="M205" t="n">
        <v>1</v>
      </c>
      <c r="N205" t="n">
        <v>0</v>
      </c>
      <c r="O205" t="n">
        <v>2</v>
      </c>
      <c r="P205" t="n">
        <v>2</v>
      </c>
      <c r="Q205" t="n">
        <v>2</v>
      </c>
      <c r="R205" s="2" t="inlineStr">
        <is>
          <t>Skogsalm
Ask</t>
        </is>
      </c>
      <c r="S205">
        <f>HYPERLINK("https://klasma.github.io/Logging_0181/artfynd/A 35937-2023 artfynd.xlsx", "A 35937-2023")</f>
        <v/>
      </c>
      <c r="T205">
        <f>HYPERLINK("https://klasma.github.io/Logging_0181/kartor/A 35937-2023 karta.png", "A 35937-2023")</f>
        <v/>
      </c>
      <c r="V205">
        <f>HYPERLINK("https://klasma.github.io/Logging_0181/klagomål/A 35937-2023 FSC-klagomål.docx", "A 35937-2023")</f>
        <v/>
      </c>
      <c r="W205">
        <f>HYPERLINK("https://klasma.github.io/Logging_0181/klagomålsmail/A 35937-2023 FSC-klagomål mail.docx", "A 35937-2023")</f>
        <v/>
      </c>
      <c r="X205">
        <f>HYPERLINK("https://klasma.github.io/Logging_0181/tillsyn/A 35937-2023 tillsynsbegäran.docx", "A 35937-2023")</f>
        <v/>
      </c>
      <c r="Y205">
        <f>HYPERLINK("https://klasma.github.io/Logging_0181/tillsynsmail/A 35937-2023 tillsynsbegäran mail.docx", "A 35937-2023")</f>
        <v/>
      </c>
    </row>
    <row r="206" ht="15" customHeight="1">
      <c r="A206" t="inlineStr">
        <is>
          <t>A 26588-2025</t>
        </is>
      </c>
      <c r="B206" s="1" t="n">
        <v>45807.76052083333</v>
      </c>
      <c r="C206" s="1" t="n">
        <v>46050</v>
      </c>
      <c r="D206" t="inlineStr">
        <is>
          <t>STOCKHOLMS LÄN</t>
        </is>
      </c>
      <c r="E206" t="inlineStr">
        <is>
          <t>EKERÖ</t>
        </is>
      </c>
      <c r="G206" t="n">
        <v>6.1</v>
      </c>
      <c r="H206" t="n">
        <v>2</v>
      </c>
      <c r="I206" t="n">
        <v>0</v>
      </c>
      <c r="J206" t="n">
        <v>0</v>
      </c>
      <c r="K206" t="n">
        <v>0</v>
      </c>
      <c r="L206" t="n">
        <v>0</v>
      </c>
      <c r="M206" t="n">
        <v>0</v>
      </c>
      <c r="N206" t="n">
        <v>0</v>
      </c>
      <c r="O206" t="n">
        <v>0</v>
      </c>
      <c r="P206" t="n">
        <v>0</v>
      </c>
      <c r="Q206" t="n">
        <v>2</v>
      </c>
      <c r="R206" s="2" t="inlineStr">
        <is>
          <t>Fläcknycklar
Nattviol</t>
        </is>
      </c>
      <c r="S206">
        <f>HYPERLINK("https://klasma.github.io/Logging_0125/artfynd/A 26588-2025 artfynd.xlsx", "A 26588-2025")</f>
        <v/>
      </c>
      <c r="T206">
        <f>HYPERLINK("https://klasma.github.io/Logging_0125/kartor/A 26588-2025 karta.png", "A 26588-2025")</f>
        <v/>
      </c>
      <c r="V206">
        <f>HYPERLINK("https://klasma.github.io/Logging_0125/klagomål/A 26588-2025 FSC-klagomål.docx", "A 26588-2025")</f>
        <v/>
      </c>
      <c r="W206">
        <f>HYPERLINK("https://klasma.github.io/Logging_0125/klagomålsmail/A 26588-2025 FSC-klagomål mail.docx", "A 26588-2025")</f>
        <v/>
      </c>
      <c r="X206">
        <f>HYPERLINK("https://klasma.github.io/Logging_0125/tillsyn/A 26588-2025 tillsynsbegäran.docx", "A 26588-2025")</f>
        <v/>
      </c>
      <c r="Y206">
        <f>HYPERLINK("https://klasma.github.io/Logging_0125/tillsynsmail/A 26588-2025 tillsynsbegäran mail.docx", "A 26588-2025")</f>
        <v/>
      </c>
    </row>
    <row r="207" ht="15" customHeight="1">
      <c r="A207" t="inlineStr">
        <is>
          <t>A 754-2024</t>
        </is>
      </c>
      <c r="B207" s="1" t="n">
        <v>45300</v>
      </c>
      <c r="C207" s="1" t="n">
        <v>46050</v>
      </c>
      <c r="D207" t="inlineStr">
        <is>
          <t>STOCKHOLMS LÄN</t>
        </is>
      </c>
      <c r="E207" t="inlineStr">
        <is>
          <t>VALLENTUNA</t>
        </is>
      </c>
      <c r="G207" t="n">
        <v>2.5</v>
      </c>
      <c r="H207" t="n">
        <v>1</v>
      </c>
      <c r="I207" t="n">
        <v>1</v>
      </c>
      <c r="J207" t="n">
        <v>0</v>
      </c>
      <c r="K207" t="n">
        <v>0</v>
      </c>
      <c r="L207" t="n">
        <v>0</v>
      </c>
      <c r="M207" t="n">
        <v>0</v>
      </c>
      <c r="N207" t="n">
        <v>0</v>
      </c>
      <c r="O207" t="n">
        <v>0</v>
      </c>
      <c r="P207" t="n">
        <v>0</v>
      </c>
      <c r="Q207" t="n">
        <v>2</v>
      </c>
      <c r="R207" s="2" t="inlineStr">
        <is>
          <t>Vågbandad barkbock
Grönsiska</t>
        </is>
      </c>
      <c r="S207">
        <f>HYPERLINK("https://klasma.github.io/Logging_0115/artfynd/A 754-2024 artfynd.xlsx", "A 754-2024")</f>
        <v/>
      </c>
      <c r="T207">
        <f>HYPERLINK("https://klasma.github.io/Logging_0115/kartor/A 754-2024 karta.png", "A 754-2024")</f>
        <v/>
      </c>
      <c r="V207">
        <f>HYPERLINK("https://klasma.github.io/Logging_0115/klagomål/A 754-2024 FSC-klagomål.docx", "A 754-2024")</f>
        <v/>
      </c>
      <c r="W207">
        <f>HYPERLINK("https://klasma.github.io/Logging_0115/klagomålsmail/A 754-2024 FSC-klagomål mail.docx", "A 754-2024")</f>
        <v/>
      </c>
      <c r="X207">
        <f>HYPERLINK("https://klasma.github.io/Logging_0115/tillsyn/A 754-2024 tillsynsbegäran.docx", "A 754-2024")</f>
        <v/>
      </c>
      <c r="Y207">
        <f>HYPERLINK("https://klasma.github.io/Logging_0115/tillsynsmail/A 754-2024 tillsynsbegäran mail.docx", "A 754-2024")</f>
        <v/>
      </c>
      <c r="Z207">
        <f>HYPERLINK("https://klasma.github.io/Logging_0115/fåglar/A 754-2024 prioriterade fågelarter.docx", "A 754-2024")</f>
        <v/>
      </c>
    </row>
    <row r="208" ht="15" customHeight="1">
      <c r="A208" t="inlineStr">
        <is>
          <t>A 20507-2025</t>
        </is>
      </c>
      <c r="B208" s="1" t="n">
        <v>45775.59121527777</v>
      </c>
      <c r="C208" s="1" t="n">
        <v>46050</v>
      </c>
      <c r="D208" t="inlineStr">
        <is>
          <t>STOCKHOLMS LÄN</t>
        </is>
      </c>
      <c r="E208" t="inlineStr">
        <is>
          <t>HANINGE</t>
        </is>
      </c>
      <c r="G208" t="n">
        <v>1.2</v>
      </c>
      <c r="H208" t="n">
        <v>1</v>
      </c>
      <c r="I208" t="n">
        <v>1</v>
      </c>
      <c r="J208" t="n">
        <v>0</v>
      </c>
      <c r="K208" t="n">
        <v>0</v>
      </c>
      <c r="L208" t="n">
        <v>0</v>
      </c>
      <c r="M208" t="n">
        <v>0</v>
      </c>
      <c r="N208" t="n">
        <v>0</v>
      </c>
      <c r="O208" t="n">
        <v>0</v>
      </c>
      <c r="P208" t="n">
        <v>0</v>
      </c>
      <c r="Q208" t="n">
        <v>2</v>
      </c>
      <c r="R208" s="2" t="inlineStr">
        <is>
          <t>Brandticka
Revlummer</t>
        </is>
      </c>
      <c r="S208">
        <f>HYPERLINK("https://klasma.github.io/Logging_0136/artfynd/A 20507-2025 artfynd.xlsx", "A 20507-2025")</f>
        <v/>
      </c>
      <c r="T208">
        <f>HYPERLINK("https://klasma.github.io/Logging_0136/kartor/A 20507-2025 karta.png", "A 20507-2025")</f>
        <v/>
      </c>
      <c r="V208">
        <f>HYPERLINK("https://klasma.github.io/Logging_0136/klagomål/A 20507-2025 FSC-klagomål.docx", "A 20507-2025")</f>
        <v/>
      </c>
      <c r="W208">
        <f>HYPERLINK("https://klasma.github.io/Logging_0136/klagomålsmail/A 20507-2025 FSC-klagomål mail.docx", "A 20507-2025")</f>
        <v/>
      </c>
      <c r="X208">
        <f>HYPERLINK("https://klasma.github.io/Logging_0136/tillsyn/A 20507-2025 tillsynsbegäran.docx", "A 20507-2025")</f>
        <v/>
      </c>
      <c r="Y208">
        <f>HYPERLINK("https://klasma.github.io/Logging_0136/tillsynsmail/A 20507-2025 tillsynsbegäran mail.docx", "A 20507-2025")</f>
        <v/>
      </c>
    </row>
    <row r="209" ht="15" customHeight="1">
      <c r="A209" t="inlineStr">
        <is>
          <t>A 64189-2023</t>
        </is>
      </c>
      <c r="B209" s="1" t="n">
        <v>45279</v>
      </c>
      <c r="C209" s="1" t="n">
        <v>46050</v>
      </c>
      <c r="D209" t="inlineStr">
        <is>
          <t>STOCKHOLMS LÄN</t>
        </is>
      </c>
      <c r="E209" t="inlineStr">
        <is>
          <t>NYNÄSHAMN</t>
        </is>
      </c>
      <c r="G209" t="n">
        <v>1.5</v>
      </c>
      <c r="H209" t="n">
        <v>2</v>
      </c>
      <c r="I209" t="n">
        <v>0</v>
      </c>
      <c r="J209" t="n">
        <v>0</v>
      </c>
      <c r="K209" t="n">
        <v>0</v>
      </c>
      <c r="L209" t="n">
        <v>0</v>
      </c>
      <c r="M209" t="n">
        <v>0</v>
      </c>
      <c r="N209" t="n">
        <v>0</v>
      </c>
      <c r="O209" t="n">
        <v>0</v>
      </c>
      <c r="P209" t="n">
        <v>0</v>
      </c>
      <c r="Q209" t="n">
        <v>2</v>
      </c>
      <c r="R209" s="2" t="inlineStr">
        <is>
          <t>Blåsippa
Gullviva</t>
        </is>
      </c>
      <c r="S209">
        <f>HYPERLINK("https://klasma.github.io/Logging_0192/artfynd/A 64189-2023 artfynd.xlsx", "A 64189-2023")</f>
        <v/>
      </c>
      <c r="T209">
        <f>HYPERLINK("https://klasma.github.io/Logging_0192/kartor/A 64189-2023 karta.png", "A 64189-2023")</f>
        <v/>
      </c>
      <c r="V209">
        <f>HYPERLINK("https://klasma.github.io/Logging_0192/klagomål/A 64189-2023 FSC-klagomål.docx", "A 64189-2023")</f>
        <v/>
      </c>
      <c r="W209">
        <f>HYPERLINK("https://klasma.github.io/Logging_0192/klagomålsmail/A 64189-2023 FSC-klagomål mail.docx", "A 64189-2023")</f>
        <v/>
      </c>
      <c r="X209">
        <f>HYPERLINK("https://klasma.github.io/Logging_0192/tillsyn/A 64189-2023 tillsynsbegäran.docx", "A 64189-2023")</f>
        <v/>
      </c>
      <c r="Y209">
        <f>HYPERLINK("https://klasma.github.io/Logging_0192/tillsynsmail/A 64189-2023 tillsynsbegäran mail.docx", "A 64189-2023")</f>
        <v/>
      </c>
    </row>
    <row r="210" ht="15" customHeight="1">
      <c r="A210" t="inlineStr">
        <is>
          <t>A 30067-2025</t>
        </is>
      </c>
      <c r="B210" s="1" t="n">
        <v>45826</v>
      </c>
      <c r="C210" s="1" t="n">
        <v>46050</v>
      </c>
      <c r="D210" t="inlineStr">
        <is>
          <t>STOCKHOLMS LÄN</t>
        </is>
      </c>
      <c r="E210" t="inlineStr">
        <is>
          <t>BOTKYRKA</t>
        </is>
      </c>
      <c r="G210" t="n">
        <v>11.9</v>
      </c>
      <c r="H210" t="n">
        <v>2</v>
      </c>
      <c r="I210" t="n">
        <v>0</v>
      </c>
      <c r="J210" t="n">
        <v>0</v>
      </c>
      <c r="K210" t="n">
        <v>0</v>
      </c>
      <c r="L210" t="n">
        <v>0</v>
      </c>
      <c r="M210" t="n">
        <v>0</v>
      </c>
      <c r="N210" t="n">
        <v>0</v>
      </c>
      <c r="O210" t="n">
        <v>0</v>
      </c>
      <c r="P210" t="n">
        <v>0</v>
      </c>
      <c r="Q210" t="n">
        <v>2</v>
      </c>
      <c r="R210" s="2" t="inlineStr">
        <is>
          <t>Åkergroda
Vanlig groda</t>
        </is>
      </c>
      <c r="S210">
        <f>HYPERLINK("https://klasma.github.io/Logging_0127/artfynd/A 30067-2025 artfynd.xlsx", "A 30067-2025")</f>
        <v/>
      </c>
      <c r="T210">
        <f>HYPERLINK("https://klasma.github.io/Logging_0127/kartor/A 30067-2025 karta.png", "A 30067-2025")</f>
        <v/>
      </c>
      <c r="V210">
        <f>HYPERLINK("https://klasma.github.io/Logging_0127/klagomål/A 30067-2025 FSC-klagomål.docx", "A 30067-2025")</f>
        <v/>
      </c>
      <c r="W210">
        <f>HYPERLINK("https://klasma.github.io/Logging_0127/klagomålsmail/A 30067-2025 FSC-klagomål mail.docx", "A 30067-2025")</f>
        <v/>
      </c>
      <c r="X210">
        <f>HYPERLINK("https://klasma.github.io/Logging_0127/tillsyn/A 30067-2025 tillsynsbegäran.docx", "A 30067-2025")</f>
        <v/>
      </c>
      <c r="Y210">
        <f>HYPERLINK("https://klasma.github.io/Logging_0127/tillsynsmail/A 30067-2025 tillsynsbegäran mail.docx", "A 30067-2025")</f>
        <v/>
      </c>
    </row>
    <row r="211" ht="15" customHeight="1">
      <c r="A211" t="inlineStr">
        <is>
          <t>A 30055-2025</t>
        </is>
      </c>
      <c r="B211" s="1" t="n">
        <v>45826</v>
      </c>
      <c r="C211" s="1" t="n">
        <v>46050</v>
      </c>
      <c r="D211" t="inlineStr">
        <is>
          <t>STOCKHOLMS LÄN</t>
        </is>
      </c>
      <c r="E211" t="inlineStr">
        <is>
          <t>BOTKYRKA</t>
        </is>
      </c>
      <c r="G211" t="n">
        <v>2.1</v>
      </c>
      <c r="H211" t="n">
        <v>1</v>
      </c>
      <c r="I211" t="n">
        <v>0</v>
      </c>
      <c r="J211" t="n">
        <v>1</v>
      </c>
      <c r="K211" t="n">
        <v>0</v>
      </c>
      <c r="L211" t="n">
        <v>0</v>
      </c>
      <c r="M211" t="n">
        <v>0</v>
      </c>
      <c r="N211" t="n">
        <v>0</v>
      </c>
      <c r="O211" t="n">
        <v>1</v>
      </c>
      <c r="P211" t="n">
        <v>0</v>
      </c>
      <c r="Q211" t="n">
        <v>2</v>
      </c>
      <c r="R211" s="2" t="inlineStr">
        <is>
          <t>Klasefibbla
Blåsippa</t>
        </is>
      </c>
      <c r="S211">
        <f>HYPERLINK("https://klasma.github.io/Logging_0127/artfynd/A 30055-2025 artfynd.xlsx", "A 30055-2025")</f>
        <v/>
      </c>
      <c r="T211">
        <f>HYPERLINK("https://klasma.github.io/Logging_0127/kartor/A 30055-2025 karta.png", "A 30055-2025")</f>
        <v/>
      </c>
      <c r="V211">
        <f>HYPERLINK("https://klasma.github.io/Logging_0127/klagomål/A 30055-2025 FSC-klagomål.docx", "A 30055-2025")</f>
        <v/>
      </c>
      <c r="W211">
        <f>HYPERLINK("https://klasma.github.io/Logging_0127/klagomålsmail/A 30055-2025 FSC-klagomål mail.docx", "A 30055-2025")</f>
        <v/>
      </c>
      <c r="X211">
        <f>HYPERLINK("https://klasma.github.io/Logging_0127/tillsyn/A 30055-2025 tillsynsbegäran.docx", "A 30055-2025")</f>
        <v/>
      </c>
      <c r="Y211">
        <f>HYPERLINK("https://klasma.github.io/Logging_0127/tillsynsmail/A 30055-2025 tillsynsbegäran mail.docx", "A 30055-2025")</f>
        <v/>
      </c>
    </row>
    <row r="212" ht="15" customHeight="1">
      <c r="A212" t="inlineStr">
        <is>
          <t>A 11031-2025</t>
        </is>
      </c>
      <c r="B212" s="1" t="n">
        <v>45723</v>
      </c>
      <c r="C212" s="1" t="n">
        <v>46050</v>
      </c>
      <c r="D212" t="inlineStr">
        <is>
          <t>STOCKHOLMS LÄN</t>
        </is>
      </c>
      <c r="E212" t="inlineStr">
        <is>
          <t>NORRTÄLJE</t>
        </is>
      </c>
      <c r="F212" t="inlineStr">
        <is>
          <t>Övriga Aktiebolag</t>
        </is>
      </c>
      <c r="G212" t="n">
        <v>13.2</v>
      </c>
      <c r="H212" t="n">
        <v>1</v>
      </c>
      <c r="I212" t="n">
        <v>0</v>
      </c>
      <c r="J212" t="n">
        <v>2</v>
      </c>
      <c r="K212" t="n">
        <v>0</v>
      </c>
      <c r="L212" t="n">
        <v>0</v>
      </c>
      <c r="M212" t="n">
        <v>0</v>
      </c>
      <c r="N212" t="n">
        <v>0</v>
      </c>
      <c r="O212" t="n">
        <v>2</v>
      </c>
      <c r="P212" t="n">
        <v>0</v>
      </c>
      <c r="Q212" t="n">
        <v>2</v>
      </c>
      <c r="R212" s="2" t="inlineStr">
        <is>
          <t>Järpe
Ullticka</t>
        </is>
      </c>
      <c r="S212">
        <f>HYPERLINK("https://klasma.github.io/Logging_0188/artfynd/A 11031-2025 artfynd.xlsx", "A 11031-2025")</f>
        <v/>
      </c>
      <c r="T212">
        <f>HYPERLINK("https://klasma.github.io/Logging_0188/kartor/A 11031-2025 karta.png", "A 11031-2025")</f>
        <v/>
      </c>
      <c r="V212">
        <f>HYPERLINK("https://klasma.github.io/Logging_0188/klagomål/A 11031-2025 FSC-klagomål.docx", "A 11031-2025")</f>
        <v/>
      </c>
      <c r="W212">
        <f>HYPERLINK("https://klasma.github.io/Logging_0188/klagomålsmail/A 11031-2025 FSC-klagomål mail.docx", "A 11031-2025")</f>
        <v/>
      </c>
      <c r="X212">
        <f>HYPERLINK("https://klasma.github.io/Logging_0188/tillsyn/A 11031-2025 tillsynsbegäran.docx", "A 11031-2025")</f>
        <v/>
      </c>
      <c r="Y212">
        <f>HYPERLINK("https://klasma.github.io/Logging_0188/tillsynsmail/A 11031-2025 tillsynsbegäran mail.docx", "A 11031-2025")</f>
        <v/>
      </c>
      <c r="Z212">
        <f>HYPERLINK("https://klasma.github.io/Logging_0188/fåglar/A 11031-2025 prioriterade fågelarter.docx", "A 11031-2025")</f>
        <v/>
      </c>
    </row>
    <row r="213" ht="15" customHeight="1">
      <c r="A213" t="inlineStr">
        <is>
          <t>A 34721-2025</t>
        </is>
      </c>
      <c r="B213" s="1" t="n">
        <v>45848</v>
      </c>
      <c r="C213" s="1" t="n">
        <v>46050</v>
      </c>
      <c r="D213" t="inlineStr">
        <is>
          <t>STOCKHOLMS LÄN</t>
        </is>
      </c>
      <c r="E213" t="inlineStr">
        <is>
          <t>ÖSTERÅKER</t>
        </is>
      </c>
      <c r="G213" t="n">
        <v>2.6</v>
      </c>
      <c r="H213" t="n">
        <v>0</v>
      </c>
      <c r="I213" t="n">
        <v>2</v>
      </c>
      <c r="J213" t="n">
        <v>0</v>
      </c>
      <c r="K213" t="n">
        <v>0</v>
      </c>
      <c r="L213" t="n">
        <v>0</v>
      </c>
      <c r="M213" t="n">
        <v>0</v>
      </c>
      <c r="N213" t="n">
        <v>0</v>
      </c>
      <c r="O213" t="n">
        <v>0</v>
      </c>
      <c r="P213" t="n">
        <v>0</v>
      </c>
      <c r="Q213" t="n">
        <v>2</v>
      </c>
      <c r="R213" s="2" t="inlineStr">
        <is>
          <t>Skuggblåslav
Västlig hakmossa</t>
        </is>
      </c>
      <c r="S213">
        <f>HYPERLINK("https://klasma.github.io/Logging_0117/artfynd/A 34721-2025 artfynd.xlsx", "A 34721-2025")</f>
        <v/>
      </c>
      <c r="T213">
        <f>HYPERLINK("https://klasma.github.io/Logging_0117/kartor/A 34721-2025 karta.png", "A 34721-2025")</f>
        <v/>
      </c>
      <c r="V213">
        <f>HYPERLINK("https://klasma.github.io/Logging_0117/klagomål/A 34721-2025 FSC-klagomål.docx", "A 34721-2025")</f>
        <v/>
      </c>
      <c r="W213">
        <f>HYPERLINK("https://klasma.github.io/Logging_0117/klagomålsmail/A 34721-2025 FSC-klagomål mail.docx", "A 34721-2025")</f>
        <v/>
      </c>
      <c r="X213">
        <f>HYPERLINK("https://klasma.github.io/Logging_0117/tillsyn/A 34721-2025 tillsynsbegäran.docx", "A 34721-2025")</f>
        <v/>
      </c>
      <c r="Y213">
        <f>HYPERLINK("https://klasma.github.io/Logging_0117/tillsynsmail/A 34721-2025 tillsynsbegäran mail.docx", "A 34721-2025")</f>
        <v/>
      </c>
    </row>
    <row r="214" ht="15" customHeight="1">
      <c r="A214" t="inlineStr">
        <is>
          <t>A 9745-2022</t>
        </is>
      </c>
      <c r="B214" s="1" t="n">
        <v>44618</v>
      </c>
      <c r="C214" s="1" t="n">
        <v>46050</v>
      </c>
      <c r="D214" t="inlineStr">
        <is>
          <t>STOCKHOLMS LÄN</t>
        </is>
      </c>
      <c r="E214" t="inlineStr">
        <is>
          <t>VALLENTUNA</t>
        </is>
      </c>
      <c r="G214" t="n">
        <v>5.9</v>
      </c>
      <c r="H214" t="n">
        <v>1</v>
      </c>
      <c r="I214" t="n">
        <v>1</v>
      </c>
      <c r="J214" t="n">
        <v>1</v>
      </c>
      <c r="K214" t="n">
        <v>0</v>
      </c>
      <c r="L214" t="n">
        <v>0</v>
      </c>
      <c r="M214" t="n">
        <v>0</v>
      </c>
      <c r="N214" t="n">
        <v>0</v>
      </c>
      <c r="O214" t="n">
        <v>1</v>
      </c>
      <c r="P214" t="n">
        <v>0</v>
      </c>
      <c r="Q214" t="n">
        <v>2</v>
      </c>
      <c r="R214" s="2" t="inlineStr">
        <is>
          <t>Spillkråka
Björksplintborre</t>
        </is>
      </c>
      <c r="S214">
        <f>HYPERLINK("https://klasma.github.io/Logging_0115/artfynd/A 9745-2022 artfynd.xlsx", "A 9745-2022")</f>
        <v/>
      </c>
      <c r="T214">
        <f>HYPERLINK("https://klasma.github.io/Logging_0115/kartor/A 9745-2022 karta.png", "A 9745-2022")</f>
        <v/>
      </c>
      <c r="V214">
        <f>HYPERLINK("https://klasma.github.io/Logging_0115/klagomål/A 9745-2022 FSC-klagomål.docx", "A 9745-2022")</f>
        <v/>
      </c>
      <c r="W214">
        <f>HYPERLINK("https://klasma.github.io/Logging_0115/klagomålsmail/A 9745-2022 FSC-klagomål mail.docx", "A 9745-2022")</f>
        <v/>
      </c>
      <c r="X214">
        <f>HYPERLINK("https://klasma.github.io/Logging_0115/tillsyn/A 9745-2022 tillsynsbegäran.docx", "A 9745-2022")</f>
        <v/>
      </c>
      <c r="Y214">
        <f>HYPERLINK("https://klasma.github.io/Logging_0115/tillsynsmail/A 9745-2022 tillsynsbegäran mail.docx", "A 9745-2022")</f>
        <v/>
      </c>
      <c r="Z214">
        <f>HYPERLINK("https://klasma.github.io/Logging_0115/fåglar/A 9745-2022 prioriterade fågelarter.docx", "A 9745-2022")</f>
        <v/>
      </c>
    </row>
    <row r="215" ht="15" customHeight="1">
      <c r="A215" t="inlineStr">
        <is>
          <t>A 1561-2023</t>
        </is>
      </c>
      <c r="B215" s="1" t="n">
        <v>44937.60278935185</v>
      </c>
      <c r="C215" s="1" t="n">
        <v>46050</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36502-2025</t>
        </is>
      </c>
      <c r="B216" s="1" t="n">
        <v>45869.56332175926</v>
      </c>
      <c r="C216" s="1" t="n">
        <v>46050</v>
      </c>
      <c r="D216" t="inlineStr">
        <is>
          <t>STOCKHOLMS LÄN</t>
        </is>
      </c>
      <c r="E216" t="inlineStr">
        <is>
          <t>SÖDERTÄLJE</t>
        </is>
      </c>
      <c r="F216" t="inlineStr">
        <is>
          <t>Sveaskog</t>
        </is>
      </c>
      <c r="G216" t="n">
        <v>3.3</v>
      </c>
      <c r="H216" t="n">
        <v>1</v>
      </c>
      <c r="I216" t="n">
        <v>0</v>
      </c>
      <c r="J216" t="n">
        <v>1</v>
      </c>
      <c r="K216" t="n">
        <v>0</v>
      </c>
      <c r="L216" t="n">
        <v>0</v>
      </c>
      <c r="M216" t="n">
        <v>0</v>
      </c>
      <c r="N216" t="n">
        <v>0</v>
      </c>
      <c r="O216" t="n">
        <v>1</v>
      </c>
      <c r="P216" t="n">
        <v>0</v>
      </c>
      <c r="Q216" t="n">
        <v>2</v>
      </c>
      <c r="R216" s="2" t="inlineStr">
        <is>
          <t>Svart taggsvamp
Tjäder</t>
        </is>
      </c>
      <c r="S216">
        <f>HYPERLINK("https://klasma.github.io/Logging_0181/artfynd/A 36502-2025 artfynd.xlsx", "A 36502-2025")</f>
        <v/>
      </c>
      <c r="T216">
        <f>HYPERLINK("https://klasma.github.io/Logging_0181/kartor/A 36502-2025 karta.png", "A 36502-2025")</f>
        <v/>
      </c>
      <c r="V216">
        <f>HYPERLINK("https://klasma.github.io/Logging_0181/klagomål/A 36502-2025 FSC-klagomål.docx", "A 36502-2025")</f>
        <v/>
      </c>
      <c r="W216">
        <f>HYPERLINK("https://klasma.github.io/Logging_0181/klagomålsmail/A 36502-2025 FSC-klagomål mail.docx", "A 36502-2025")</f>
        <v/>
      </c>
      <c r="X216">
        <f>HYPERLINK("https://klasma.github.io/Logging_0181/tillsyn/A 36502-2025 tillsynsbegäran.docx", "A 36502-2025")</f>
        <v/>
      </c>
      <c r="Y216">
        <f>HYPERLINK("https://klasma.github.io/Logging_0181/tillsynsmail/A 36502-2025 tillsynsbegäran mail.docx", "A 36502-2025")</f>
        <v/>
      </c>
      <c r="Z216">
        <f>HYPERLINK("https://klasma.github.io/Logging_0181/fåglar/A 36502-2025 prioriterade fågelarter.docx", "A 36502-2025")</f>
        <v/>
      </c>
    </row>
    <row r="217" ht="15" customHeight="1">
      <c r="A217" t="inlineStr">
        <is>
          <t>A 48988-2025</t>
        </is>
      </c>
      <c r="B217" s="1" t="n">
        <v>45936</v>
      </c>
      <c r="C217" s="1" t="n">
        <v>46050</v>
      </c>
      <c r="D217" t="inlineStr">
        <is>
          <t>STOCKHOLMS LÄN</t>
        </is>
      </c>
      <c r="E217" t="inlineStr">
        <is>
          <t>EKERÖ</t>
        </is>
      </c>
      <c r="G217" t="n">
        <v>2.1</v>
      </c>
      <c r="H217" t="n">
        <v>0</v>
      </c>
      <c r="I217" t="n">
        <v>2</v>
      </c>
      <c r="J217" t="n">
        <v>0</v>
      </c>
      <c r="K217" t="n">
        <v>0</v>
      </c>
      <c r="L217" t="n">
        <v>0</v>
      </c>
      <c r="M217" t="n">
        <v>0</v>
      </c>
      <c r="N217" t="n">
        <v>0</v>
      </c>
      <c r="O217" t="n">
        <v>0</v>
      </c>
      <c r="P217" t="n">
        <v>0</v>
      </c>
      <c r="Q217" t="n">
        <v>2</v>
      </c>
      <c r="R217" s="2" t="inlineStr">
        <is>
          <t>Blodvaxing
Ängsvaxskivling</t>
        </is>
      </c>
      <c r="S217">
        <f>HYPERLINK("https://klasma.github.io/Logging_0125/artfynd/A 48988-2025 artfynd.xlsx", "A 48988-2025")</f>
        <v/>
      </c>
      <c r="T217">
        <f>HYPERLINK("https://klasma.github.io/Logging_0125/kartor/A 48988-2025 karta.png", "A 48988-2025")</f>
        <v/>
      </c>
      <c r="V217">
        <f>HYPERLINK("https://klasma.github.io/Logging_0125/klagomål/A 48988-2025 FSC-klagomål.docx", "A 48988-2025")</f>
        <v/>
      </c>
      <c r="W217">
        <f>HYPERLINK("https://klasma.github.io/Logging_0125/klagomålsmail/A 48988-2025 FSC-klagomål mail.docx", "A 48988-2025")</f>
        <v/>
      </c>
      <c r="X217">
        <f>HYPERLINK("https://klasma.github.io/Logging_0125/tillsyn/A 48988-2025 tillsynsbegäran.docx", "A 48988-2025")</f>
        <v/>
      </c>
      <c r="Y217">
        <f>HYPERLINK("https://klasma.github.io/Logging_0125/tillsynsmail/A 48988-2025 tillsynsbegäran mail.docx", "A 48988-2025")</f>
        <v/>
      </c>
    </row>
    <row r="218" ht="15" customHeight="1">
      <c r="A218" t="inlineStr">
        <is>
          <t>A 22190-2024</t>
        </is>
      </c>
      <c r="B218" s="1" t="n">
        <v>45446.35888888889</v>
      </c>
      <c r="C218" s="1" t="n">
        <v>46050</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49131-2025</t>
        </is>
      </c>
      <c r="B219" s="1" t="n">
        <v>45937.8984375</v>
      </c>
      <c r="C219" s="1" t="n">
        <v>46050</v>
      </c>
      <c r="D219" t="inlineStr">
        <is>
          <t>STOCKHOLMS LÄN</t>
        </is>
      </c>
      <c r="E219" t="inlineStr">
        <is>
          <t>EKERÖ</t>
        </is>
      </c>
      <c r="G219" t="n">
        <v>0.9</v>
      </c>
      <c r="H219" t="n">
        <v>0</v>
      </c>
      <c r="I219" t="n">
        <v>0</v>
      </c>
      <c r="J219" t="n">
        <v>1</v>
      </c>
      <c r="K219" t="n">
        <v>1</v>
      </c>
      <c r="L219" t="n">
        <v>0</v>
      </c>
      <c r="M219" t="n">
        <v>0</v>
      </c>
      <c r="N219" t="n">
        <v>0</v>
      </c>
      <c r="O219" t="n">
        <v>2</v>
      </c>
      <c r="P219" t="n">
        <v>1</v>
      </c>
      <c r="Q219" t="n">
        <v>2</v>
      </c>
      <c r="R219" s="2" t="inlineStr">
        <is>
          <t>Jättemusseron
Svartvit taggsvamp</t>
        </is>
      </c>
      <c r="S219">
        <f>HYPERLINK("https://klasma.github.io/Logging_0125/artfynd/A 49131-2025 artfynd.xlsx", "A 49131-2025")</f>
        <v/>
      </c>
      <c r="T219">
        <f>HYPERLINK("https://klasma.github.io/Logging_0125/kartor/A 49131-2025 karta.png", "A 49131-2025")</f>
        <v/>
      </c>
      <c r="V219">
        <f>HYPERLINK("https://klasma.github.io/Logging_0125/klagomål/A 49131-2025 FSC-klagomål.docx", "A 49131-2025")</f>
        <v/>
      </c>
      <c r="W219">
        <f>HYPERLINK("https://klasma.github.io/Logging_0125/klagomålsmail/A 49131-2025 FSC-klagomål mail.docx", "A 49131-2025")</f>
        <v/>
      </c>
      <c r="X219">
        <f>HYPERLINK("https://klasma.github.io/Logging_0125/tillsyn/A 49131-2025 tillsynsbegäran.docx", "A 49131-2025")</f>
        <v/>
      </c>
      <c r="Y219">
        <f>HYPERLINK("https://klasma.github.io/Logging_0125/tillsynsmail/A 49131-2025 tillsynsbegäran mail.docx", "A 49131-2025")</f>
        <v/>
      </c>
    </row>
    <row r="220" ht="15" customHeight="1">
      <c r="A220" t="inlineStr">
        <is>
          <t>A 36366-2025</t>
        </is>
      </c>
      <c r="B220" s="1" t="n">
        <v>45868</v>
      </c>
      <c r="C220" s="1" t="n">
        <v>46050</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50697-2025</t>
        </is>
      </c>
      <c r="B221" s="1" t="n">
        <v>45945.90854166666</v>
      </c>
      <c r="C221" s="1" t="n">
        <v>46050</v>
      </c>
      <c r="D221" t="inlineStr">
        <is>
          <t>STOCKHOLMS LÄN</t>
        </is>
      </c>
      <c r="E221" t="inlineStr">
        <is>
          <t>NORRTÄLJE</t>
        </is>
      </c>
      <c r="G221" t="n">
        <v>5.5</v>
      </c>
      <c r="H221" t="n">
        <v>0</v>
      </c>
      <c r="I221" t="n">
        <v>0</v>
      </c>
      <c r="J221" t="n">
        <v>2</v>
      </c>
      <c r="K221" t="n">
        <v>0</v>
      </c>
      <c r="L221" t="n">
        <v>0</v>
      </c>
      <c r="M221" t="n">
        <v>0</v>
      </c>
      <c r="N221" t="n">
        <v>0</v>
      </c>
      <c r="O221" t="n">
        <v>2</v>
      </c>
      <c r="P221" t="n">
        <v>0</v>
      </c>
      <c r="Q221" t="n">
        <v>2</v>
      </c>
      <c r="R221" s="2" t="inlineStr">
        <is>
          <t>Skogsklocka
Småflikig brosklav</t>
        </is>
      </c>
      <c r="S221">
        <f>HYPERLINK("https://klasma.github.io/Logging_0188/artfynd/A 50697-2025 artfynd.xlsx", "A 50697-2025")</f>
        <v/>
      </c>
      <c r="T221">
        <f>HYPERLINK("https://klasma.github.io/Logging_0188/kartor/A 50697-2025 karta.png", "A 50697-2025")</f>
        <v/>
      </c>
      <c r="V221">
        <f>HYPERLINK("https://klasma.github.io/Logging_0188/klagomål/A 50697-2025 FSC-klagomål.docx", "A 50697-2025")</f>
        <v/>
      </c>
      <c r="W221">
        <f>HYPERLINK("https://klasma.github.io/Logging_0188/klagomålsmail/A 50697-2025 FSC-klagomål mail.docx", "A 50697-2025")</f>
        <v/>
      </c>
      <c r="X221">
        <f>HYPERLINK("https://klasma.github.io/Logging_0188/tillsyn/A 50697-2025 tillsynsbegäran.docx", "A 50697-2025")</f>
        <v/>
      </c>
      <c r="Y221">
        <f>HYPERLINK("https://klasma.github.io/Logging_0188/tillsynsmail/A 50697-2025 tillsynsbegäran mail.docx", "A 50697-2025")</f>
        <v/>
      </c>
    </row>
    <row r="222" ht="15" customHeight="1">
      <c r="A222" t="inlineStr">
        <is>
          <t>A 62402-2022</t>
        </is>
      </c>
      <c r="B222" s="1" t="n">
        <v>44923</v>
      </c>
      <c r="C222" s="1" t="n">
        <v>46050</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41021-2023</t>
        </is>
      </c>
      <c r="B223" s="1" t="n">
        <v>45173</v>
      </c>
      <c r="C223" s="1" t="n">
        <v>46050</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17467-2024</t>
        </is>
      </c>
      <c r="B224" s="1" t="n">
        <v>45415.44597222222</v>
      </c>
      <c r="C224" s="1" t="n">
        <v>46050</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51980-2022</t>
        </is>
      </c>
      <c r="B225" s="1" t="n">
        <v>44872</v>
      </c>
      <c r="C225" s="1" t="n">
        <v>46050</v>
      </c>
      <c r="D225" t="inlineStr">
        <is>
          <t>STOCKHOLMS LÄN</t>
        </is>
      </c>
      <c r="E225" t="inlineStr">
        <is>
          <t>NORRTÄLJE</t>
        </is>
      </c>
      <c r="G225" t="n">
        <v>7.9</v>
      </c>
      <c r="H225" t="n">
        <v>1</v>
      </c>
      <c r="I225" t="n">
        <v>2</v>
      </c>
      <c r="J225" t="n">
        <v>0</v>
      </c>
      <c r="K225" t="n">
        <v>0</v>
      </c>
      <c r="L225" t="n">
        <v>0</v>
      </c>
      <c r="M225" t="n">
        <v>0</v>
      </c>
      <c r="N225" t="n">
        <v>0</v>
      </c>
      <c r="O225" t="n">
        <v>0</v>
      </c>
      <c r="P225" t="n">
        <v>0</v>
      </c>
      <c r="Q225" t="n">
        <v>2</v>
      </c>
      <c r="R225" s="2" t="inlineStr">
        <is>
          <t>Rödgul trumpetsvamp
Skogsknipprot</t>
        </is>
      </c>
      <c r="S225">
        <f>HYPERLINK("https://klasma.github.io/Logging_0188/artfynd/A 51980-2022 artfynd.xlsx", "A 51980-2022")</f>
        <v/>
      </c>
      <c r="T225">
        <f>HYPERLINK("https://klasma.github.io/Logging_0188/kartor/A 51980-2022 karta.png", "A 51980-2022")</f>
        <v/>
      </c>
      <c r="V225">
        <f>HYPERLINK("https://klasma.github.io/Logging_0188/klagomål/A 51980-2022 FSC-klagomål.docx", "A 51980-2022")</f>
        <v/>
      </c>
      <c r="W225">
        <f>HYPERLINK("https://klasma.github.io/Logging_0188/klagomålsmail/A 51980-2022 FSC-klagomål mail.docx", "A 51980-2022")</f>
        <v/>
      </c>
      <c r="X225">
        <f>HYPERLINK("https://klasma.github.io/Logging_0188/tillsyn/A 51980-2022 tillsynsbegäran.docx", "A 51980-2022")</f>
        <v/>
      </c>
      <c r="Y225">
        <f>HYPERLINK("https://klasma.github.io/Logging_0188/tillsynsmail/A 51980-2022 tillsynsbegäran mail.docx", "A 51980-2022")</f>
        <v/>
      </c>
    </row>
    <row r="226" ht="15" customHeight="1">
      <c r="A226" t="inlineStr">
        <is>
          <t>A 49523-2023</t>
        </is>
      </c>
      <c r="B226" s="1" t="n">
        <v>45211</v>
      </c>
      <c r="C226" s="1" t="n">
        <v>46050</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43525-2023</t>
        </is>
      </c>
      <c r="B227" s="1" t="n">
        <v>45184</v>
      </c>
      <c r="C227" s="1" t="n">
        <v>46050</v>
      </c>
      <c r="D227" t="inlineStr">
        <is>
          <t>STOCKHOLMS LÄN</t>
        </is>
      </c>
      <c r="E227" t="inlineStr">
        <is>
          <t>SÖDERTÄLJE</t>
        </is>
      </c>
      <c r="F227" t="inlineStr">
        <is>
          <t>Sveaskog</t>
        </is>
      </c>
      <c r="G227" t="n">
        <v>3.7</v>
      </c>
      <c r="H227" t="n">
        <v>1</v>
      </c>
      <c r="I227" t="n">
        <v>0</v>
      </c>
      <c r="J227" t="n">
        <v>1</v>
      </c>
      <c r="K227" t="n">
        <v>0</v>
      </c>
      <c r="L227" t="n">
        <v>0</v>
      </c>
      <c r="M227" t="n">
        <v>0</v>
      </c>
      <c r="N227" t="n">
        <v>0</v>
      </c>
      <c r="O227" t="n">
        <v>1</v>
      </c>
      <c r="P227" t="n">
        <v>0</v>
      </c>
      <c r="Q227" t="n">
        <v>2</v>
      </c>
      <c r="R227" s="2" t="inlineStr">
        <is>
          <t>Slåtterfibbla
Fläcknycklar</t>
        </is>
      </c>
      <c r="S227">
        <f>HYPERLINK("https://klasma.github.io/Logging_0181/artfynd/A 43525-2023 artfynd.xlsx", "A 43525-2023")</f>
        <v/>
      </c>
      <c r="T227">
        <f>HYPERLINK("https://klasma.github.io/Logging_0181/kartor/A 43525-2023 karta.png", "A 43525-2023")</f>
        <v/>
      </c>
      <c r="V227">
        <f>HYPERLINK("https://klasma.github.io/Logging_0181/klagomål/A 43525-2023 FSC-klagomål.docx", "A 43525-2023")</f>
        <v/>
      </c>
      <c r="W227">
        <f>HYPERLINK("https://klasma.github.io/Logging_0181/klagomålsmail/A 43525-2023 FSC-klagomål mail.docx", "A 43525-2023")</f>
        <v/>
      </c>
      <c r="X227">
        <f>HYPERLINK("https://klasma.github.io/Logging_0181/tillsyn/A 43525-2023 tillsynsbegäran.docx", "A 43525-2023")</f>
        <v/>
      </c>
      <c r="Y227">
        <f>HYPERLINK("https://klasma.github.io/Logging_0181/tillsynsmail/A 43525-2023 tillsynsbegäran mail.docx", "A 43525-2023")</f>
        <v/>
      </c>
    </row>
    <row r="228" ht="15" customHeight="1">
      <c r="A228" t="inlineStr">
        <is>
          <t>A 43308-2024</t>
        </is>
      </c>
      <c r="B228" s="1" t="n">
        <v>45568</v>
      </c>
      <c r="C228" s="1" t="n">
        <v>46050</v>
      </c>
      <c r="D228" t="inlineStr">
        <is>
          <t>STOCKHOLMS LÄN</t>
        </is>
      </c>
      <c r="E228" t="inlineStr">
        <is>
          <t>ÖSTERÅKER</t>
        </is>
      </c>
      <c r="F228" t="inlineStr">
        <is>
          <t>Kyrkan</t>
        </is>
      </c>
      <c r="G228" t="n">
        <v>3.2</v>
      </c>
      <c r="H228" t="n">
        <v>0</v>
      </c>
      <c r="I228" t="n">
        <v>1</v>
      </c>
      <c r="J228" t="n">
        <v>1</v>
      </c>
      <c r="K228" t="n">
        <v>0</v>
      </c>
      <c r="L228" t="n">
        <v>0</v>
      </c>
      <c r="M228" t="n">
        <v>0</v>
      </c>
      <c r="N228" t="n">
        <v>0</v>
      </c>
      <c r="O228" t="n">
        <v>1</v>
      </c>
      <c r="P228" t="n">
        <v>0</v>
      </c>
      <c r="Q228" t="n">
        <v>2</v>
      </c>
      <c r="R228" s="2" t="inlineStr">
        <is>
          <t>Tallticka
Dropptaggsvamp</t>
        </is>
      </c>
      <c r="S228">
        <f>HYPERLINK("https://klasma.github.io/Logging_0117/artfynd/A 43308-2024 artfynd.xlsx", "A 43308-2024")</f>
        <v/>
      </c>
      <c r="T228">
        <f>HYPERLINK("https://klasma.github.io/Logging_0117/kartor/A 43308-2024 karta.png", "A 43308-2024")</f>
        <v/>
      </c>
      <c r="V228">
        <f>HYPERLINK("https://klasma.github.io/Logging_0117/klagomål/A 43308-2024 FSC-klagomål.docx", "A 43308-2024")</f>
        <v/>
      </c>
      <c r="W228">
        <f>HYPERLINK("https://klasma.github.io/Logging_0117/klagomålsmail/A 43308-2024 FSC-klagomål mail.docx", "A 43308-2024")</f>
        <v/>
      </c>
      <c r="X228">
        <f>HYPERLINK("https://klasma.github.io/Logging_0117/tillsyn/A 43308-2024 tillsynsbegäran.docx", "A 43308-2024")</f>
        <v/>
      </c>
      <c r="Y228">
        <f>HYPERLINK("https://klasma.github.io/Logging_0117/tillsynsmail/A 43308-2024 tillsynsbegäran mail.docx", "A 43308-2024")</f>
        <v/>
      </c>
    </row>
    <row r="229" ht="15" customHeight="1">
      <c r="A229" t="inlineStr">
        <is>
          <t>A 60406-2025</t>
        </is>
      </c>
      <c r="B229" s="1" t="n">
        <v>45995.43050925926</v>
      </c>
      <c r="C229" s="1" t="n">
        <v>46050</v>
      </c>
      <c r="D229" t="inlineStr">
        <is>
          <t>STOCKHOLMS LÄN</t>
        </is>
      </c>
      <c r="E229" t="inlineStr">
        <is>
          <t>BOTKYRKA</t>
        </is>
      </c>
      <c r="F229" t="inlineStr">
        <is>
          <t>Övriga Aktiebolag</t>
        </is>
      </c>
      <c r="G229" t="n">
        <v>2.3</v>
      </c>
      <c r="H229" t="n">
        <v>0</v>
      </c>
      <c r="I229" t="n">
        <v>2</v>
      </c>
      <c r="J229" t="n">
        <v>0</v>
      </c>
      <c r="K229" t="n">
        <v>0</v>
      </c>
      <c r="L229" t="n">
        <v>0</v>
      </c>
      <c r="M229" t="n">
        <v>0</v>
      </c>
      <c r="N229" t="n">
        <v>0</v>
      </c>
      <c r="O229" t="n">
        <v>0</v>
      </c>
      <c r="P229" t="n">
        <v>0</v>
      </c>
      <c r="Q229" t="n">
        <v>2</v>
      </c>
      <c r="R229" s="2" t="inlineStr">
        <is>
          <t>Björksplintborre
Mindre märgborre</t>
        </is>
      </c>
      <c r="S229">
        <f>HYPERLINK("https://klasma.github.io/Logging_0127/artfynd/A 60406-2025 artfynd.xlsx", "A 60406-2025")</f>
        <v/>
      </c>
      <c r="T229">
        <f>HYPERLINK("https://klasma.github.io/Logging_0127/kartor/A 60406-2025 karta.png", "A 60406-2025")</f>
        <v/>
      </c>
      <c r="V229">
        <f>HYPERLINK("https://klasma.github.io/Logging_0127/klagomål/A 60406-2025 FSC-klagomål.docx", "A 60406-2025")</f>
        <v/>
      </c>
      <c r="W229">
        <f>HYPERLINK("https://klasma.github.io/Logging_0127/klagomålsmail/A 60406-2025 FSC-klagomål mail.docx", "A 60406-2025")</f>
        <v/>
      </c>
      <c r="X229">
        <f>HYPERLINK("https://klasma.github.io/Logging_0127/tillsyn/A 60406-2025 tillsynsbegäran.docx", "A 60406-2025")</f>
        <v/>
      </c>
      <c r="Y229">
        <f>HYPERLINK("https://klasma.github.io/Logging_0127/tillsynsmail/A 60406-2025 tillsynsbegäran mail.docx", "A 60406-2025")</f>
        <v/>
      </c>
    </row>
    <row r="230" ht="15" customHeight="1">
      <c r="A230" t="inlineStr">
        <is>
          <t>A 2892-2026</t>
        </is>
      </c>
      <c r="B230" s="1" t="n">
        <v>46037</v>
      </c>
      <c r="C230" s="1" t="n">
        <v>46050</v>
      </c>
      <c r="D230" t="inlineStr">
        <is>
          <t>STOCKHOLMS LÄN</t>
        </is>
      </c>
      <c r="E230" t="inlineStr">
        <is>
          <t>NYKVARN</t>
        </is>
      </c>
      <c r="G230" t="n">
        <v>4.2</v>
      </c>
      <c r="H230" t="n">
        <v>1</v>
      </c>
      <c r="I230" t="n">
        <v>0</v>
      </c>
      <c r="J230" t="n">
        <v>2</v>
      </c>
      <c r="K230" t="n">
        <v>0</v>
      </c>
      <c r="L230" t="n">
        <v>0</v>
      </c>
      <c r="M230" t="n">
        <v>0</v>
      </c>
      <c r="N230" t="n">
        <v>0</v>
      </c>
      <c r="O230" t="n">
        <v>2</v>
      </c>
      <c r="P230" t="n">
        <v>0</v>
      </c>
      <c r="Q230" t="n">
        <v>2</v>
      </c>
      <c r="R230" s="2" t="inlineStr">
        <is>
          <t>Spillkråka
Tallticka</t>
        </is>
      </c>
      <c r="S230">
        <f>HYPERLINK("https://klasma.github.io/Logging_0140/artfynd/A 2892-2026 artfynd.xlsx", "A 2892-2026")</f>
        <v/>
      </c>
      <c r="T230">
        <f>HYPERLINK("https://klasma.github.io/Logging_0140/kartor/A 2892-2026 karta.png", "A 2892-2026")</f>
        <v/>
      </c>
      <c r="V230">
        <f>HYPERLINK("https://klasma.github.io/Logging_0140/klagomål/A 2892-2026 FSC-klagomål.docx", "A 2892-2026")</f>
        <v/>
      </c>
      <c r="W230">
        <f>HYPERLINK("https://klasma.github.io/Logging_0140/klagomålsmail/A 2892-2026 FSC-klagomål mail.docx", "A 2892-2026")</f>
        <v/>
      </c>
      <c r="X230">
        <f>HYPERLINK("https://klasma.github.io/Logging_0140/tillsyn/A 2892-2026 tillsynsbegäran.docx", "A 2892-2026")</f>
        <v/>
      </c>
      <c r="Y230">
        <f>HYPERLINK("https://klasma.github.io/Logging_0140/tillsynsmail/A 2892-2026 tillsynsbegäran mail.docx", "A 2892-2026")</f>
        <v/>
      </c>
      <c r="Z230">
        <f>HYPERLINK("https://klasma.github.io/Logging_0140/fåglar/A 2892-2026 prioriterade fågelarter.docx", "A 2892-2026")</f>
        <v/>
      </c>
    </row>
    <row r="231" ht="15" customHeight="1">
      <c r="A231" t="inlineStr">
        <is>
          <t>A 66734-2021</t>
        </is>
      </c>
      <c r="B231" s="1" t="n">
        <v>44520</v>
      </c>
      <c r="C231" s="1" t="n">
        <v>46050</v>
      </c>
      <c r="D231" t="inlineStr">
        <is>
          <t>STOCKHOLMS LÄN</t>
        </is>
      </c>
      <c r="E231" t="inlineStr">
        <is>
          <t>SÖDERTÄLJE</t>
        </is>
      </c>
      <c r="G231" t="n">
        <v>1.2</v>
      </c>
      <c r="H231" t="n">
        <v>0</v>
      </c>
      <c r="I231" t="n">
        <v>2</v>
      </c>
      <c r="J231" t="n">
        <v>0</v>
      </c>
      <c r="K231" t="n">
        <v>0</v>
      </c>
      <c r="L231" t="n">
        <v>0</v>
      </c>
      <c r="M231" t="n">
        <v>0</v>
      </c>
      <c r="N231" t="n">
        <v>0</v>
      </c>
      <c r="O231" t="n">
        <v>0</v>
      </c>
      <c r="P231" t="n">
        <v>0</v>
      </c>
      <c r="Q231" t="n">
        <v>2</v>
      </c>
      <c r="R231" s="2" t="inlineStr">
        <is>
          <t>Skarp dropptaggsvamp
Svavelriska</t>
        </is>
      </c>
      <c r="S231">
        <f>HYPERLINK("https://klasma.github.io/Logging_0181/artfynd/A 66734-2021 artfynd.xlsx", "A 66734-2021")</f>
        <v/>
      </c>
      <c r="T231">
        <f>HYPERLINK("https://klasma.github.io/Logging_0181/kartor/A 66734-2021 karta.png", "A 66734-2021")</f>
        <v/>
      </c>
      <c r="V231">
        <f>HYPERLINK("https://klasma.github.io/Logging_0181/klagomål/A 66734-2021 FSC-klagomål.docx", "A 66734-2021")</f>
        <v/>
      </c>
      <c r="W231">
        <f>HYPERLINK("https://klasma.github.io/Logging_0181/klagomålsmail/A 66734-2021 FSC-klagomål mail.docx", "A 66734-2021")</f>
        <v/>
      </c>
      <c r="X231">
        <f>HYPERLINK("https://klasma.github.io/Logging_0181/tillsyn/A 66734-2021 tillsynsbegäran.docx", "A 66734-2021")</f>
        <v/>
      </c>
      <c r="Y231">
        <f>HYPERLINK("https://klasma.github.io/Logging_0181/tillsynsmail/A 66734-2021 tillsynsbegäran mail.docx", "A 66734-2021")</f>
        <v/>
      </c>
    </row>
    <row r="232" ht="15" customHeight="1">
      <c r="A232" t="inlineStr">
        <is>
          <t>A 53608-2025</t>
        </is>
      </c>
      <c r="B232" s="1" t="n">
        <v>45960</v>
      </c>
      <c r="C232" s="1" t="n">
        <v>46050</v>
      </c>
      <c r="D232" t="inlineStr">
        <is>
          <t>STOCKHOLMS LÄN</t>
        </is>
      </c>
      <c r="E232" t="inlineStr">
        <is>
          <t>NORRTÄLJE</t>
        </is>
      </c>
      <c r="F232" t="inlineStr">
        <is>
          <t>Holmen skog AB</t>
        </is>
      </c>
      <c r="G232" t="n">
        <v>3.2</v>
      </c>
      <c r="H232" t="n">
        <v>2</v>
      </c>
      <c r="I232" t="n">
        <v>0</v>
      </c>
      <c r="J232" t="n">
        <v>1</v>
      </c>
      <c r="K232" t="n">
        <v>0</v>
      </c>
      <c r="L232" t="n">
        <v>1</v>
      </c>
      <c r="M232" t="n">
        <v>0</v>
      </c>
      <c r="N232" t="n">
        <v>0</v>
      </c>
      <c r="O232" t="n">
        <v>2</v>
      </c>
      <c r="P232" t="n">
        <v>1</v>
      </c>
      <c r="Q232" t="n">
        <v>2</v>
      </c>
      <c r="R232" s="2" t="inlineStr">
        <is>
          <t>Asknätfjäril
Spillkråka</t>
        </is>
      </c>
      <c r="S232">
        <f>HYPERLINK("https://klasma.github.io/Logging_0188/artfynd/A 53608-2025 artfynd.xlsx", "A 53608-2025")</f>
        <v/>
      </c>
      <c r="T232">
        <f>HYPERLINK("https://klasma.github.io/Logging_0188/kartor/A 53608-2025 karta.png", "A 53608-2025")</f>
        <v/>
      </c>
      <c r="V232">
        <f>HYPERLINK("https://klasma.github.io/Logging_0188/klagomål/A 53608-2025 FSC-klagomål.docx", "A 53608-2025")</f>
        <v/>
      </c>
      <c r="W232">
        <f>HYPERLINK("https://klasma.github.io/Logging_0188/klagomålsmail/A 53608-2025 FSC-klagomål mail.docx", "A 53608-2025")</f>
        <v/>
      </c>
      <c r="X232">
        <f>HYPERLINK("https://klasma.github.io/Logging_0188/tillsyn/A 53608-2025 tillsynsbegäran.docx", "A 53608-2025")</f>
        <v/>
      </c>
      <c r="Y232">
        <f>HYPERLINK("https://klasma.github.io/Logging_0188/tillsynsmail/A 53608-2025 tillsynsbegäran mail.docx", "A 53608-2025")</f>
        <v/>
      </c>
      <c r="Z232">
        <f>HYPERLINK("https://klasma.github.io/Logging_0188/fåglar/A 53608-2025 prioriterade fågelarter.docx", "A 53608-2025")</f>
        <v/>
      </c>
    </row>
    <row r="233" ht="15" customHeight="1">
      <c r="A233" t="inlineStr">
        <is>
          <t>A 3711-2026</t>
        </is>
      </c>
      <c r="B233" s="1" t="n">
        <v>46043.48092592593</v>
      </c>
      <c r="C233" s="1" t="n">
        <v>46050</v>
      </c>
      <c r="D233" t="inlineStr">
        <is>
          <t>STOCKHOLMS LÄN</t>
        </is>
      </c>
      <c r="E233" t="inlineStr">
        <is>
          <t>SÖDERTÄLJE</t>
        </is>
      </c>
      <c r="G233" t="n">
        <v>5.3</v>
      </c>
      <c r="H233" t="n">
        <v>1</v>
      </c>
      <c r="I233" t="n">
        <v>0</v>
      </c>
      <c r="J233" t="n">
        <v>2</v>
      </c>
      <c r="K233" t="n">
        <v>0</v>
      </c>
      <c r="L233" t="n">
        <v>0</v>
      </c>
      <c r="M233" t="n">
        <v>0</v>
      </c>
      <c r="N233" t="n">
        <v>0</v>
      </c>
      <c r="O233" t="n">
        <v>2</v>
      </c>
      <c r="P233" t="n">
        <v>0</v>
      </c>
      <c r="Q233" t="n">
        <v>2</v>
      </c>
      <c r="R233" s="2" t="inlineStr">
        <is>
          <t>Motaggsvamp
Spillkråka</t>
        </is>
      </c>
      <c r="S233">
        <f>HYPERLINK("https://klasma.github.io/Logging_0181/artfynd/A 3711-2026 artfynd.xlsx", "A 3711-2026")</f>
        <v/>
      </c>
      <c r="T233">
        <f>HYPERLINK("https://klasma.github.io/Logging_0181/kartor/A 3711-2026 karta.png", "A 3711-2026")</f>
        <v/>
      </c>
      <c r="V233">
        <f>HYPERLINK("https://klasma.github.io/Logging_0181/klagomål/A 3711-2026 FSC-klagomål.docx", "A 3711-2026")</f>
        <v/>
      </c>
      <c r="W233">
        <f>HYPERLINK("https://klasma.github.io/Logging_0181/klagomålsmail/A 3711-2026 FSC-klagomål mail.docx", "A 3711-2026")</f>
        <v/>
      </c>
      <c r="X233">
        <f>HYPERLINK("https://klasma.github.io/Logging_0181/tillsyn/A 3711-2026 tillsynsbegäran.docx", "A 3711-2026")</f>
        <v/>
      </c>
      <c r="Y233">
        <f>HYPERLINK("https://klasma.github.io/Logging_0181/tillsynsmail/A 3711-2026 tillsynsbegäran mail.docx", "A 3711-2026")</f>
        <v/>
      </c>
      <c r="Z233">
        <f>HYPERLINK("https://klasma.github.io/Logging_0181/fåglar/A 3711-2026 prioriterade fågelarter.docx", "A 3711-2026")</f>
        <v/>
      </c>
    </row>
    <row r="234" ht="15" customHeight="1">
      <c r="A234" t="inlineStr">
        <is>
          <t>A 3218-2022</t>
        </is>
      </c>
      <c r="B234" s="1" t="n">
        <v>44582</v>
      </c>
      <c r="C234" s="1" t="n">
        <v>46050</v>
      </c>
      <c r="D234" t="inlineStr">
        <is>
          <t>STOCKHOLMS LÄN</t>
        </is>
      </c>
      <c r="E234" t="inlineStr">
        <is>
          <t>EKERÖ</t>
        </is>
      </c>
      <c r="G234" t="n">
        <v>1.2</v>
      </c>
      <c r="H234" t="n">
        <v>0</v>
      </c>
      <c r="I234" t="n">
        <v>1</v>
      </c>
      <c r="J234" t="n">
        <v>0</v>
      </c>
      <c r="K234" t="n">
        <v>1</v>
      </c>
      <c r="L234" t="n">
        <v>0</v>
      </c>
      <c r="M234" t="n">
        <v>0</v>
      </c>
      <c r="N234" t="n">
        <v>0</v>
      </c>
      <c r="O234" t="n">
        <v>1</v>
      </c>
      <c r="P234" t="n">
        <v>1</v>
      </c>
      <c r="Q234" t="n">
        <v>2</v>
      </c>
      <c r="R234" s="2" t="inlineStr">
        <is>
          <t>Gul lammticka
Kamjordstjärna</t>
        </is>
      </c>
      <c r="S234">
        <f>HYPERLINK("https://klasma.github.io/Logging_0125/artfynd/A 3218-2022 artfynd.xlsx", "A 3218-2022")</f>
        <v/>
      </c>
      <c r="T234">
        <f>HYPERLINK("https://klasma.github.io/Logging_0125/kartor/A 3218-2022 karta.png", "A 3218-2022")</f>
        <v/>
      </c>
      <c r="V234">
        <f>HYPERLINK("https://klasma.github.io/Logging_0125/klagomål/A 3218-2022 FSC-klagomål.docx", "A 3218-2022")</f>
        <v/>
      </c>
      <c r="W234">
        <f>HYPERLINK("https://klasma.github.io/Logging_0125/klagomålsmail/A 3218-2022 FSC-klagomål mail.docx", "A 3218-2022")</f>
        <v/>
      </c>
      <c r="X234">
        <f>HYPERLINK("https://klasma.github.io/Logging_0125/tillsyn/A 3218-2022 tillsynsbegäran.docx", "A 3218-2022")</f>
        <v/>
      </c>
      <c r="Y234">
        <f>HYPERLINK("https://klasma.github.io/Logging_0125/tillsynsmail/A 3218-2022 tillsynsbegäran mail.docx", "A 3218-2022")</f>
        <v/>
      </c>
    </row>
    <row r="235" ht="15" customHeight="1">
      <c r="A235" t="inlineStr">
        <is>
          <t>A 51220-2023</t>
        </is>
      </c>
      <c r="B235" s="1" t="n">
        <v>45219</v>
      </c>
      <c r="C235" s="1" t="n">
        <v>46050</v>
      </c>
      <c r="D235" t="inlineStr">
        <is>
          <t>STOCKHOLMS LÄN</t>
        </is>
      </c>
      <c r="E235" t="inlineStr">
        <is>
          <t>NORRTÄLJE</t>
        </is>
      </c>
      <c r="G235" t="n">
        <v>7.7</v>
      </c>
      <c r="H235" t="n">
        <v>1</v>
      </c>
      <c r="I235" t="n">
        <v>0</v>
      </c>
      <c r="J235" t="n">
        <v>1</v>
      </c>
      <c r="K235" t="n">
        <v>0</v>
      </c>
      <c r="L235" t="n">
        <v>0</v>
      </c>
      <c r="M235" t="n">
        <v>0</v>
      </c>
      <c r="N235" t="n">
        <v>0</v>
      </c>
      <c r="O235" t="n">
        <v>1</v>
      </c>
      <c r="P235" t="n">
        <v>0</v>
      </c>
      <c r="Q235" t="n">
        <v>2</v>
      </c>
      <c r="R235" s="2" t="inlineStr">
        <is>
          <t>Ullticka
Blåsippa</t>
        </is>
      </c>
      <c r="S235">
        <f>HYPERLINK("https://klasma.github.io/Logging_0188/artfynd/A 51220-2023 artfynd.xlsx", "A 51220-2023")</f>
        <v/>
      </c>
      <c r="T235">
        <f>HYPERLINK("https://klasma.github.io/Logging_0188/kartor/A 51220-2023 karta.png", "A 51220-2023")</f>
        <v/>
      </c>
      <c r="V235">
        <f>HYPERLINK("https://klasma.github.io/Logging_0188/klagomål/A 51220-2023 FSC-klagomål.docx", "A 51220-2023")</f>
        <v/>
      </c>
      <c r="W235">
        <f>HYPERLINK("https://klasma.github.io/Logging_0188/klagomålsmail/A 51220-2023 FSC-klagomål mail.docx", "A 51220-2023")</f>
        <v/>
      </c>
      <c r="X235">
        <f>HYPERLINK("https://klasma.github.io/Logging_0188/tillsyn/A 51220-2023 tillsynsbegäran.docx", "A 51220-2023")</f>
        <v/>
      </c>
      <c r="Y235">
        <f>HYPERLINK("https://klasma.github.io/Logging_0188/tillsynsmail/A 51220-2023 tillsynsbegäran mail.docx", "A 51220-2023")</f>
        <v/>
      </c>
    </row>
    <row r="236" ht="15" customHeight="1">
      <c r="A236" t="inlineStr">
        <is>
          <t>A 5567-2023</t>
        </is>
      </c>
      <c r="B236" s="1" t="n">
        <v>44960</v>
      </c>
      <c r="C236" s="1" t="n">
        <v>46050</v>
      </c>
      <c r="D236" t="inlineStr">
        <is>
          <t>STOCKHOLMS LÄN</t>
        </is>
      </c>
      <c r="E236" t="inlineStr">
        <is>
          <t>NYNÄSHAMN</t>
        </is>
      </c>
      <c r="G236" t="n">
        <v>10.1</v>
      </c>
      <c r="H236" t="n">
        <v>1</v>
      </c>
      <c r="I236" t="n">
        <v>1</v>
      </c>
      <c r="J236" t="n">
        <v>0</v>
      </c>
      <c r="K236" t="n">
        <v>0</v>
      </c>
      <c r="L236" t="n">
        <v>0</v>
      </c>
      <c r="M236" t="n">
        <v>0</v>
      </c>
      <c r="N236" t="n">
        <v>0</v>
      </c>
      <c r="O236" t="n">
        <v>0</v>
      </c>
      <c r="P236" t="n">
        <v>0</v>
      </c>
      <c r="Q236" t="n">
        <v>2</v>
      </c>
      <c r="R236" s="2" t="inlineStr">
        <is>
          <t>Sårläka
Blåsippa</t>
        </is>
      </c>
      <c r="S236">
        <f>HYPERLINK("https://klasma.github.io/Logging_0192/artfynd/A 5567-2023 artfynd.xlsx", "A 5567-2023")</f>
        <v/>
      </c>
      <c r="T236">
        <f>HYPERLINK("https://klasma.github.io/Logging_0192/kartor/A 5567-2023 karta.png", "A 5567-2023")</f>
        <v/>
      </c>
      <c r="V236">
        <f>HYPERLINK("https://klasma.github.io/Logging_0192/klagomål/A 5567-2023 FSC-klagomål.docx", "A 5567-2023")</f>
        <v/>
      </c>
      <c r="W236">
        <f>HYPERLINK("https://klasma.github.io/Logging_0192/klagomålsmail/A 5567-2023 FSC-klagomål mail.docx", "A 5567-2023")</f>
        <v/>
      </c>
      <c r="X236">
        <f>HYPERLINK("https://klasma.github.io/Logging_0192/tillsyn/A 5567-2023 tillsynsbegäran.docx", "A 5567-2023")</f>
        <v/>
      </c>
      <c r="Y236">
        <f>HYPERLINK("https://klasma.github.io/Logging_0192/tillsynsmail/A 5567-2023 tillsynsbegäran mail.docx", "A 5567-2023")</f>
        <v/>
      </c>
    </row>
    <row r="237" ht="15" customHeight="1">
      <c r="A237" t="inlineStr">
        <is>
          <t>A 3677-2026</t>
        </is>
      </c>
      <c r="B237" s="1" t="n">
        <v>46043</v>
      </c>
      <c r="C237" s="1" t="n">
        <v>46050</v>
      </c>
      <c r="D237" t="inlineStr">
        <is>
          <t>STOCKHOLMS LÄN</t>
        </is>
      </c>
      <c r="E237" t="inlineStr">
        <is>
          <t>SIGTUNA</t>
        </is>
      </c>
      <c r="G237" t="n">
        <v>2.5</v>
      </c>
      <c r="H237" t="n">
        <v>2</v>
      </c>
      <c r="I237" t="n">
        <v>0</v>
      </c>
      <c r="J237" t="n">
        <v>0</v>
      </c>
      <c r="K237" t="n">
        <v>0</v>
      </c>
      <c r="L237" t="n">
        <v>0</v>
      </c>
      <c r="M237" t="n">
        <v>0</v>
      </c>
      <c r="N237" t="n">
        <v>0</v>
      </c>
      <c r="O237" t="n">
        <v>0</v>
      </c>
      <c r="P237" t="n">
        <v>0</v>
      </c>
      <c r="Q237" t="n">
        <v>2</v>
      </c>
      <c r="R237" s="2" t="inlineStr">
        <is>
          <t>Blåsippa
Gullviva</t>
        </is>
      </c>
      <c r="S237">
        <f>HYPERLINK("https://klasma.github.io/Logging_0191/artfynd/A 3677-2026 artfynd.xlsx", "A 3677-2026")</f>
        <v/>
      </c>
      <c r="T237">
        <f>HYPERLINK("https://klasma.github.io/Logging_0191/kartor/A 3677-2026 karta.png", "A 3677-2026")</f>
        <v/>
      </c>
      <c r="V237">
        <f>HYPERLINK("https://klasma.github.io/Logging_0191/klagomål/A 3677-2026 FSC-klagomål.docx", "A 3677-2026")</f>
        <v/>
      </c>
      <c r="W237">
        <f>HYPERLINK("https://klasma.github.io/Logging_0191/klagomålsmail/A 3677-2026 FSC-klagomål mail.docx", "A 3677-2026")</f>
        <v/>
      </c>
      <c r="X237">
        <f>HYPERLINK("https://klasma.github.io/Logging_0191/tillsyn/A 3677-2026 tillsynsbegäran.docx", "A 3677-2026")</f>
        <v/>
      </c>
      <c r="Y237">
        <f>HYPERLINK("https://klasma.github.io/Logging_0191/tillsynsmail/A 3677-2026 tillsynsbegäran mail.docx", "A 3677-2026")</f>
        <v/>
      </c>
    </row>
    <row r="238" ht="15" customHeight="1">
      <c r="A238" t="inlineStr">
        <is>
          <t>A 19784-2025</t>
        </is>
      </c>
      <c r="B238" s="1" t="n">
        <v>45771.43894675926</v>
      </c>
      <c r="C238" s="1" t="n">
        <v>46050</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62578-2025</t>
        </is>
      </c>
      <c r="B239" s="1" t="n">
        <v>46007</v>
      </c>
      <c r="C239" s="1" t="n">
        <v>46050</v>
      </c>
      <c r="D239" t="inlineStr">
        <is>
          <t>STOCKHOLMS LÄN</t>
        </is>
      </c>
      <c r="E239" t="inlineStr">
        <is>
          <t>ÖSTERÅKER</t>
        </is>
      </c>
      <c r="G239" t="n">
        <v>3.4</v>
      </c>
      <c r="H239" t="n">
        <v>0</v>
      </c>
      <c r="I239" t="n">
        <v>2</v>
      </c>
      <c r="J239" t="n">
        <v>0</v>
      </c>
      <c r="K239" t="n">
        <v>0</v>
      </c>
      <c r="L239" t="n">
        <v>0</v>
      </c>
      <c r="M239" t="n">
        <v>0</v>
      </c>
      <c r="N239" t="n">
        <v>0</v>
      </c>
      <c r="O239" t="n">
        <v>0</v>
      </c>
      <c r="P239" t="n">
        <v>0</v>
      </c>
      <c r="Q239" t="n">
        <v>2</v>
      </c>
      <c r="R239" s="2" t="inlineStr">
        <is>
          <t>Fällmossa
Mindre märgborre</t>
        </is>
      </c>
      <c r="S239">
        <f>HYPERLINK("https://klasma.github.io/Logging_0117/artfynd/A 62578-2025 artfynd.xlsx", "A 62578-2025")</f>
        <v/>
      </c>
      <c r="T239">
        <f>HYPERLINK("https://klasma.github.io/Logging_0117/kartor/A 62578-2025 karta.png", "A 62578-2025")</f>
        <v/>
      </c>
      <c r="V239">
        <f>HYPERLINK("https://klasma.github.io/Logging_0117/klagomål/A 62578-2025 FSC-klagomål.docx", "A 62578-2025")</f>
        <v/>
      </c>
      <c r="W239">
        <f>HYPERLINK("https://klasma.github.io/Logging_0117/klagomålsmail/A 62578-2025 FSC-klagomål mail.docx", "A 62578-2025")</f>
        <v/>
      </c>
      <c r="X239">
        <f>HYPERLINK("https://klasma.github.io/Logging_0117/tillsyn/A 62578-2025 tillsynsbegäran.docx", "A 62578-2025")</f>
        <v/>
      </c>
      <c r="Y239">
        <f>HYPERLINK("https://klasma.github.io/Logging_0117/tillsynsmail/A 62578-2025 tillsynsbegäran mail.docx", "A 62578-2025")</f>
        <v/>
      </c>
    </row>
    <row r="240" ht="15" customHeight="1">
      <c r="A240" t="inlineStr">
        <is>
          <t>A 52124-2022</t>
        </is>
      </c>
      <c r="B240" s="1" t="n">
        <v>44868</v>
      </c>
      <c r="C240" s="1" t="n">
        <v>46050</v>
      </c>
      <c r="D240" t="inlineStr">
        <is>
          <t>STOCKHOLMS LÄN</t>
        </is>
      </c>
      <c r="E240" t="inlineStr">
        <is>
          <t>NORRTÄLJE</t>
        </is>
      </c>
      <c r="G240" t="n">
        <v>4.8</v>
      </c>
      <c r="H240" t="n">
        <v>1</v>
      </c>
      <c r="I240" t="n">
        <v>0</v>
      </c>
      <c r="J240" t="n">
        <v>1</v>
      </c>
      <c r="K240" t="n">
        <v>0</v>
      </c>
      <c r="L240" t="n">
        <v>0</v>
      </c>
      <c r="M240" t="n">
        <v>0</v>
      </c>
      <c r="N240" t="n">
        <v>0</v>
      </c>
      <c r="O240" t="n">
        <v>1</v>
      </c>
      <c r="P240" t="n">
        <v>0</v>
      </c>
      <c r="Q240" t="n">
        <v>2</v>
      </c>
      <c r="R240" s="2" t="inlineStr">
        <is>
          <t>Kandelabersvamp
Blåsippa</t>
        </is>
      </c>
      <c r="S240">
        <f>HYPERLINK("https://klasma.github.io/Logging_0188/artfynd/A 52124-2022 artfynd.xlsx", "A 52124-2022")</f>
        <v/>
      </c>
      <c r="T240">
        <f>HYPERLINK("https://klasma.github.io/Logging_0188/kartor/A 52124-2022 karta.png", "A 52124-2022")</f>
        <v/>
      </c>
      <c r="V240">
        <f>HYPERLINK("https://klasma.github.io/Logging_0188/klagomål/A 52124-2022 FSC-klagomål.docx", "A 52124-2022")</f>
        <v/>
      </c>
      <c r="W240">
        <f>HYPERLINK("https://klasma.github.io/Logging_0188/klagomålsmail/A 52124-2022 FSC-klagomål mail.docx", "A 52124-2022")</f>
        <v/>
      </c>
      <c r="X240">
        <f>HYPERLINK("https://klasma.github.io/Logging_0188/tillsyn/A 52124-2022 tillsynsbegäran.docx", "A 52124-2022")</f>
        <v/>
      </c>
      <c r="Y240">
        <f>HYPERLINK("https://klasma.github.io/Logging_0188/tillsynsmail/A 52124-2022 tillsynsbegäran mail.docx", "A 52124-2022")</f>
        <v/>
      </c>
    </row>
    <row r="241" ht="15" customHeight="1">
      <c r="A241" t="inlineStr">
        <is>
          <t>A 52825-2023</t>
        </is>
      </c>
      <c r="B241" s="1" t="n">
        <v>45226</v>
      </c>
      <c r="C241" s="1" t="n">
        <v>46050</v>
      </c>
      <c r="D241" t="inlineStr">
        <is>
          <t>STOCKHOLMS LÄN</t>
        </is>
      </c>
      <c r="E241" t="inlineStr">
        <is>
          <t>NORRTÄLJE</t>
        </is>
      </c>
      <c r="G241" t="n">
        <v>1</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HYPERLINK("https://klasma.github.io/Logging_0188/artfynd/A 52825-2023 artfynd.xlsx", "A 52825-2023")</f>
        <v/>
      </c>
      <c r="T241">
        <f>HYPERLINK("https://klasma.github.io/Logging_0188/kartor/A 52825-2023 karta.png", "A 52825-2023")</f>
        <v/>
      </c>
      <c r="V241">
        <f>HYPERLINK("https://klasma.github.io/Logging_0188/klagomål/A 52825-2023 FSC-klagomål.docx", "A 52825-2023")</f>
        <v/>
      </c>
      <c r="W241">
        <f>HYPERLINK("https://klasma.github.io/Logging_0188/klagomålsmail/A 52825-2023 FSC-klagomål mail.docx", "A 52825-2023")</f>
        <v/>
      </c>
      <c r="X241">
        <f>HYPERLINK("https://klasma.github.io/Logging_0188/tillsyn/A 52825-2023 tillsynsbegäran.docx", "A 52825-2023")</f>
        <v/>
      </c>
      <c r="Y241">
        <f>HYPERLINK("https://klasma.github.io/Logging_0188/tillsynsmail/A 52825-2023 tillsynsbegäran mail.docx", "A 52825-2023")</f>
        <v/>
      </c>
    </row>
    <row r="242" ht="15" customHeight="1">
      <c r="A242" t="inlineStr">
        <is>
          <t>A 61302-2022</t>
        </is>
      </c>
      <c r="B242" s="1" t="n">
        <v>44915</v>
      </c>
      <c r="C242" s="1" t="n">
        <v>46050</v>
      </c>
      <c r="D242" t="inlineStr">
        <is>
          <t>STOCKHOLMS LÄN</t>
        </is>
      </c>
      <c r="E242" t="inlineStr">
        <is>
          <t>SALEM</t>
        </is>
      </c>
      <c r="F242" t="inlineStr">
        <is>
          <t>Kommuner</t>
        </is>
      </c>
      <c r="G242" t="n">
        <v>14.8</v>
      </c>
      <c r="H242" t="n">
        <v>0</v>
      </c>
      <c r="I242" t="n">
        <v>2</v>
      </c>
      <c r="J242" t="n">
        <v>0</v>
      </c>
      <c r="K242" t="n">
        <v>0</v>
      </c>
      <c r="L242" t="n">
        <v>0</v>
      </c>
      <c r="M242" t="n">
        <v>0</v>
      </c>
      <c r="N242" t="n">
        <v>0</v>
      </c>
      <c r="O242" t="n">
        <v>0</v>
      </c>
      <c r="P242" t="n">
        <v>0</v>
      </c>
      <c r="Q242" t="n">
        <v>2</v>
      </c>
      <c r="R242" s="2" t="inlineStr">
        <is>
          <t>Trådticka
Zontaggsvamp</t>
        </is>
      </c>
      <c r="S242">
        <f>HYPERLINK("https://klasma.github.io/Logging_0128/artfynd/A 61302-2022 artfynd.xlsx", "A 61302-2022")</f>
        <v/>
      </c>
      <c r="T242">
        <f>HYPERLINK("https://klasma.github.io/Logging_0128/kartor/A 61302-2022 karta.png", "A 61302-2022")</f>
        <v/>
      </c>
      <c r="V242">
        <f>HYPERLINK("https://klasma.github.io/Logging_0128/klagomål/A 61302-2022 FSC-klagomål.docx", "A 61302-2022")</f>
        <v/>
      </c>
      <c r="W242">
        <f>HYPERLINK("https://klasma.github.io/Logging_0128/klagomålsmail/A 61302-2022 FSC-klagomål mail.docx", "A 61302-2022")</f>
        <v/>
      </c>
      <c r="X242">
        <f>HYPERLINK("https://klasma.github.io/Logging_0128/tillsyn/A 61302-2022 tillsynsbegäran.docx", "A 61302-2022")</f>
        <v/>
      </c>
      <c r="Y242">
        <f>HYPERLINK("https://klasma.github.io/Logging_0128/tillsynsmail/A 61302-2022 tillsynsbegäran mail.docx", "A 61302-2022")</f>
        <v/>
      </c>
    </row>
    <row r="243" ht="15" customHeight="1">
      <c r="A243" t="inlineStr">
        <is>
          <t>A 16260-2022</t>
        </is>
      </c>
      <c r="B243" s="1" t="n">
        <v>44670</v>
      </c>
      <c r="C243" s="1" t="n">
        <v>46050</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52360-2024</t>
        </is>
      </c>
      <c r="B244" s="1" t="n">
        <v>45609.37094907407</v>
      </c>
      <c r="C244" s="1" t="n">
        <v>46050</v>
      </c>
      <c r="D244" t="inlineStr">
        <is>
          <t>STOCKHOLMS LÄN</t>
        </is>
      </c>
      <c r="E244" t="inlineStr">
        <is>
          <t>NORRTÄLJE</t>
        </is>
      </c>
      <c r="G244" t="n">
        <v>2.2</v>
      </c>
      <c r="H244" t="n">
        <v>1</v>
      </c>
      <c r="I244" t="n">
        <v>1</v>
      </c>
      <c r="J244" t="n">
        <v>0</v>
      </c>
      <c r="K244" t="n">
        <v>0</v>
      </c>
      <c r="L244" t="n">
        <v>0</v>
      </c>
      <c r="M244" t="n">
        <v>0</v>
      </c>
      <c r="N244" t="n">
        <v>0</v>
      </c>
      <c r="O244" t="n">
        <v>0</v>
      </c>
      <c r="P244" t="n">
        <v>0</v>
      </c>
      <c r="Q244" t="n">
        <v>2</v>
      </c>
      <c r="R244" s="2" t="inlineStr">
        <is>
          <t>Brandticka
Blåsippa</t>
        </is>
      </c>
      <c r="S244">
        <f>HYPERLINK("https://klasma.github.io/Logging_0188/artfynd/A 52360-2024 artfynd.xlsx", "A 52360-2024")</f>
        <v/>
      </c>
      <c r="T244">
        <f>HYPERLINK("https://klasma.github.io/Logging_0188/kartor/A 52360-2024 karta.png", "A 52360-2024")</f>
        <v/>
      </c>
      <c r="V244">
        <f>HYPERLINK("https://klasma.github.io/Logging_0188/klagomål/A 52360-2024 FSC-klagomål.docx", "A 52360-2024")</f>
        <v/>
      </c>
      <c r="W244">
        <f>HYPERLINK("https://klasma.github.io/Logging_0188/klagomålsmail/A 52360-2024 FSC-klagomål mail.docx", "A 52360-2024")</f>
        <v/>
      </c>
      <c r="X244">
        <f>HYPERLINK("https://klasma.github.io/Logging_0188/tillsyn/A 52360-2024 tillsynsbegäran.docx", "A 52360-2024")</f>
        <v/>
      </c>
      <c r="Y244">
        <f>HYPERLINK("https://klasma.github.io/Logging_0188/tillsynsmail/A 52360-2024 tillsynsbegäran mail.docx", "A 52360-2024")</f>
        <v/>
      </c>
    </row>
    <row r="245" ht="15" customHeight="1">
      <c r="A245" t="inlineStr">
        <is>
          <t>A 31523-2022</t>
        </is>
      </c>
      <c r="B245" s="1" t="n">
        <v>44775.22490740741</v>
      </c>
      <c r="C245" s="1" t="n">
        <v>46050</v>
      </c>
      <c r="D245" t="inlineStr">
        <is>
          <t>STOCKHOLMS LÄN</t>
        </is>
      </c>
      <c r="E245" t="inlineStr">
        <is>
          <t>ÖSTERÅKER</t>
        </is>
      </c>
      <c r="G245" t="n">
        <v>9</v>
      </c>
      <c r="H245" t="n">
        <v>0</v>
      </c>
      <c r="I245" t="n">
        <v>0</v>
      </c>
      <c r="J245" t="n">
        <v>2</v>
      </c>
      <c r="K245" t="n">
        <v>0</v>
      </c>
      <c r="L245" t="n">
        <v>0</v>
      </c>
      <c r="M245" t="n">
        <v>0</v>
      </c>
      <c r="N245" t="n">
        <v>0</v>
      </c>
      <c r="O245" t="n">
        <v>2</v>
      </c>
      <c r="P245" t="n">
        <v>0</v>
      </c>
      <c r="Q245" t="n">
        <v>2</v>
      </c>
      <c r="R245" s="2" t="inlineStr">
        <is>
          <t>Garnlav
Tallticka</t>
        </is>
      </c>
      <c r="S245">
        <f>HYPERLINK("https://klasma.github.io/Logging_0117/artfynd/A 31523-2022 artfynd.xlsx", "A 31523-2022")</f>
        <v/>
      </c>
      <c r="T245">
        <f>HYPERLINK("https://klasma.github.io/Logging_0117/kartor/A 31523-2022 karta.png", "A 31523-2022")</f>
        <v/>
      </c>
      <c r="V245">
        <f>HYPERLINK("https://klasma.github.io/Logging_0117/klagomål/A 31523-2022 FSC-klagomål.docx", "A 31523-2022")</f>
        <v/>
      </c>
      <c r="W245">
        <f>HYPERLINK("https://klasma.github.io/Logging_0117/klagomålsmail/A 31523-2022 FSC-klagomål mail.docx", "A 31523-2022")</f>
        <v/>
      </c>
      <c r="X245">
        <f>HYPERLINK("https://klasma.github.io/Logging_0117/tillsyn/A 31523-2022 tillsynsbegäran.docx", "A 31523-2022")</f>
        <v/>
      </c>
      <c r="Y245">
        <f>HYPERLINK("https://klasma.github.io/Logging_0117/tillsynsmail/A 31523-2022 tillsynsbegäran mail.docx", "A 31523-2022")</f>
        <v/>
      </c>
    </row>
    <row r="246" ht="15" customHeight="1">
      <c r="A246" t="inlineStr">
        <is>
          <t>A 2992-2023</t>
        </is>
      </c>
      <c r="B246" s="1" t="n">
        <v>44945</v>
      </c>
      <c r="C246" s="1" t="n">
        <v>46050</v>
      </c>
      <c r="D246" t="inlineStr">
        <is>
          <t>STOCKHOLMS LÄN</t>
        </is>
      </c>
      <c r="E246" t="inlineStr">
        <is>
          <t>SALEM</t>
        </is>
      </c>
      <c r="F246" t="inlineStr">
        <is>
          <t>Kommuner</t>
        </is>
      </c>
      <c r="G246" t="n">
        <v>1.7</v>
      </c>
      <c r="H246" t="n">
        <v>0</v>
      </c>
      <c r="I246" t="n">
        <v>1</v>
      </c>
      <c r="J246" t="n">
        <v>0</v>
      </c>
      <c r="K246" t="n">
        <v>1</v>
      </c>
      <c r="L246" t="n">
        <v>0</v>
      </c>
      <c r="M246" t="n">
        <v>0</v>
      </c>
      <c r="N246" t="n">
        <v>0</v>
      </c>
      <c r="O246" t="n">
        <v>1</v>
      </c>
      <c r="P246" t="n">
        <v>1</v>
      </c>
      <c r="Q246" t="n">
        <v>2</v>
      </c>
      <c r="R246" s="2" t="inlineStr">
        <is>
          <t>Rynkskinn
Blåmossa</t>
        </is>
      </c>
      <c r="S246">
        <f>HYPERLINK("https://klasma.github.io/Logging_0128/artfynd/A 2992-2023 artfynd.xlsx", "A 2992-2023")</f>
        <v/>
      </c>
      <c r="T246">
        <f>HYPERLINK("https://klasma.github.io/Logging_0128/kartor/A 2992-2023 karta.png", "A 2992-2023")</f>
        <v/>
      </c>
      <c r="V246">
        <f>HYPERLINK("https://klasma.github.io/Logging_0128/klagomål/A 2992-2023 FSC-klagomål.docx", "A 2992-2023")</f>
        <v/>
      </c>
      <c r="W246">
        <f>HYPERLINK("https://klasma.github.io/Logging_0128/klagomålsmail/A 2992-2023 FSC-klagomål mail.docx", "A 2992-2023")</f>
        <v/>
      </c>
      <c r="X246">
        <f>HYPERLINK("https://klasma.github.io/Logging_0128/tillsyn/A 2992-2023 tillsynsbegäran.docx", "A 2992-2023")</f>
        <v/>
      </c>
      <c r="Y246">
        <f>HYPERLINK("https://klasma.github.io/Logging_0128/tillsynsmail/A 2992-2023 tillsynsbegäran mail.docx", "A 2992-2023")</f>
        <v/>
      </c>
    </row>
    <row r="247" ht="15" customHeight="1">
      <c r="A247" t="inlineStr">
        <is>
          <t>A 21612-2021</t>
        </is>
      </c>
      <c r="B247" s="1" t="n">
        <v>44321</v>
      </c>
      <c r="C247" s="1" t="n">
        <v>46050</v>
      </c>
      <c r="D247" t="inlineStr">
        <is>
          <t>STOCKHOLMS LÄN</t>
        </is>
      </c>
      <c r="E247" t="inlineStr">
        <is>
          <t>VALLENTUNA</t>
        </is>
      </c>
      <c r="G247" t="n">
        <v>1.4</v>
      </c>
      <c r="H247" t="n">
        <v>2</v>
      </c>
      <c r="I247" t="n">
        <v>0</v>
      </c>
      <c r="J247" t="n">
        <v>1</v>
      </c>
      <c r="K247" t="n">
        <v>0</v>
      </c>
      <c r="L247" t="n">
        <v>0</v>
      </c>
      <c r="M247" t="n">
        <v>0</v>
      </c>
      <c r="N247" t="n">
        <v>0</v>
      </c>
      <c r="O247" t="n">
        <v>1</v>
      </c>
      <c r="P247" t="n">
        <v>0</v>
      </c>
      <c r="Q247" t="n">
        <v>2</v>
      </c>
      <c r="R247" s="2" t="inlineStr">
        <is>
          <t>Gulsparv
Grönsiska</t>
        </is>
      </c>
      <c r="S247">
        <f>HYPERLINK("https://klasma.github.io/Logging_0115/artfynd/A 21612-2021 artfynd.xlsx", "A 21612-2021")</f>
        <v/>
      </c>
      <c r="T247">
        <f>HYPERLINK("https://klasma.github.io/Logging_0115/kartor/A 21612-2021 karta.png", "A 21612-2021")</f>
        <v/>
      </c>
      <c r="V247">
        <f>HYPERLINK("https://klasma.github.io/Logging_0115/klagomål/A 21612-2021 FSC-klagomål.docx", "A 21612-2021")</f>
        <v/>
      </c>
      <c r="W247">
        <f>HYPERLINK("https://klasma.github.io/Logging_0115/klagomålsmail/A 21612-2021 FSC-klagomål mail.docx", "A 21612-2021")</f>
        <v/>
      </c>
      <c r="X247">
        <f>HYPERLINK("https://klasma.github.io/Logging_0115/tillsyn/A 21612-2021 tillsynsbegäran.docx", "A 21612-2021")</f>
        <v/>
      </c>
      <c r="Y247">
        <f>HYPERLINK("https://klasma.github.io/Logging_0115/tillsynsmail/A 21612-2021 tillsynsbegäran mail.docx", "A 21612-2021")</f>
        <v/>
      </c>
      <c r="Z247">
        <f>HYPERLINK("https://klasma.github.io/Logging_0115/fåglar/A 21612-2021 prioriterade fågelarter.docx", "A 21612-2021")</f>
        <v/>
      </c>
    </row>
    <row r="248" ht="15" customHeight="1">
      <c r="A248" t="inlineStr">
        <is>
          <t>A 61363-2022</t>
        </is>
      </c>
      <c r="B248" s="1" t="n">
        <v>44915</v>
      </c>
      <c r="C248" s="1" t="n">
        <v>46050</v>
      </c>
      <c r="D248" t="inlineStr">
        <is>
          <t>STOCKHOLMS LÄN</t>
        </is>
      </c>
      <c r="E248" t="inlineStr">
        <is>
          <t>ÖSTERÅKER</t>
        </is>
      </c>
      <c r="G248" t="n">
        <v>5.3</v>
      </c>
      <c r="H248" t="n">
        <v>0</v>
      </c>
      <c r="I248" t="n">
        <v>1</v>
      </c>
      <c r="J248" t="n">
        <v>1</v>
      </c>
      <c r="K248" t="n">
        <v>0</v>
      </c>
      <c r="L248" t="n">
        <v>0</v>
      </c>
      <c r="M248" t="n">
        <v>0</v>
      </c>
      <c r="N248" t="n">
        <v>0</v>
      </c>
      <c r="O248" t="n">
        <v>1</v>
      </c>
      <c r="P248" t="n">
        <v>0</v>
      </c>
      <c r="Q248" t="n">
        <v>2</v>
      </c>
      <c r="R248" s="2" t="inlineStr">
        <is>
          <t>Motaggsvamp
Skuggblåslav</t>
        </is>
      </c>
      <c r="S248">
        <f>HYPERLINK("https://klasma.github.io/Logging_0117/artfynd/A 61363-2022 artfynd.xlsx", "A 61363-2022")</f>
        <v/>
      </c>
      <c r="T248">
        <f>HYPERLINK("https://klasma.github.io/Logging_0117/kartor/A 61363-2022 karta.png", "A 61363-2022")</f>
        <v/>
      </c>
      <c r="V248">
        <f>HYPERLINK("https://klasma.github.io/Logging_0117/klagomål/A 61363-2022 FSC-klagomål.docx", "A 61363-2022")</f>
        <v/>
      </c>
      <c r="W248">
        <f>HYPERLINK("https://klasma.github.io/Logging_0117/klagomålsmail/A 61363-2022 FSC-klagomål mail.docx", "A 61363-2022")</f>
        <v/>
      </c>
      <c r="X248">
        <f>HYPERLINK("https://klasma.github.io/Logging_0117/tillsyn/A 61363-2022 tillsynsbegäran.docx", "A 61363-2022")</f>
        <v/>
      </c>
      <c r="Y248">
        <f>HYPERLINK("https://klasma.github.io/Logging_0117/tillsynsmail/A 61363-2022 tillsynsbegäran mail.docx", "A 61363-2022")</f>
        <v/>
      </c>
    </row>
    <row r="249" ht="15" customHeight="1">
      <c r="A249" t="inlineStr">
        <is>
          <t>A 16535-2025</t>
        </is>
      </c>
      <c r="B249" s="1" t="n">
        <v>45751.65542824074</v>
      </c>
      <c r="C249" s="1" t="n">
        <v>46050</v>
      </c>
      <c r="D249" t="inlineStr">
        <is>
          <t>STOCKHOLMS LÄN</t>
        </is>
      </c>
      <c r="E249" t="inlineStr">
        <is>
          <t>SÖDERTÄLJE</t>
        </is>
      </c>
      <c r="G249" t="n">
        <v>1.1</v>
      </c>
      <c r="H249" t="n">
        <v>1</v>
      </c>
      <c r="I249" t="n">
        <v>1</v>
      </c>
      <c r="J249" t="n">
        <v>0</v>
      </c>
      <c r="K249" t="n">
        <v>0</v>
      </c>
      <c r="L249" t="n">
        <v>0</v>
      </c>
      <c r="M249" t="n">
        <v>0</v>
      </c>
      <c r="N249" t="n">
        <v>0</v>
      </c>
      <c r="O249" t="n">
        <v>0</v>
      </c>
      <c r="P249" t="n">
        <v>0</v>
      </c>
      <c r="Q249" t="n">
        <v>2</v>
      </c>
      <c r="R249" s="2" t="inlineStr">
        <is>
          <t>Tibast
Blåsippa</t>
        </is>
      </c>
      <c r="S249">
        <f>HYPERLINK("https://klasma.github.io/Logging_0181/artfynd/A 16535-2025 artfynd.xlsx", "A 16535-2025")</f>
        <v/>
      </c>
      <c r="T249">
        <f>HYPERLINK("https://klasma.github.io/Logging_0181/kartor/A 16535-2025 karta.png", "A 16535-2025")</f>
        <v/>
      </c>
      <c r="V249">
        <f>HYPERLINK("https://klasma.github.io/Logging_0181/klagomål/A 16535-2025 FSC-klagomål.docx", "A 16535-2025")</f>
        <v/>
      </c>
      <c r="W249">
        <f>HYPERLINK("https://klasma.github.io/Logging_0181/klagomålsmail/A 16535-2025 FSC-klagomål mail.docx", "A 16535-2025")</f>
        <v/>
      </c>
      <c r="X249">
        <f>HYPERLINK("https://klasma.github.io/Logging_0181/tillsyn/A 16535-2025 tillsynsbegäran.docx", "A 16535-2025")</f>
        <v/>
      </c>
      <c r="Y249">
        <f>HYPERLINK("https://klasma.github.io/Logging_0181/tillsynsmail/A 16535-2025 tillsynsbegäran mail.docx", "A 16535-2025")</f>
        <v/>
      </c>
    </row>
    <row r="250" ht="15" customHeight="1">
      <c r="A250" t="inlineStr">
        <is>
          <t>A 10909-2025</t>
        </is>
      </c>
      <c r="B250" s="1" t="n">
        <v>45722</v>
      </c>
      <c r="C250" s="1" t="n">
        <v>46050</v>
      </c>
      <c r="D250" t="inlineStr">
        <is>
          <t>STOCKHOLMS LÄN</t>
        </is>
      </c>
      <c r="E250" t="inlineStr">
        <is>
          <t>UPPLANDS-BRO</t>
        </is>
      </c>
      <c r="F250" t="inlineStr">
        <is>
          <t>Allmännings- och besparingsskogar</t>
        </is>
      </c>
      <c r="G250" t="n">
        <v>11.2</v>
      </c>
      <c r="H250" t="n">
        <v>1</v>
      </c>
      <c r="I250" t="n">
        <v>0</v>
      </c>
      <c r="J250" t="n">
        <v>1</v>
      </c>
      <c r="K250" t="n">
        <v>0</v>
      </c>
      <c r="L250" t="n">
        <v>0</v>
      </c>
      <c r="M250" t="n">
        <v>0</v>
      </c>
      <c r="N250" t="n">
        <v>0</v>
      </c>
      <c r="O250" t="n">
        <v>1</v>
      </c>
      <c r="P250" t="n">
        <v>0</v>
      </c>
      <c r="Q250" t="n">
        <v>2</v>
      </c>
      <c r="R250" s="2" t="inlineStr">
        <is>
          <t>Arommusseron
Fläcknycklar</t>
        </is>
      </c>
      <c r="S250">
        <f>HYPERLINK("https://klasma.github.io/Logging_0139/artfynd/A 10909-2025 artfynd.xlsx", "A 10909-2025")</f>
        <v/>
      </c>
      <c r="T250">
        <f>HYPERLINK("https://klasma.github.io/Logging_0139/kartor/A 10909-2025 karta.png", "A 10909-2025")</f>
        <v/>
      </c>
      <c r="V250">
        <f>HYPERLINK("https://klasma.github.io/Logging_0139/klagomål/A 10909-2025 FSC-klagomål.docx", "A 10909-2025")</f>
        <v/>
      </c>
      <c r="W250">
        <f>HYPERLINK("https://klasma.github.io/Logging_0139/klagomålsmail/A 10909-2025 FSC-klagomål mail.docx", "A 10909-2025")</f>
        <v/>
      </c>
      <c r="X250">
        <f>HYPERLINK("https://klasma.github.io/Logging_0139/tillsyn/A 10909-2025 tillsynsbegäran.docx", "A 10909-2025")</f>
        <v/>
      </c>
      <c r="Y250">
        <f>HYPERLINK("https://klasma.github.io/Logging_0139/tillsynsmail/A 10909-2025 tillsynsbegäran mail.docx", "A 10909-2025")</f>
        <v/>
      </c>
    </row>
    <row r="251" ht="15" customHeight="1">
      <c r="A251" t="inlineStr">
        <is>
          <t>A 10911-2025</t>
        </is>
      </c>
      <c r="B251" s="1" t="n">
        <v>45722</v>
      </c>
      <c r="C251" s="1" t="n">
        <v>46050</v>
      </c>
      <c r="D251" t="inlineStr">
        <is>
          <t>STOCKHOLMS LÄN</t>
        </is>
      </c>
      <c r="E251" t="inlineStr">
        <is>
          <t>UPPLANDS-BRO</t>
        </is>
      </c>
      <c r="F251" t="inlineStr">
        <is>
          <t>Allmännings- och besparingsskogar</t>
        </is>
      </c>
      <c r="G251" t="n">
        <v>5.6</v>
      </c>
      <c r="H251" t="n">
        <v>1</v>
      </c>
      <c r="I251" t="n">
        <v>1</v>
      </c>
      <c r="J251" t="n">
        <v>1</v>
      </c>
      <c r="K251" t="n">
        <v>0</v>
      </c>
      <c r="L251" t="n">
        <v>0</v>
      </c>
      <c r="M251" t="n">
        <v>0</v>
      </c>
      <c r="N251" t="n">
        <v>0</v>
      </c>
      <c r="O251" t="n">
        <v>1</v>
      </c>
      <c r="P251" t="n">
        <v>0</v>
      </c>
      <c r="Q251" t="n">
        <v>2</v>
      </c>
      <c r="R251" s="2" t="inlineStr">
        <is>
          <t>Talltita
Vågbandad barkbock</t>
        </is>
      </c>
      <c r="S251">
        <f>HYPERLINK("https://klasma.github.io/Logging_0139/artfynd/A 10911-2025 artfynd.xlsx", "A 10911-2025")</f>
        <v/>
      </c>
      <c r="T251">
        <f>HYPERLINK("https://klasma.github.io/Logging_0139/kartor/A 10911-2025 karta.png", "A 10911-2025")</f>
        <v/>
      </c>
      <c r="V251">
        <f>HYPERLINK("https://klasma.github.io/Logging_0139/klagomål/A 10911-2025 FSC-klagomål.docx", "A 10911-2025")</f>
        <v/>
      </c>
      <c r="W251">
        <f>HYPERLINK("https://klasma.github.io/Logging_0139/klagomålsmail/A 10911-2025 FSC-klagomål mail.docx", "A 10911-2025")</f>
        <v/>
      </c>
      <c r="X251">
        <f>HYPERLINK("https://klasma.github.io/Logging_0139/tillsyn/A 10911-2025 tillsynsbegäran.docx", "A 10911-2025")</f>
        <v/>
      </c>
      <c r="Y251">
        <f>HYPERLINK("https://klasma.github.io/Logging_0139/tillsynsmail/A 10911-2025 tillsynsbegäran mail.docx", "A 10911-2025")</f>
        <v/>
      </c>
      <c r="Z251">
        <f>HYPERLINK("https://klasma.github.io/Logging_0139/fåglar/A 10911-2025 prioriterade fågelarter.docx", "A 10911-2025")</f>
        <v/>
      </c>
    </row>
    <row r="252" ht="15" customHeight="1">
      <c r="A252" t="inlineStr">
        <is>
          <t>A 54703-2024</t>
        </is>
      </c>
      <c r="B252" s="1" t="n">
        <v>45618</v>
      </c>
      <c r="C252" s="1" t="n">
        <v>46050</v>
      </c>
      <c r="D252" t="inlineStr">
        <is>
          <t>STOCKHOLMS LÄN</t>
        </is>
      </c>
      <c r="E252" t="inlineStr">
        <is>
          <t>ÖSTERÅKER</t>
        </is>
      </c>
      <c r="G252" t="n">
        <v>7.7</v>
      </c>
      <c r="H252" t="n">
        <v>1</v>
      </c>
      <c r="I252" t="n">
        <v>0</v>
      </c>
      <c r="J252" t="n">
        <v>2</v>
      </c>
      <c r="K252" t="n">
        <v>0</v>
      </c>
      <c r="L252" t="n">
        <v>0</v>
      </c>
      <c r="M252" t="n">
        <v>0</v>
      </c>
      <c r="N252" t="n">
        <v>0</v>
      </c>
      <c r="O252" t="n">
        <v>2</v>
      </c>
      <c r="P252" t="n">
        <v>0</v>
      </c>
      <c r="Q252" t="n">
        <v>2</v>
      </c>
      <c r="R252" s="2" t="inlineStr">
        <is>
          <t>Spillkråka
Tallticka</t>
        </is>
      </c>
      <c r="S252">
        <f>HYPERLINK("https://klasma.github.io/Logging_0117/artfynd/A 54703-2024 artfynd.xlsx", "A 54703-2024")</f>
        <v/>
      </c>
      <c r="T252">
        <f>HYPERLINK("https://klasma.github.io/Logging_0117/kartor/A 54703-2024 karta.png", "A 54703-2024")</f>
        <v/>
      </c>
      <c r="V252">
        <f>HYPERLINK("https://klasma.github.io/Logging_0117/klagomål/A 54703-2024 FSC-klagomål.docx", "A 54703-2024")</f>
        <v/>
      </c>
      <c r="W252">
        <f>HYPERLINK("https://klasma.github.io/Logging_0117/klagomålsmail/A 54703-2024 FSC-klagomål mail.docx", "A 54703-2024")</f>
        <v/>
      </c>
      <c r="X252">
        <f>HYPERLINK("https://klasma.github.io/Logging_0117/tillsyn/A 54703-2024 tillsynsbegäran.docx", "A 54703-2024")</f>
        <v/>
      </c>
      <c r="Y252">
        <f>HYPERLINK("https://klasma.github.io/Logging_0117/tillsynsmail/A 54703-2024 tillsynsbegäran mail.docx", "A 54703-2024")</f>
        <v/>
      </c>
      <c r="Z252">
        <f>HYPERLINK("https://klasma.github.io/Logging_0117/fåglar/A 54703-2024 prioriterade fågelarter.docx", "A 54703-2024")</f>
        <v/>
      </c>
    </row>
    <row r="253" ht="15" customHeight="1">
      <c r="A253" t="inlineStr">
        <is>
          <t>A 14729-2023</t>
        </is>
      </c>
      <c r="B253" s="1" t="n">
        <v>45014</v>
      </c>
      <c r="C253" s="1" t="n">
        <v>46050</v>
      </c>
      <c r="D253" t="inlineStr">
        <is>
          <t>STOCKHOLMS LÄN</t>
        </is>
      </c>
      <c r="E253" t="inlineStr">
        <is>
          <t>HANINGE</t>
        </is>
      </c>
      <c r="G253" t="n">
        <v>0.2</v>
      </c>
      <c r="H253" t="n">
        <v>0</v>
      </c>
      <c r="I253" t="n">
        <v>1</v>
      </c>
      <c r="J253" t="n">
        <v>1</v>
      </c>
      <c r="K253" t="n">
        <v>0</v>
      </c>
      <c r="L253" t="n">
        <v>0</v>
      </c>
      <c r="M253" t="n">
        <v>0</v>
      </c>
      <c r="N253" t="n">
        <v>0</v>
      </c>
      <c r="O253" t="n">
        <v>1</v>
      </c>
      <c r="P253" t="n">
        <v>0</v>
      </c>
      <c r="Q253" t="n">
        <v>2</v>
      </c>
      <c r="R253" s="2" t="inlineStr">
        <is>
          <t>Ullticka
Mindre märgborre</t>
        </is>
      </c>
      <c r="S253">
        <f>HYPERLINK("https://klasma.github.io/Logging_0136/artfynd/A 14729-2023 artfynd.xlsx", "A 14729-2023")</f>
        <v/>
      </c>
      <c r="T253">
        <f>HYPERLINK("https://klasma.github.io/Logging_0136/kartor/A 14729-2023 karta.png", "A 14729-2023")</f>
        <v/>
      </c>
      <c r="V253">
        <f>HYPERLINK("https://klasma.github.io/Logging_0136/klagomål/A 14729-2023 FSC-klagomål.docx", "A 14729-2023")</f>
        <v/>
      </c>
      <c r="W253">
        <f>HYPERLINK("https://klasma.github.io/Logging_0136/klagomålsmail/A 14729-2023 FSC-klagomål mail.docx", "A 14729-2023")</f>
        <v/>
      </c>
      <c r="X253">
        <f>HYPERLINK("https://klasma.github.io/Logging_0136/tillsyn/A 14729-2023 tillsynsbegäran.docx", "A 14729-2023")</f>
        <v/>
      </c>
      <c r="Y253">
        <f>HYPERLINK("https://klasma.github.io/Logging_0136/tillsynsmail/A 14729-2023 tillsynsbegäran mail.docx", "A 14729-2023")</f>
        <v/>
      </c>
    </row>
    <row r="254" ht="15" customHeight="1">
      <c r="A254" t="inlineStr">
        <is>
          <t>A 46-2022</t>
        </is>
      </c>
      <c r="B254" s="1" t="n">
        <v>44560</v>
      </c>
      <c r="C254" s="1" t="n">
        <v>46050</v>
      </c>
      <c r="D254" t="inlineStr">
        <is>
          <t>STOCKHOLMS LÄN</t>
        </is>
      </c>
      <c r="E254" t="inlineStr">
        <is>
          <t>VALLENTUNA</t>
        </is>
      </c>
      <c r="F254" t="inlineStr">
        <is>
          <t>Övriga Aktiebolag</t>
        </is>
      </c>
      <c r="G254" t="n">
        <v>7.9</v>
      </c>
      <c r="H254" t="n">
        <v>1</v>
      </c>
      <c r="I254" t="n">
        <v>1</v>
      </c>
      <c r="J254" t="n">
        <v>0</v>
      </c>
      <c r="K254" t="n">
        <v>0</v>
      </c>
      <c r="L254" t="n">
        <v>0</v>
      </c>
      <c r="M254" t="n">
        <v>0</v>
      </c>
      <c r="N254" t="n">
        <v>0</v>
      </c>
      <c r="O254" t="n">
        <v>0</v>
      </c>
      <c r="P254" t="n">
        <v>0</v>
      </c>
      <c r="Q254" t="n">
        <v>2</v>
      </c>
      <c r="R254" s="2" t="inlineStr">
        <is>
          <t>Fällmossa
Blåsippa</t>
        </is>
      </c>
      <c r="S254">
        <f>HYPERLINK("https://klasma.github.io/Logging_0115/artfynd/A 46-2022 artfynd.xlsx", "A 46-2022")</f>
        <v/>
      </c>
      <c r="T254">
        <f>HYPERLINK("https://klasma.github.io/Logging_0115/kartor/A 46-2022 karta.png", "A 46-2022")</f>
        <v/>
      </c>
      <c r="V254">
        <f>HYPERLINK("https://klasma.github.io/Logging_0115/klagomål/A 46-2022 FSC-klagomål.docx", "A 46-2022")</f>
        <v/>
      </c>
      <c r="W254">
        <f>HYPERLINK("https://klasma.github.io/Logging_0115/klagomålsmail/A 46-2022 FSC-klagomål mail.docx", "A 46-2022")</f>
        <v/>
      </c>
      <c r="X254">
        <f>HYPERLINK("https://klasma.github.io/Logging_0115/tillsyn/A 46-2022 tillsynsbegäran.docx", "A 46-2022")</f>
        <v/>
      </c>
      <c r="Y254">
        <f>HYPERLINK("https://klasma.github.io/Logging_0115/tillsynsmail/A 46-2022 tillsynsbegäran mail.docx", "A 46-2022")</f>
        <v/>
      </c>
    </row>
    <row r="255" ht="15" customHeight="1">
      <c r="A255" t="inlineStr">
        <is>
          <t>A 40816-2022</t>
        </is>
      </c>
      <c r="B255" s="1" t="n">
        <v>44824</v>
      </c>
      <c r="C255" s="1" t="n">
        <v>46050</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1547-2022</t>
        </is>
      </c>
      <c r="B256" s="1" t="n">
        <v>44573</v>
      </c>
      <c r="C256" s="1" t="n">
        <v>46050</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46050</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68700-2021</t>
        </is>
      </c>
      <c r="B258" s="1" t="n">
        <v>44529</v>
      </c>
      <c r="C258" s="1" t="n">
        <v>46050</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46050</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46050</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46050</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46050</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46050</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46050</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46050</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46050</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46050</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46050</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46050</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46050</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46050</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46050</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46050</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46050</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46050</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46050</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4595-2023</t>
        </is>
      </c>
      <c r="B277" s="1" t="n">
        <v>44956</v>
      </c>
      <c r="C277" s="1" t="n">
        <v>46050</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14214-2025</t>
        </is>
      </c>
      <c r="B278" s="1" t="n">
        <v>45740.58291666667</v>
      </c>
      <c r="C278" s="1" t="n">
        <v>46050</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23905-2025</t>
        </is>
      </c>
      <c r="B279" s="1" t="n">
        <v>45794.63298611111</v>
      </c>
      <c r="C279" s="1" t="n">
        <v>46050</v>
      </c>
      <c r="D279" t="inlineStr">
        <is>
          <t>STOCKHOLMS LÄN</t>
        </is>
      </c>
      <c r="E279" t="inlineStr">
        <is>
          <t>NORRTÄLJE</t>
        </is>
      </c>
      <c r="G279" t="n">
        <v>8.4</v>
      </c>
      <c r="H279" t="n">
        <v>1</v>
      </c>
      <c r="I279" t="n">
        <v>0</v>
      </c>
      <c r="J279" t="n">
        <v>0</v>
      </c>
      <c r="K279" t="n">
        <v>0</v>
      </c>
      <c r="L279" t="n">
        <v>0</v>
      </c>
      <c r="M279" t="n">
        <v>0</v>
      </c>
      <c r="N279" t="n">
        <v>0</v>
      </c>
      <c r="O279" t="n">
        <v>0</v>
      </c>
      <c r="P279" t="n">
        <v>0</v>
      </c>
      <c r="Q279" t="n">
        <v>1</v>
      </c>
      <c r="R279" s="2" t="inlineStr">
        <is>
          <t>Blåsippa</t>
        </is>
      </c>
      <c r="S279">
        <f>HYPERLINK("https://klasma.github.io/Logging_0188/artfynd/A 23905-2025 artfynd.xlsx", "A 23905-2025")</f>
        <v/>
      </c>
      <c r="T279">
        <f>HYPERLINK("https://klasma.github.io/Logging_0188/kartor/A 23905-2025 karta.png", "A 23905-2025")</f>
        <v/>
      </c>
      <c r="V279">
        <f>HYPERLINK("https://klasma.github.io/Logging_0188/klagomål/A 23905-2025 FSC-klagomål.docx", "A 23905-2025")</f>
        <v/>
      </c>
      <c r="W279">
        <f>HYPERLINK("https://klasma.github.io/Logging_0188/klagomålsmail/A 23905-2025 FSC-klagomål mail.docx", "A 23905-2025")</f>
        <v/>
      </c>
      <c r="X279">
        <f>HYPERLINK("https://klasma.github.io/Logging_0188/tillsyn/A 23905-2025 tillsynsbegäran.docx", "A 23905-2025")</f>
        <v/>
      </c>
      <c r="Y279">
        <f>HYPERLINK("https://klasma.github.io/Logging_0188/tillsynsmail/A 23905-2025 tillsynsbegäran mail.docx", "A 23905-2025")</f>
        <v/>
      </c>
    </row>
    <row r="280" ht="15" customHeight="1">
      <c r="A280" t="inlineStr">
        <is>
          <t>A 24535-2023</t>
        </is>
      </c>
      <c r="B280" s="1" t="n">
        <v>45082</v>
      </c>
      <c r="C280" s="1" t="n">
        <v>46050</v>
      </c>
      <c r="D280" t="inlineStr">
        <is>
          <t>STOCKHOLMS LÄN</t>
        </is>
      </c>
      <c r="E280" t="inlineStr">
        <is>
          <t>NORRTÄLJE</t>
        </is>
      </c>
      <c r="F280" t="inlineStr">
        <is>
          <t>Kommuner</t>
        </is>
      </c>
      <c r="G280" t="n">
        <v>2</v>
      </c>
      <c r="H280" t="n">
        <v>1</v>
      </c>
      <c r="I280" t="n">
        <v>0</v>
      </c>
      <c r="J280" t="n">
        <v>0</v>
      </c>
      <c r="K280" t="n">
        <v>0</v>
      </c>
      <c r="L280" t="n">
        <v>0</v>
      </c>
      <c r="M280" t="n">
        <v>0</v>
      </c>
      <c r="N280" t="n">
        <v>0</v>
      </c>
      <c r="O280" t="n">
        <v>0</v>
      </c>
      <c r="P280" t="n">
        <v>0</v>
      </c>
      <c r="Q280" t="n">
        <v>1</v>
      </c>
      <c r="R280" s="2" t="inlineStr">
        <is>
          <t>Blåsippa</t>
        </is>
      </c>
      <c r="S280">
        <f>HYPERLINK("https://klasma.github.io/Logging_0188/artfynd/A 24535-2023 artfynd.xlsx", "A 24535-2023")</f>
        <v/>
      </c>
      <c r="T280">
        <f>HYPERLINK("https://klasma.github.io/Logging_0188/kartor/A 24535-2023 karta.png", "A 24535-2023")</f>
        <v/>
      </c>
      <c r="V280">
        <f>HYPERLINK("https://klasma.github.io/Logging_0188/klagomål/A 24535-2023 FSC-klagomål.docx", "A 24535-2023")</f>
        <v/>
      </c>
      <c r="W280">
        <f>HYPERLINK("https://klasma.github.io/Logging_0188/klagomålsmail/A 24535-2023 FSC-klagomål mail.docx", "A 24535-2023")</f>
        <v/>
      </c>
      <c r="X280">
        <f>HYPERLINK("https://klasma.github.io/Logging_0188/tillsyn/A 24535-2023 tillsynsbegäran.docx", "A 24535-2023")</f>
        <v/>
      </c>
      <c r="Y280">
        <f>HYPERLINK("https://klasma.github.io/Logging_0188/tillsynsmail/A 24535-2023 tillsynsbegäran mail.docx", "A 24535-2023")</f>
        <v/>
      </c>
    </row>
    <row r="281" ht="15" customHeight="1">
      <c r="A281" t="inlineStr">
        <is>
          <t>A 13794-2023</t>
        </is>
      </c>
      <c r="B281" s="1" t="n">
        <v>45007</v>
      </c>
      <c r="C281" s="1" t="n">
        <v>46050</v>
      </c>
      <c r="D281" t="inlineStr">
        <is>
          <t>STOCKHOLMS LÄN</t>
        </is>
      </c>
      <c r="E281" t="inlineStr">
        <is>
          <t>EKERÖ</t>
        </is>
      </c>
      <c r="G281" t="n">
        <v>4.8</v>
      </c>
      <c r="H281" t="n">
        <v>0</v>
      </c>
      <c r="I281" t="n">
        <v>0</v>
      </c>
      <c r="J281" t="n">
        <v>1</v>
      </c>
      <c r="K281" t="n">
        <v>0</v>
      </c>
      <c r="L281" t="n">
        <v>0</v>
      </c>
      <c r="M281" t="n">
        <v>0</v>
      </c>
      <c r="N281" t="n">
        <v>0</v>
      </c>
      <c r="O281" t="n">
        <v>1</v>
      </c>
      <c r="P281" t="n">
        <v>0</v>
      </c>
      <c r="Q281" t="n">
        <v>1</v>
      </c>
      <c r="R281" s="2" t="inlineStr">
        <is>
          <t>Tallticka</t>
        </is>
      </c>
      <c r="S281">
        <f>HYPERLINK("https://klasma.github.io/Logging_0125/artfynd/A 13794-2023 artfynd.xlsx", "A 13794-2023")</f>
        <v/>
      </c>
      <c r="T281">
        <f>HYPERLINK("https://klasma.github.io/Logging_0125/kartor/A 13794-2023 karta.png", "A 13794-2023")</f>
        <v/>
      </c>
      <c r="V281">
        <f>HYPERLINK("https://klasma.github.io/Logging_0125/klagomål/A 13794-2023 FSC-klagomål.docx", "A 13794-2023")</f>
        <v/>
      </c>
      <c r="W281">
        <f>HYPERLINK("https://klasma.github.io/Logging_0125/klagomålsmail/A 13794-2023 FSC-klagomål mail.docx", "A 13794-2023")</f>
        <v/>
      </c>
      <c r="X281">
        <f>HYPERLINK("https://klasma.github.io/Logging_0125/tillsyn/A 13794-2023 tillsynsbegäran.docx", "A 13794-2023")</f>
        <v/>
      </c>
      <c r="Y281">
        <f>HYPERLINK("https://klasma.github.io/Logging_0125/tillsynsmail/A 13794-2023 tillsynsbegäran mail.docx", "A 13794-2023")</f>
        <v/>
      </c>
    </row>
    <row r="282" ht="15" customHeight="1">
      <c r="A282" t="inlineStr">
        <is>
          <t>A 11388-2024</t>
        </is>
      </c>
      <c r="B282" s="1" t="n">
        <v>45372.44967592593</v>
      </c>
      <c r="C282" s="1" t="n">
        <v>46050</v>
      </c>
      <c r="D282" t="inlineStr">
        <is>
          <t>STOCKHOLMS LÄN</t>
        </is>
      </c>
      <c r="E282" t="inlineStr">
        <is>
          <t>NYKVARN</t>
        </is>
      </c>
      <c r="G282" t="n">
        <v>4</v>
      </c>
      <c r="H282" t="n">
        <v>0</v>
      </c>
      <c r="I282" t="n">
        <v>0</v>
      </c>
      <c r="J282" t="n">
        <v>1</v>
      </c>
      <c r="K282" t="n">
        <v>0</v>
      </c>
      <c r="L282" t="n">
        <v>0</v>
      </c>
      <c r="M282" t="n">
        <v>0</v>
      </c>
      <c r="N282" t="n">
        <v>0</v>
      </c>
      <c r="O282" t="n">
        <v>1</v>
      </c>
      <c r="P282" t="n">
        <v>0</v>
      </c>
      <c r="Q282" t="n">
        <v>1</v>
      </c>
      <c r="R282" s="2" t="inlineStr">
        <is>
          <t>Igelkott</t>
        </is>
      </c>
      <c r="S282">
        <f>HYPERLINK("https://klasma.github.io/Logging_0140/artfynd/A 11388-2024 artfynd.xlsx", "A 11388-2024")</f>
        <v/>
      </c>
      <c r="T282">
        <f>HYPERLINK("https://klasma.github.io/Logging_0140/kartor/A 11388-2024 karta.png", "A 11388-2024")</f>
        <v/>
      </c>
      <c r="V282">
        <f>HYPERLINK("https://klasma.github.io/Logging_0140/klagomål/A 11388-2024 FSC-klagomål.docx", "A 11388-2024")</f>
        <v/>
      </c>
      <c r="W282">
        <f>HYPERLINK("https://klasma.github.io/Logging_0140/klagomålsmail/A 11388-2024 FSC-klagomål mail.docx", "A 11388-2024")</f>
        <v/>
      </c>
      <c r="X282">
        <f>HYPERLINK("https://klasma.github.io/Logging_0140/tillsyn/A 11388-2024 tillsynsbegäran.docx", "A 11388-2024")</f>
        <v/>
      </c>
      <c r="Y282">
        <f>HYPERLINK("https://klasma.github.io/Logging_0140/tillsynsmail/A 11388-2024 tillsynsbegäran mail.docx", "A 11388-2024")</f>
        <v/>
      </c>
    </row>
    <row r="283" ht="15" customHeight="1">
      <c r="A283" t="inlineStr">
        <is>
          <t>A 31842-2023</t>
        </is>
      </c>
      <c r="B283" s="1" t="n">
        <v>45118</v>
      </c>
      <c r="C283" s="1" t="n">
        <v>46050</v>
      </c>
      <c r="D283" t="inlineStr">
        <is>
          <t>STOCKHOLMS LÄN</t>
        </is>
      </c>
      <c r="E283" t="inlineStr">
        <is>
          <t>NYNÄSHAMN</t>
        </is>
      </c>
      <c r="F283" t="inlineStr">
        <is>
          <t>Kommuner</t>
        </is>
      </c>
      <c r="G283" t="n">
        <v>3.8</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31842-2023 artfynd.xlsx", "A 31842-2023")</f>
        <v/>
      </c>
      <c r="T283">
        <f>HYPERLINK("https://klasma.github.io/Logging_0192/kartor/A 31842-2023 karta.png", "A 31842-2023")</f>
        <v/>
      </c>
      <c r="V283">
        <f>HYPERLINK("https://klasma.github.io/Logging_0192/klagomål/A 31842-2023 FSC-klagomål.docx", "A 31842-2023")</f>
        <v/>
      </c>
      <c r="W283">
        <f>HYPERLINK("https://klasma.github.io/Logging_0192/klagomålsmail/A 31842-2023 FSC-klagomål mail.docx", "A 31842-2023")</f>
        <v/>
      </c>
      <c r="X283">
        <f>HYPERLINK("https://klasma.github.io/Logging_0192/tillsyn/A 31842-2023 tillsynsbegäran.docx", "A 31842-2023")</f>
        <v/>
      </c>
      <c r="Y283">
        <f>HYPERLINK("https://klasma.github.io/Logging_0192/tillsynsmail/A 31842-2023 tillsynsbegäran mail.docx", "A 31842-2023")</f>
        <v/>
      </c>
    </row>
    <row r="284" ht="15" customHeight="1">
      <c r="A284" t="inlineStr">
        <is>
          <t>A 25669-2025</t>
        </is>
      </c>
      <c r="B284" s="1" t="n">
        <v>45803.62766203703</v>
      </c>
      <c r="C284" s="1" t="n">
        <v>46050</v>
      </c>
      <c r="D284" t="inlineStr">
        <is>
          <t>STOCKHOLMS LÄN</t>
        </is>
      </c>
      <c r="E284" t="inlineStr">
        <is>
          <t>NORRTÄLJE</t>
        </is>
      </c>
      <c r="F284" t="inlineStr">
        <is>
          <t>Holmen skog AB</t>
        </is>
      </c>
      <c r="G284" t="n">
        <v>3.1</v>
      </c>
      <c r="H284" t="n">
        <v>1</v>
      </c>
      <c r="I284" t="n">
        <v>0</v>
      </c>
      <c r="J284" t="n">
        <v>0</v>
      </c>
      <c r="K284" t="n">
        <v>0</v>
      </c>
      <c r="L284" t="n">
        <v>0</v>
      </c>
      <c r="M284" t="n">
        <v>0</v>
      </c>
      <c r="N284" t="n">
        <v>0</v>
      </c>
      <c r="O284" t="n">
        <v>0</v>
      </c>
      <c r="P284" t="n">
        <v>0</v>
      </c>
      <c r="Q284" t="n">
        <v>1</v>
      </c>
      <c r="R284" s="2" t="inlineStr">
        <is>
          <t>Tjäder</t>
        </is>
      </c>
      <c r="S284">
        <f>HYPERLINK("https://klasma.github.io/Logging_0188/artfynd/A 25669-2025 artfynd.xlsx", "A 25669-2025")</f>
        <v/>
      </c>
      <c r="T284">
        <f>HYPERLINK("https://klasma.github.io/Logging_0188/kartor/A 25669-2025 karta.png", "A 25669-2025")</f>
        <v/>
      </c>
      <c r="V284">
        <f>HYPERLINK("https://klasma.github.io/Logging_0188/klagomål/A 25669-2025 FSC-klagomål.docx", "A 25669-2025")</f>
        <v/>
      </c>
      <c r="W284">
        <f>HYPERLINK("https://klasma.github.io/Logging_0188/klagomålsmail/A 25669-2025 FSC-klagomål mail.docx", "A 25669-2025")</f>
        <v/>
      </c>
      <c r="X284">
        <f>HYPERLINK("https://klasma.github.io/Logging_0188/tillsyn/A 25669-2025 tillsynsbegäran.docx", "A 25669-2025")</f>
        <v/>
      </c>
      <c r="Y284">
        <f>HYPERLINK("https://klasma.github.io/Logging_0188/tillsynsmail/A 25669-2025 tillsynsbegäran mail.docx", "A 25669-2025")</f>
        <v/>
      </c>
      <c r="Z284">
        <f>HYPERLINK("https://klasma.github.io/Logging_0188/fåglar/A 25669-2025 prioriterade fågelarter.docx", "A 25669-2025")</f>
        <v/>
      </c>
    </row>
    <row r="285" ht="15" customHeight="1">
      <c r="A285" t="inlineStr">
        <is>
          <t>A 35764-2024</t>
        </is>
      </c>
      <c r="B285" s="1" t="n">
        <v>45532</v>
      </c>
      <c r="C285" s="1" t="n">
        <v>46050</v>
      </c>
      <c r="D285" t="inlineStr">
        <is>
          <t>STOCKHOLMS LÄN</t>
        </is>
      </c>
      <c r="E285" t="inlineStr">
        <is>
          <t>NORRTÄLJE</t>
        </is>
      </c>
      <c r="G285" t="n">
        <v>14.2</v>
      </c>
      <c r="H285" t="n">
        <v>1</v>
      </c>
      <c r="I285" t="n">
        <v>0</v>
      </c>
      <c r="J285" t="n">
        <v>0</v>
      </c>
      <c r="K285" t="n">
        <v>1</v>
      </c>
      <c r="L285" t="n">
        <v>0</v>
      </c>
      <c r="M285" t="n">
        <v>0</v>
      </c>
      <c r="N285" t="n">
        <v>0</v>
      </c>
      <c r="O285" t="n">
        <v>1</v>
      </c>
      <c r="P285" t="n">
        <v>1</v>
      </c>
      <c r="Q285" t="n">
        <v>1</v>
      </c>
      <c r="R285" s="2" t="inlineStr">
        <is>
          <t>Knärot</t>
        </is>
      </c>
      <c r="S285">
        <f>HYPERLINK("https://klasma.github.io/Logging_0188/artfynd/A 35764-2024 artfynd.xlsx", "A 35764-2024")</f>
        <v/>
      </c>
      <c r="T285">
        <f>HYPERLINK("https://klasma.github.io/Logging_0188/kartor/A 35764-2024 karta.png", "A 35764-2024")</f>
        <v/>
      </c>
      <c r="U285">
        <f>HYPERLINK("https://klasma.github.io/Logging_0188/knärot/A 35764-2024 karta knärot.png", "A 35764-2024")</f>
        <v/>
      </c>
      <c r="V285">
        <f>HYPERLINK("https://klasma.github.io/Logging_0188/klagomål/A 35764-2024 FSC-klagomål.docx", "A 35764-2024")</f>
        <v/>
      </c>
      <c r="W285">
        <f>HYPERLINK("https://klasma.github.io/Logging_0188/klagomålsmail/A 35764-2024 FSC-klagomål mail.docx", "A 35764-2024")</f>
        <v/>
      </c>
      <c r="X285">
        <f>HYPERLINK("https://klasma.github.io/Logging_0188/tillsyn/A 35764-2024 tillsynsbegäran.docx", "A 35764-2024")</f>
        <v/>
      </c>
      <c r="Y285">
        <f>HYPERLINK("https://klasma.github.io/Logging_0188/tillsynsmail/A 35764-2024 tillsynsbegäran mail.docx", "A 35764-2024")</f>
        <v/>
      </c>
    </row>
    <row r="286" ht="15" customHeight="1">
      <c r="A286" t="inlineStr">
        <is>
          <t>A 25725-2025</t>
        </is>
      </c>
      <c r="B286" s="1" t="n">
        <v>45800</v>
      </c>
      <c r="C286" s="1" t="n">
        <v>46050</v>
      </c>
      <c r="D286" t="inlineStr">
        <is>
          <t>STOCKHOLMS LÄN</t>
        </is>
      </c>
      <c r="E286" t="inlineStr">
        <is>
          <t>NORRTÄLJE</t>
        </is>
      </c>
      <c r="G286" t="n">
        <v>5.2</v>
      </c>
      <c r="H286" t="n">
        <v>0</v>
      </c>
      <c r="I286" t="n">
        <v>0</v>
      </c>
      <c r="J286" t="n">
        <v>1</v>
      </c>
      <c r="K286" t="n">
        <v>0</v>
      </c>
      <c r="L286" t="n">
        <v>0</v>
      </c>
      <c r="M286" t="n">
        <v>0</v>
      </c>
      <c r="N286" t="n">
        <v>0</v>
      </c>
      <c r="O286" t="n">
        <v>1</v>
      </c>
      <c r="P286" t="n">
        <v>0</v>
      </c>
      <c r="Q286" t="n">
        <v>1</v>
      </c>
      <c r="R286" s="2" t="inlineStr">
        <is>
          <t>Tallticka</t>
        </is>
      </c>
      <c r="S286">
        <f>HYPERLINK("https://klasma.github.io/Logging_0188/artfynd/A 25725-2025 artfynd.xlsx", "A 25725-2025")</f>
        <v/>
      </c>
      <c r="T286">
        <f>HYPERLINK("https://klasma.github.io/Logging_0188/kartor/A 25725-2025 karta.png", "A 25725-2025")</f>
        <v/>
      </c>
      <c r="V286">
        <f>HYPERLINK("https://klasma.github.io/Logging_0188/klagomål/A 25725-2025 FSC-klagomål.docx", "A 25725-2025")</f>
        <v/>
      </c>
      <c r="W286">
        <f>HYPERLINK("https://klasma.github.io/Logging_0188/klagomålsmail/A 25725-2025 FSC-klagomål mail.docx", "A 25725-2025")</f>
        <v/>
      </c>
      <c r="X286">
        <f>HYPERLINK("https://klasma.github.io/Logging_0188/tillsyn/A 25725-2025 tillsynsbegäran.docx", "A 25725-2025")</f>
        <v/>
      </c>
      <c r="Y286">
        <f>HYPERLINK("https://klasma.github.io/Logging_0188/tillsynsmail/A 25725-2025 tillsynsbegäran mail.docx", "A 25725-2025")</f>
        <v/>
      </c>
    </row>
    <row r="287" ht="15" customHeight="1">
      <c r="A287" t="inlineStr">
        <is>
          <t>A 25561-2025</t>
        </is>
      </c>
      <c r="B287" s="1" t="n">
        <v>45803.45496527778</v>
      </c>
      <c r="C287" s="1" t="n">
        <v>46050</v>
      </c>
      <c r="D287" t="inlineStr">
        <is>
          <t>STOCKHOLMS LÄN</t>
        </is>
      </c>
      <c r="E287" t="inlineStr">
        <is>
          <t>UPPLANDS-BRO</t>
        </is>
      </c>
      <c r="G287" t="n">
        <v>1.6</v>
      </c>
      <c r="H287" t="n">
        <v>1</v>
      </c>
      <c r="I287" t="n">
        <v>0</v>
      </c>
      <c r="J287" t="n">
        <v>0</v>
      </c>
      <c r="K287" t="n">
        <v>1</v>
      </c>
      <c r="L287" t="n">
        <v>0</v>
      </c>
      <c r="M287" t="n">
        <v>0</v>
      </c>
      <c r="N287" t="n">
        <v>0</v>
      </c>
      <c r="O287" t="n">
        <v>1</v>
      </c>
      <c r="P287" t="n">
        <v>1</v>
      </c>
      <c r="Q287" t="n">
        <v>1</v>
      </c>
      <c r="R287" s="2" t="inlineStr">
        <is>
          <t>Bombmurkla</t>
        </is>
      </c>
      <c r="S287">
        <f>HYPERLINK("https://klasma.github.io/Logging_0139/artfynd/A 25561-2025 artfynd.xlsx", "A 25561-2025")</f>
        <v/>
      </c>
      <c r="T287">
        <f>HYPERLINK("https://klasma.github.io/Logging_0139/kartor/A 25561-2025 karta.png", "A 25561-2025")</f>
        <v/>
      </c>
      <c r="V287">
        <f>HYPERLINK("https://klasma.github.io/Logging_0139/klagomål/A 25561-2025 FSC-klagomål.docx", "A 25561-2025")</f>
        <v/>
      </c>
      <c r="W287">
        <f>HYPERLINK("https://klasma.github.io/Logging_0139/klagomålsmail/A 25561-2025 FSC-klagomål mail.docx", "A 25561-2025")</f>
        <v/>
      </c>
      <c r="X287">
        <f>HYPERLINK("https://klasma.github.io/Logging_0139/tillsyn/A 25561-2025 tillsynsbegäran.docx", "A 25561-2025")</f>
        <v/>
      </c>
      <c r="Y287">
        <f>HYPERLINK("https://klasma.github.io/Logging_0139/tillsynsmail/A 25561-2025 tillsynsbegäran mail.docx", "A 25561-2025")</f>
        <v/>
      </c>
    </row>
    <row r="288" ht="15" customHeight="1">
      <c r="A288" t="inlineStr">
        <is>
          <t>A 25709-2025</t>
        </is>
      </c>
      <c r="B288" s="1" t="n">
        <v>45800</v>
      </c>
      <c r="C288" s="1" t="n">
        <v>46050</v>
      </c>
      <c r="D288" t="inlineStr">
        <is>
          <t>STOCKHOLMS LÄN</t>
        </is>
      </c>
      <c r="E288" t="inlineStr">
        <is>
          <t>NORRTÄLJE</t>
        </is>
      </c>
      <c r="G288" t="n">
        <v>4.6</v>
      </c>
      <c r="H288" t="n">
        <v>0</v>
      </c>
      <c r="I288" t="n">
        <v>0</v>
      </c>
      <c r="J288" t="n">
        <v>1</v>
      </c>
      <c r="K288" t="n">
        <v>0</v>
      </c>
      <c r="L288" t="n">
        <v>0</v>
      </c>
      <c r="M288" t="n">
        <v>0</v>
      </c>
      <c r="N288" t="n">
        <v>0</v>
      </c>
      <c r="O288" t="n">
        <v>1</v>
      </c>
      <c r="P288" t="n">
        <v>0</v>
      </c>
      <c r="Q288" t="n">
        <v>1</v>
      </c>
      <c r="R288" s="2" t="inlineStr">
        <is>
          <t>Ullticka</t>
        </is>
      </c>
      <c r="S288">
        <f>HYPERLINK("https://klasma.github.io/Logging_0188/artfynd/A 25709-2025 artfynd.xlsx", "A 25709-2025")</f>
        <v/>
      </c>
      <c r="T288">
        <f>HYPERLINK("https://klasma.github.io/Logging_0188/kartor/A 25709-2025 karta.png", "A 25709-2025")</f>
        <v/>
      </c>
      <c r="V288">
        <f>HYPERLINK("https://klasma.github.io/Logging_0188/klagomål/A 25709-2025 FSC-klagomål.docx", "A 25709-2025")</f>
        <v/>
      </c>
      <c r="W288">
        <f>HYPERLINK("https://klasma.github.io/Logging_0188/klagomålsmail/A 25709-2025 FSC-klagomål mail.docx", "A 25709-2025")</f>
        <v/>
      </c>
      <c r="X288">
        <f>HYPERLINK("https://klasma.github.io/Logging_0188/tillsyn/A 25709-2025 tillsynsbegäran.docx", "A 25709-2025")</f>
        <v/>
      </c>
      <c r="Y288">
        <f>HYPERLINK("https://klasma.github.io/Logging_0188/tillsynsmail/A 25709-2025 tillsynsbegäran mail.docx", "A 25709-2025")</f>
        <v/>
      </c>
    </row>
    <row r="289" ht="15" customHeight="1">
      <c r="A289" t="inlineStr">
        <is>
          <t>A 4532-2025</t>
        </is>
      </c>
      <c r="B289" s="1" t="n">
        <v>45687.34177083334</v>
      </c>
      <c r="C289" s="1" t="n">
        <v>46050</v>
      </c>
      <c r="D289" t="inlineStr">
        <is>
          <t>STOCKHOLMS LÄN</t>
        </is>
      </c>
      <c r="E289" t="inlineStr">
        <is>
          <t>NORRTÄLJE</t>
        </is>
      </c>
      <c r="F289" t="inlineStr">
        <is>
          <t>Holmen skog AB</t>
        </is>
      </c>
      <c r="G289" t="n">
        <v>6.4</v>
      </c>
      <c r="H289" t="n">
        <v>1</v>
      </c>
      <c r="I289" t="n">
        <v>0</v>
      </c>
      <c r="J289" t="n">
        <v>0</v>
      </c>
      <c r="K289" t="n">
        <v>0</v>
      </c>
      <c r="L289" t="n">
        <v>1</v>
      </c>
      <c r="M289" t="n">
        <v>0</v>
      </c>
      <c r="N289" t="n">
        <v>0</v>
      </c>
      <c r="O289" t="n">
        <v>1</v>
      </c>
      <c r="P289" t="n">
        <v>1</v>
      </c>
      <c r="Q289" t="n">
        <v>1</v>
      </c>
      <c r="R289" s="2" t="inlineStr">
        <is>
          <t>Asknätfjäril</t>
        </is>
      </c>
      <c r="S289">
        <f>HYPERLINK("https://klasma.github.io/Logging_0188/artfynd/A 4532-2025 artfynd.xlsx", "A 4532-2025")</f>
        <v/>
      </c>
      <c r="T289">
        <f>HYPERLINK("https://klasma.github.io/Logging_0188/kartor/A 4532-2025 karta.png", "A 4532-2025")</f>
        <v/>
      </c>
      <c r="V289">
        <f>HYPERLINK("https://klasma.github.io/Logging_0188/klagomål/A 4532-2025 FSC-klagomål.docx", "A 4532-2025")</f>
        <v/>
      </c>
      <c r="W289">
        <f>HYPERLINK("https://klasma.github.io/Logging_0188/klagomålsmail/A 4532-2025 FSC-klagomål mail.docx", "A 4532-2025")</f>
        <v/>
      </c>
      <c r="X289">
        <f>HYPERLINK("https://klasma.github.io/Logging_0188/tillsyn/A 4532-2025 tillsynsbegäran.docx", "A 4532-2025")</f>
        <v/>
      </c>
      <c r="Y289">
        <f>HYPERLINK("https://klasma.github.io/Logging_0188/tillsynsmail/A 4532-2025 tillsynsbegäran mail.docx", "A 4532-2025")</f>
        <v/>
      </c>
    </row>
    <row r="290" ht="15" customHeight="1">
      <c r="A290" t="inlineStr">
        <is>
          <t>A 35649-2023</t>
        </is>
      </c>
      <c r="B290" s="1" t="n">
        <v>45146</v>
      </c>
      <c r="C290" s="1" t="n">
        <v>46050</v>
      </c>
      <c r="D290" t="inlineStr">
        <is>
          <t>STOCKHOLMS LÄN</t>
        </is>
      </c>
      <c r="E290" t="inlineStr">
        <is>
          <t>NORRTÄLJE</t>
        </is>
      </c>
      <c r="G290" t="n">
        <v>25.1</v>
      </c>
      <c r="H290" t="n">
        <v>0</v>
      </c>
      <c r="I290" t="n">
        <v>0</v>
      </c>
      <c r="J290" t="n">
        <v>1</v>
      </c>
      <c r="K290" t="n">
        <v>0</v>
      </c>
      <c r="L290" t="n">
        <v>0</v>
      </c>
      <c r="M290" t="n">
        <v>0</v>
      </c>
      <c r="N290" t="n">
        <v>0</v>
      </c>
      <c r="O290" t="n">
        <v>1</v>
      </c>
      <c r="P290" t="n">
        <v>0</v>
      </c>
      <c r="Q290" t="n">
        <v>1</v>
      </c>
      <c r="R290" s="2" t="inlineStr">
        <is>
          <t>Månlåsbräken</t>
        </is>
      </c>
      <c r="S290">
        <f>HYPERLINK("https://klasma.github.io/Logging_0188/artfynd/A 35649-2023 artfynd.xlsx", "A 35649-2023")</f>
        <v/>
      </c>
      <c r="T290">
        <f>HYPERLINK("https://klasma.github.io/Logging_0188/kartor/A 35649-2023 karta.png", "A 35649-2023")</f>
        <v/>
      </c>
      <c r="V290">
        <f>HYPERLINK("https://klasma.github.io/Logging_0188/klagomål/A 35649-2023 FSC-klagomål.docx", "A 35649-2023")</f>
        <v/>
      </c>
      <c r="W290">
        <f>HYPERLINK("https://klasma.github.io/Logging_0188/klagomålsmail/A 35649-2023 FSC-klagomål mail.docx", "A 35649-2023")</f>
        <v/>
      </c>
      <c r="X290">
        <f>HYPERLINK("https://klasma.github.io/Logging_0188/tillsyn/A 35649-2023 tillsynsbegäran.docx", "A 35649-2023")</f>
        <v/>
      </c>
      <c r="Y290">
        <f>HYPERLINK("https://klasma.github.io/Logging_0188/tillsynsmail/A 35649-2023 tillsynsbegäran mail.docx", "A 35649-2023")</f>
        <v/>
      </c>
    </row>
    <row r="291" ht="15" customHeight="1">
      <c r="A291" t="inlineStr">
        <is>
          <t>A 35691-2023</t>
        </is>
      </c>
      <c r="B291" s="1" t="n">
        <v>45147.65222222222</v>
      </c>
      <c r="C291" s="1" t="n">
        <v>46050</v>
      </c>
      <c r="D291" t="inlineStr">
        <is>
          <t>STOCKHOLMS LÄN</t>
        </is>
      </c>
      <c r="E291" t="inlineStr">
        <is>
          <t>NORRTÄLJE</t>
        </is>
      </c>
      <c r="G291" t="n">
        <v>2.3</v>
      </c>
      <c r="H291" t="n">
        <v>1</v>
      </c>
      <c r="I291" t="n">
        <v>0</v>
      </c>
      <c r="J291" t="n">
        <v>0</v>
      </c>
      <c r="K291" t="n">
        <v>0</v>
      </c>
      <c r="L291" t="n">
        <v>0</v>
      </c>
      <c r="M291" t="n">
        <v>0</v>
      </c>
      <c r="N291" t="n">
        <v>0</v>
      </c>
      <c r="O291" t="n">
        <v>0</v>
      </c>
      <c r="P291" t="n">
        <v>0</v>
      </c>
      <c r="Q291" t="n">
        <v>1</v>
      </c>
      <c r="R291" s="2" t="inlineStr">
        <is>
          <t>Kungsfågel</t>
        </is>
      </c>
      <c r="S291">
        <f>HYPERLINK("https://klasma.github.io/Logging_0188/artfynd/A 35691-2023 artfynd.xlsx", "A 35691-2023")</f>
        <v/>
      </c>
      <c r="T291">
        <f>HYPERLINK("https://klasma.github.io/Logging_0188/kartor/A 35691-2023 karta.png", "A 35691-2023")</f>
        <v/>
      </c>
      <c r="V291">
        <f>HYPERLINK("https://klasma.github.io/Logging_0188/klagomål/A 35691-2023 FSC-klagomål.docx", "A 35691-2023")</f>
        <v/>
      </c>
      <c r="W291">
        <f>HYPERLINK("https://klasma.github.io/Logging_0188/klagomålsmail/A 35691-2023 FSC-klagomål mail.docx", "A 35691-2023")</f>
        <v/>
      </c>
      <c r="X291">
        <f>HYPERLINK("https://klasma.github.io/Logging_0188/tillsyn/A 35691-2023 tillsynsbegäran.docx", "A 35691-2023")</f>
        <v/>
      </c>
      <c r="Y291">
        <f>HYPERLINK("https://klasma.github.io/Logging_0188/tillsynsmail/A 35691-2023 tillsynsbegäran mail.docx", "A 35691-2023")</f>
        <v/>
      </c>
      <c r="Z291">
        <f>HYPERLINK("https://klasma.github.io/Logging_0188/fåglar/A 35691-2023 prioriterade fågelarter.docx", "A 35691-2023")</f>
        <v/>
      </c>
    </row>
    <row r="292" ht="15" customHeight="1">
      <c r="A292" t="inlineStr">
        <is>
          <t>A 35693-2023</t>
        </is>
      </c>
      <c r="B292" s="1" t="n">
        <v>45147.65311342593</v>
      </c>
      <c r="C292" s="1" t="n">
        <v>46050</v>
      </c>
      <c r="D292" t="inlineStr">
        <is>
          <t>STOCKHOLMS LÄN</t>
        </is>
      </c>
      <c r="E292" t="inlineStr">
        <is>
          <t>NORRTÄLJE</t>
        </is>
      </c>
      <c r="G292" t="n">
        <v>2.2</v>
      </c>
      <c r="H292" t="n">
        <v>0</v>
      </c>
      <c r="I292" t="n">
        <v>0</v>
      </c>
      <c r="J292" t="n">
        <v>1</v>
      </c>
      <c r="K292" t="n">
        <v>0</v>
      </c>
      <c r="L292" t="n">
        <v>0</v>
      </c>
      <c r="M292" t="n">
        <v>0</v>
      </c>
      <c r="N292" t="n">
        <v>0</v>
      </c>
      <c r="O292" t="n">
        <v>1</v>
      </c>
      <c r="P292" t="n">
        <v>0</v>
      </c>
      <c r="Q292" t="n">
        <v>1</v>
      </c>
      <c r="R292" s="2" t="inlineStr">
        <is>
          <t>Motaggsvamp</t>
        </is>
      </c>
      <c r="S292">
        <f>HYPERLINK("https://klasma.github.io/Logging_0188/artfynd/A 35693-2023 artfynd.xlsx", "A 35693-2023")</f>
        <v/>
      </c>
      <c r="T292">
        <f>HYPERLINK("https://klasma.github.io/Logging_0188/kartor/A 35693-2023 karta.png", "A 35693-2023")</f>
        <v/>
      </c>
      <c r="V292">
        <f>HYPERLINK("https://klasma.github.io/Logging_0188/klagomål/A 35693-2023 FSC-klagomål.docx", "A 35693-2023")</f>
        <v/>
      </c>
      <c r="W292">
        <f>HYPERLINK("https://klasma.github.io/Logging_0188/klagomålsmail/A 35693-2023 FSC-klagomål mail.docx", "A 35693-2023")</f>
        <v/>
      </c>
      <c r="X292">
        <f>HYPERLINK("https://klasma.github.io/Logging_0188/tillsyn/A 35693-2023 tillsynsbegäran.docx", "A 35693-2023")</f>
        <v/>
      </c>
      <c r="Y292">
        <f>HYPERLINK("https://klasma.github.io/Logging_0188/tillsynsmail/A 35693-2023 tillsynsbegäran mail.docx", "A 35693-2023")</f>
        <v/>
      </c>
    </row>
    <row r="293" ht="15" customHeight="1">
      <c r="A293" t="inlineStr">
        <is>
          <t>A 25612-2024</t>
        </is>
      </c>
      <c r="B293" s="1" t="n">
        <v>45463.63518518519</v>
      </c>
      <c r="C293" s="1" t="n">
        <v>46050</v>
      </c>
      <c r="D293" t="inlineStr">
        <is>
          <t>STOCKHOLMS LÄN</t>
        </is>
      </c>
      <c r="E293" t="inlineStr">
        <is>
          <t>NACKA</t>
        </is>
      </c>
      <c r="G293" t="n">
        <v>1.5</v>
      </c>
      <c r="H293" t="n">
        <v>0</v>
      </c>
      <c r="I293" t="n">
        <v>1</v>
      </c>
      <c r="J293" t="n">
        <v>0</v>
      </c>
      <c r="K293" t="n">
        <v>0</v>
      </c>
      <c r="L293" t="n">
        <v>0</v>
      </c>
      <c r="M293" t="n">
        <v>0</v>
      </c>
      <c r="N293" t="n">
        <v>0</v>
      </c>
      <c r="O293" t="n">
        <v>0</v>
      </c>
      <c r="P293" t="n">
        <v>0</v>
      </c>
      <c r="Q293" t="n">
        <v>1</v>
      </c>
      <c r="R293" s="2" t="inlineStr">
        <is>
          <t>Tibast</t>
        </is>
      </c>
      <c r="S293">
        <f>HYPERLINK("https://klasma.github.io/Logging_0182/artfynd/A 25612-2024 artfynd.xlsx", "A 25612-2024")</f>
        <v/>
      </c>
      <c r="T293">
        <f>HYPERLINK("https://klasma.github.io/Logging_0182/kartor/A 25612-2024 karta.png", "A 25612-2024")</f>
        <v/>
      </c>
      <c r="V293">
        <f>HYPERLINK("https://klasma.github.io/Logging_0182/klagomål/A 25612-2024 FSC-klagomål.docx", "A 25612-2024")</f>
        <v/>
      </c>
      <c r="W293">
        <f>HYPERLINK("https://klasma.github.io/Logging_0182/klagomålsmail/A 25612-2024 FSC-klagomål mail.docx", "A 25612-2024")</f>
        <v/>
      </c>
      <c r="X293">
        <f>HYPERLINK("https://klasma.github.io/Logging_0182/tillsyn/A 25612-2024 tillsynsbegäran.docx", "A 25612-2024")</f>
        <v/>
      </c>
      <c r="Y293">
        <f>HYPERLINK("https://klasma.github.io/Logging_0182/tillsynsmail/A 25612-2024 tillsynsbegäran mail.docx", "A 25612-2024")</f>
        <v/>
      </c>
    </row>
    <row r="294" ht="15" customHeight="1">
      <c r="A294" t="inlineStr">
        <is>
          <t>A 47262-2024</t>
        </is>
      </c>
      <c r="B294" s="1" t="n">
        <v>45586</v>
      </c>
      <c r="C294" s="1" t="n">
        <v>46050</v>
      </c>
      <c r="D294" t="inlineStr">
        <is>
          <t>STOCKHOLMS LÄN</t>
        </is>
      </c>
      <c r="E294" t="inlineStr">
        <is>
          <t>SALEM</t>
        </is>
      </c>
      <c r="G294" t="n">
        <v>2</v>
      </c>
      <c r="H294" t="n">
        <v>1</v>
      </c>
      <c r="I294" t="n">
        <v>0</v>
      </c>
      <c r="J294" t="n">
        <v>1</v>
      </c>
      <c r="K294" t="n">
        <v>0</v>
      </c>
      <c r="L294" t="n">
        <v>0</v>
      </c>
      <c r="M294" t="n">
        <v>0</v>
      </c>
      <c r="N294" t="n">
        <v>0</v>
      </c>
      <c r="O294" t="n">
        <v>1</v>
      </c>
      <c r="P294" t="n">
        <v>0</v>
      </c>
      <c r="Q294" t="n">
        <v>1</v>
      </c>
      <c r="R294" s="2" t="inlineStr">
        <is>
          <t>Spillkråka</t>
        </is>
      </c>
      <c r="S294">
        <f>HYPERLINK("https://klasma.github.io/Logging_0128/artfynd/A 47262-2024 artfynd.xlsx", "A 47262-2024")</f>
        <v/>
      </c>
      <c r="T294">
        <f>HYPERLINK("https://klasma.github.io/Logging_0128/kartor/A 47262-2024 karta.png", "A 47262-2024")</f>
        <v/>
      </c>
      <c r="V294">
        <f>HYPERLINK("https://klasma.github.io/Logging_0128/klagomål/A 47262-2024 FSC-klagomål.docx", "A 47262-2024")</f>
        <v/>
      </c>
      <c r="W294">
        <f>HYPERLINK("https://klasma.github.io/Logging_0128/klagomålsmail/A 47262-2024 FSC-klagomål mail.docx", "A 47262-2024")</f>
        <v/>
      </c>
      <c r="X294">
        <f>HYPERLINK("https://klasma.github.io/Logging_0128/tillsyn/A 47262-2024 tillsynsbegäran.docx", "A 47262-2024")</f>
        <v/>
      </c>
      <c r="Y294">
        <f>HYPERLINK("https://klasma.github.io/Logging_0128/tillsynsmail/A 47262-2024 tillsynsbegäran mail.docx", "A 47262-2024")</f>
        <v/>
      </c>
      <c r="Z294">
        <f>HYPERLINK("https://klasma.github.io/Logging_0128/fåglar/A 47262-2024 prioriterade fågelarter.docx", "A 47262-2024")</f>
        <v/>
      </c>
    </row>
    <row r="295" ht="15" customHeight="1">
      <c r="A295" t="inlineStr">
        <is>
          <t>A 40861-2025</t>
        </is>
      </c>
      <c r="B295" s="1" t="n">
        <v>45897.56356481482</v>
      </c>
      <c r="C295" s="1" t="n">
        <v>46050</v>
      </c>
      <c r="D295" t="inlineStr">
        <is>
          <t>STOCKHOLMS LÄN</t>
        </is>
      </c>
      <c r="E295" t="inlineStr">
        <is>
          <t>NORRTÄLJE</t>
        </is>
      </c>
      <c r="G295" t="n">
        <v>4</v>
      </c>
      <c r="H295" t="n">
        <v>0</v>
      </c>
      <c r="I295" t="n">
        <v>0</v>
      </c>
      <c r="J295" t="n">
        <v>1</v>
      </c>
      <c r="K295" t="n">
        <v>0</v>
      </c>
      <c r="L295" t="n">
        <v>0</v>
      </c>
      <c r="M295" t="n">
        <v>0</v>
      </c>
      <c r="N295" t="n">
        <v>0</v>
      </c>
      <c r="O295" t="n">
        <v>1</v>
      </c>
      <c r="P295" t="n">
        <v>0</v>
      </c>
      <c r="Q295" t="n">
        <v>1</v>
      </c>
      <c r="R295" s="2" t="inlineStr">
        <is>
          <t>Skogsklocka</t>
        </is>
      </c>
      <c r="S295">
        <f>HYPERLINK("https://klasma.github.io/Logging_0188/artfynd/A 40861-2025 artfynd.xlsx", "A 40861-2025")</f>
        <v/>
      </c>
      <c r="T295">
        <f>HYPERLINK("https://klasma.github.io/Logging_0188/kartor/A 40861-2025 karta.png", "A 40861-2025")</f>
        <v/>
      </c>
      <c r="V295">
        <f>HYPERLINK("https://klasma.github.io/Logging_0188/klagomål/A 40861-2025 FSC-klagomål.docx", "A 40861-2025")</f>
        <v/>
      </c>
      <c r="W295">
        <f>HYPERLINK("https://klasma.github.io/Logging_0188/klagomålsmail/A 40861-2025 FSC-klagomål mail.docx", "A 40861-2025")</f>
        <v/>
      </c>
      <c r="X295">
        <f>HYPERLINK("https://klasma.github.io/Logging_0188/tillsyn/A 40861-2025 tillsynsbegäran.docx", "A 40861-2025")</f>
        <v/>
      </c>
      <c r="Y295">
        <f>HYPERLINK("https://klasma.github.io/Logging_0188/tillsynsmail/A 40861-2025 tillsynsbegäran mail.docx", "A 40861-2025")</f>
        <v/>
      </c>
    </row>
    <row r="296" ht="15" customHeight="1">
      <c r="A296" t="inlineStr">
        <is>
          <t>A 27921-2025</t>
        </is>
      </c>
      <c r="B296" s="1" t="n">
        <v>45817.4846875</v>
      </c>
      <c r="C296" s="1" t="n">
        <v>46050</v>
      </c>
      <c r="D296" t="inlineStr">
        <is>
          <t>STOCKHOLMS LÄN</t>
        </is>
      </c>
      <c r="E296" t="inlineStr">
        <is>
          <t>ÖSTERÅKER</t>
        </is>
      </c>
      <c r="G296" t="n">
        <v>11.8</v>
      </c>
      <c r="H296" t="n">
        <v>1</v>
      </c>
      <c r="I296" t="n">
        <v>0</v>
      </c>
      <c r="J296" t="n">
        <v>0</v>
      </c>
      <c r="K296" t="n">
        <v>0</v>
      </c>
      <c r="L296" t="n">
        <v>0</v>
      </c>
      <c r="M296" t="n">
        <v>0</v>
      </c>
      <c r="N296" t="n">
        <v>0</v>
      </c>
      <c r="O296" t="n">
        <v>0</v>
      </c>
      <c r="P296" t="n">
        <v>0</v>
      </c>
      <c r="Q296" t="n">
        <v>1</v>
      </c>
      <c r="R296" s="2" t="inlineStr">
        <is>
          <t>Mindre vattensalamander</t>
        </is>
      </c>
      <c r="S296">
        <f>HYPERLINK("https://klasma.github.io/Logging_0117/artfynd/A 27921-2025 artfynd.xlsx", "A 27921-2025")</f>
        <v/>
      </c>
      <c r="T296">
        <f>HYPERLINK("https://klasma.github.io/Logging_0117/kartor/A 27921-2025 karta.png", "A 27921-2025")</f>
        <v/>
      </c>
      <c r="V296">
        <f>HYPERLINK("https://klasma.github.io/Logging_0117/klagomål/A 27921-2025 FSC-klagomål.docx", "A 27921-2025")</f>
        <v/>
      </c>
      <c r="W296">
        <f>HYPERLINK("https://klasma.github.io/Logging_0117/klagomålsmail/A 27921-2025 FSC-klagomål mail.docx", "A 27921-2025")</f>
        <v/>
      </c>
      <c r="X296">
        <f>HYPERLINK("https://klasma.github.io/Logging_0117/tillsyn/A 27921-2025 tillsynsbegäran.docx", "A 27921-2025")</f>
        <v/>
      </c>
      <c r="Y296">
        <f>HYPERLINK("https://klasma.github.io/Logging_0117/tillsynsmail/A 27921-2025 tillsynsbegäran mail.docx", "A 27921-2025")</f>
        <v/>
      </c>
    </row>
    <row r="297" ht="15" customHeight="1">
      <c r="A297" t="inlineStr">
        <is>
          <t>A 13271-2025</t>
        </is>
      </c>
      <c r="B297" s="1" t="n">
        <v>45735.54510416667</v>
      </c>
      <c r="C297" s="1" t="n">
        <v>46050</v>
      </c>
      <c r="D297" t="inlineStr">
        <is>
          <t>STOCKHOLMS LÄN</t>
        </is>
      </c>
      <c r="E297" t="inlineStr">
        <is>
          <t>NORRTÄLJE</t>
        </is>
      </c>
      <c r="G297" t="n">
        <v>7.2</v>
      </c>
      <c r="H297" t="n">
        <v>1</v>
      </c>
      <c r="I297" t="n">
        <v>0</v>
      </c>
      <c r="J297" t="n">
        <v>0</v>
      </c>
      <c r="K297" t="n">
        <v>0</v>
      </c>
      <c r="L297" t="n">
        <v>1</v>
      </c>
      <c r="M297" t="n">
        <v>0</v>
      </c>
      <c r="N297" t="n">
        <v>0</v>
      </c>
      <c r="O297" t="n">
        <v>1</v>
      </c>
      <c r="P297" t="n">
        <v>1</v>
      </c>
      <c r="Q297" t="n">
        <v>1</v>
      </c>
      <c r="R297" s="2" t="inlineStr">
        <is>
          <t>Asknätfjäril</t>
        </is>
      </c>
      <c r="S297">
        <f>HYPERLINK("https://klasma.github.io/Logging_0188/artfynd/A 13271-2025 artfynd.xlsx", "A 13271-2025")</f>
        <v/>
      </c>
      <c r="T297">
        <f>HYPERLINK("https://klasma.github.io/Logging_0188/kartor/A 13271-2025 karta.png", "A 13271-2025")</f>
        <v/>
      </c>
      <c r="V297">
        <f>HYPERLINK("https://klasma.github.io/Logging_0188/klagomål/A 13271-2025 FSC-klagomål.docx", "A 13271-2025")</f>
        <v/>
      </c>
      <c r="W297">
        <f>HYPERLINK("https://klasma.github.io/Logging_0188/klagomålsmail/A 13271-2025 FSC-klagomål mail.docx", "A 13271-2025")</f>
        <v/>
      </c>
      <c r="X297">
        <f>HYPERLINK("https://klasma.github.io/Logging_0188/tillsyn/A 13271-2025 tillsynsbegäran.docx", "A 13271-2025")</f>
        <v/>
      </c>
      <c r="Y297">
        <f>HYPERLINK("https://klasma.github.io/Logging_0188/tillsynsmail/A 13271-2025 tillsynsbegäran mail.docx", "A 13271-2025")</f>
        <v/>
      </c>
    </row>
    <row r="298" ht="15" customHeight="1">
      <c r="A298" t="inlineStr">
        <is>
          <t>A 6381-2023</t>
        </is>
      </c>
      <c r="B298" s="1" t="n">
        <v>44965</v>
      </c>
      <c r="C298" s="1" t="n">
        <v>46050</v>
      </c>
      <c r="D298" t="inlineStr">
        <is>
          <t>STOCKHOLMS LÄN</t>
        </is>
      </c>
      <c r="E298" t="inlineStr">
        <is>
          <t>NORRTÄLJE</t>
        </is>
      </c>
      <c r="G298" t="n">
        <v>3.5</v>
      </c>
      <c r="H298" t="n">
        <v>1</v>
      </c>
      <c r="I298" t="n">
        <v>1</v>
      </c>
      <c r="J298" t="n">
        <v>0</v>
      </c>
      <c r="K298" t="n">
        <v>0</v>
      </c>
      <c r="L298" t="n">
        <v>0</v>
      </c>
      <c r="M298" t="n">
        <v>0</v>
      </c>
      <c r="N298" t="n">
        <v>0</v>
      </c>
      <c r="O298" t="n">
        <v>0</v>
      </c>
      <c r="P298" t="n">
        <v>0</v>
      </c>
      <c r="Q298" t="n">
        <v>1</v>
      </c>
      <c r="R298" s="2" t="inlineStr">
        <is>
          <t>Guckusko</t>
        </is>
      </c>
      <c r="S298">
        <f>HYPERLINK("https://klasma.github.io/Logging_0188/artfynd/A 6381-2023 artfynd.xlsx", "A 6381-2023")</f>
        <v/>
      </c>
      <c r="T298">
        <f>HYPERLINK("https://klasma.github.io/Logging_0188/kartor/A 6381-2023 karta.png", "A 6381-2023")</f>
        <v/>
      </c>
      <c r="V298">
        <f>HYPERLINK("https://klasma.github.io/Logging_0188/klagomål/A 6381-2023 FSC-klagomål.docx", "A 6381-2023")</f>
        <v/>
      </c>
      <c r="W298">
        <f>HYPERLINK("https://klasma.github.io/Logging_0188/klagomålsmail/A 6381-2023 FSC-klagomål mail.docx", "A 6381-2023")</f>
        <v/>
      </c>
      <c r="X298">
        <f>HYPERLINK("https://klasma.github.io/Logging_0188/tillsyn/A 6381-2023 tillsynsbegäran.docx", "A 6381-2023")</f>
        <v/>
      </c>
      <c r="Y298">
        <f>HYPERLINK("https://klasma.github.io/Logging_0188/tillsynsmail/A 6381-2023 tillsynsbegäran mail.docx", "A 6381-2023")</f>
        <v/>
      </c>
    </row>
    <row r="299" ht="15" customHeight="1">
      <c r="A299" t="inlineStr">
        <is>
          <t>A 73773-2021</t>
        </is>
      </c>
      <c r="B299" s="1" t="n">
        <v>44552</v>
      </c>
      <c r="C299" s="1" t="n">
        <v>46050</v>
      </c>
      <c r="D299" t="inlineStr">
        <is>
          <t>STOCKHOLMS LÄN</t>
        </is>
      </c>
      <c r="E299" t="inlineStr">
        <is>
          <t>UPPLANDS-BRO</t>
        </is>
      </c>
      <c r="G299" t="n">
        <v>1.9</v>
      </c>
      <c r="H299" t="n">
        <v>1</v>
      </c>
      <c r="I299" t="n">
        <v>0</v>
      </c>
      <c r="J299" t="n">
        <v>0</v>
      </c>
      <c r="K299" t="n">
        <v>0</v>
      </c>
      <c r="L299" t="n">
        <v>0</v>
      </c>
      <c r="M299" t="n">
        <v>0</v>
      </c>
      <c r="N299" t="n">
        <v>0</v>
      </c>
      <c r="O299" t="n">
        <v>0</v>
      </c>
      <c r="P299" t="n">
        <v>0</v>
      </c>
      <c r="Q299" t="n">
        <v>1</v>
      </c>
      <c r="R299" s="2" t="inlineStr">
        <is>
          <t>Kopparödla</t>
        </is>
      </c>
      <c r="S299">
        <f>HYPERLINK("https://klasma.github.io/Logging_0139/artfynd/A 73773-2021 artfynd.xlsx", "A 73773-2021")</f>
        <v/>
      </c>
      <c r="T299">
        <f>HYPERLINK("https://klasma.github.io/Logging_0139/kartor/A 73773-2021 karta.png", "A 73773-2021")</f>
        <v/>
      </c>
      <c r="V299">
        <f>HYPERLINK("https://klasma.github.io/Logging_0139/klagomål/A 73773-2021 FSC-klagomål.docx", "A 73773-2021")</f>
        <v/>
      </c>
      <c r="W299">
        <f>HYPERLINK("https://klasma.github.io/Logging_0139/klagomålsmail/A 73773-2021 FSC-klagomål mail.docx", "A 73773-2021")</f>
        <v/>
      </c>
      <c r="X299">
        <f>HYPERLINK("https://klasma.github.io/Logging_0139/tillsyn/A 73773-2021 tillsynsbegäran.docx", "A 73773-2021")</f>
        <v/>
      </c>
      <c r="Y299">
        <f>HYPERLINK("https://klasma.github.io/Logging_0139/tillsynsmail/A 73773-2021 tillsynsbegäran mail.docx", "A 73773-2021")</f>
        <v/>
      </c>
    </row>
    <row r="300" ht="15" customHeight="1">
      <c r="A300" t="inlineStr">
        <is>
          <t>A 27058-2024</t>
        </is>
      </c>
      <c r="B300" s="1" t="n">
        <v>45471</v>
      </c>
      <c r="C300" s="1" t="n">
        <v>46050</v>
      </c>
      <c r="D300" t="inlineStr">
        <is>
          <t>STOCKHOLMS LÄN</t>
        </is>
      </c>
      <c r="E300" t="inlineStr">
        <is>
          <t>SÖDERTÄLJE</t>
        </is>
      </c>
      <c r="F300" t="inlineStr">
        <is>
          <t>Kommuner</t>
        </is>
      </c>
      <c r="G300" t="n">
        <v>3.7</v>
      </c>
      <c r="H300" t="n">
        <v>0</v>
      </c>
      <c r="I300" t="n">
        <v>0</v>
      </c>
      <c r="J300" t="n">
        <v>1</v>
      </c>
      <c r="K300" t="n">
        <v>0</v>
      </c>
      <c r="L300" t="n">
        <v>0</v>
      </c>
      <c r="M300" t="n">
        <v>0</v>
      </c>
      <c r="N300" t="n">
        <v>0</v>
      </c>
      <c r="O300" t="n">
        <v>1</v>
      </c>
      <c r="P300" t="n">
        <v>0</v>
      </c>
      <c r="Q300" t="n">
        <v>1</v>
      </c>
      <c r="R300" s="2" t="inlineStr">
        <is>
          <t>Persiljespindling</t>
        </is>
      </c>
      <c r="S300">
        <f>HYPERLINK("https://klasma.github.io/Logging_0181/artfynd/A 27058-2024 artfynd.xlsx", "A 27058-2024")</f>
        <v/>
      </c>
      <c r="T300">
        <f>HYPERLINK("https://klasma.github.io/Logging_0181/kartor/A 27058-2024 karta.png", "A 27058-2024")</f>
        <v/>
      </c>
      <c r="V300">
        <f>HYPERLINK("https://klasma.github.io/Logging_0181/klagomål/A 27058-2024 FSC-klagomål.docx", "A 27058-2024")</f>
        <v/>
      </c>
      <c r="W300">
        <f>HYPERLINK("https://klasma.github.io/Logging_0181/klagomålsmail/A 27058-2024 FSC-klagomål mail.docx", "A 27058-2024")</f>
        <v/>
      </c>
      <c r="X300">
        <f>HYPERLINK("https://klasma.github.io/Logging_0181/tillsyn/A 27058-2024 tillsynsbegäran.docx", "A 27058-2024")</f>
        <v/>
      </c>
      <c r="Y300">
        <f>HYPERLINK("https://klasma.github.io/Logging_0181/tillsynsmail/A 27058-2024 tillsynsbegäran mail.docx", "A 27058-2024")</f>
        <v/>
      </c>
    </row>
    <row r="301" ht="15" customHeight="1">
      <c r="A301" t="inlineStr">
        <is>
          <t>A 50854-2022</t>
        </is>
      </c>
      <c r="B301" s="1" t="n">
        <v>44863</v>
      </c>
      <c r="C301" s="1" t="n">
        <v>46050</v>
      </c>
      <c r="D301" t="inlineStr">
        <is>
          <t>STOCKHOLMS LÄN</t>
        </is>
      </c>
      <c r="E301" t="inlineStr">
        <is>
          <t>NORRTÄLJE</t>
        </is>
      </c>
      <c r="G301" t="n">
        <v>2.9</v>
      </c>
      <c r="H301" t="n">
        <v>0</v>
      </c>
      <c r="I301" t="n">
        <v>1</v>
      </c>
      <c r="J301" t="n">
        <v>0</v>
      </c>
      <c r="K301" t="n">
        <v>0</v>
      </c>
      <c r="L301" t="n">
        <v>0</v>
      </c>
      <c r="M301" t="n">
        <v>0</v>
      </c>
      <c r="N301" t="n">
        <v>0</v>
      </c>
      <c r="O301" t="n">
        <v>0</v>
      </c>
      <c r="P301" t="n">
        <v>0</v>
      </c>
      <c r="Q301" t="n">
        <v>1</v>
      </c>
      <c r="R301" s="2" t="inlineStr">
        <is>
          <t>Tibast</t>
        </is>
      </c>
      <c r="S301">
        <f>HYPERLINK("https://klasma.github.io/Logging_0188/artfynd/A 50854-2022 artfynd.xlsx", "A 50854-2022")</f>
        <v/>
      </c>
      <c r="T301">
        <f>HYPERLINK("https://klasma.github.io/Logging_0188/kartor/A 50854-2022 karta.png", "A 50854-2022")</f>
        <v/>
      </c>
      <c r="V301">
        <f>HYPERLINK("https://klasma.github.io/Logging_0188/klagomål/A 50854-2022 FSC-klagomål.docx", "A 50854-2022")</f>
        <v/>
      </c>
      <c r="W301">
        <f>HYPERLINK("https://klasma.github.io/Logging_0188/klagomålsmail/A 50854-2022 FSC-klagomål mail.docx", "A 50854-2022")</f>
        <v/>
      </c>
      <c r="X301">
        <f>HYPERLINK("https://klasma.github.io/Logging_0188/tillsyn/A 50854-2022 tillsynsbegäran.docx", "A 50854-2022")</f>
        <v/>
      </c>
      <c r="Y301">
        <f>HYPERLINK("https://klasma.github.io/Logging_0188/tillsynsmail/A 50854-2022 tillsynsbegäran mail.docx", "A 50854-2022")</f>
        <v/>
      </c>
    </row>
    <row r="302" ht="15" customHeight="1">
      <c r="A302" t="inlineStr">
        <is>
          <t>A 64196-2023</t>
        </is>
      </c>
      <c r="B302" s="1" t="n">
        <v>45279</v>
      </c>
      <c r="C302" s="1" t="n">
        <v>46050</v>
      </c>
      <c r="D302" t="inlineStr">
        <is>
          <t>STOCKHOLMS LÄN</t>
        </is>
      </c>
      <c r="E302" t="inlineStr">
        <is>
          <t>NYNÄSHAMN</t>
        </is>
      </c>
      <c r="G302" t="n">
        <v>2.1</v>
      </c>
      <c r="H302" t="n">
        <v>1</v>
      </c>
      <c r="I302" t="n">
        <v>0</v>
      </c>
      <c r="J302" t="n">
        <v>0</v>
      </c>
      <c r="K302" t="n">
        <v>0</v>
      </c>
      <c r="L302" t="n">
        <v>0</v>
      </c>
      <c r="M302" t="n">
        <v>0</v>
      </c>
      <c r="N302" t="n">
        <v>0</v>
      </c>
      <c r="O302" t="n">
        <v>0</v>
      </c>
      <c r="P302" t="n">
        <v>0</v>
      </c>
      <c r="Q302" t="n">
        <v>1</v>
      </c>
      <c r="R302" s="2" t="inlineStr">
        <is>
          <t>Revlummer</t>
        </is>
      </c>
      <c r="S302">
        <f>HYPERLINK("https://klasma.github.io/Logging_0192/artfynd/A 64196-2023 artfynd.xlsx", "A 64196-2023")</f>
        <v/>
      </c>
      <c r="T302">
        <f>HYPERLINK("https://klasma.github.io/Logging_0192/kartor/A 64196-2023 karta.png", "A 64196-2023")</f>
        <v/>
      </c>
      <c r="V302">
        <f>HYPERLINK("https://klasma.github.io/Logging_0192/klagomål/A 64196-2023 FSC-klagomål.docx", "A 64196-2023")</f>
        <v/>
      </c>
      <c r="W302">
        <f>HYPERLINK("https://klasma.github.io/Logging_0192/klagomålsmail/A 64196-2023 FSC-klagomål mail.docx", "A 64196-2023")</f>
        <v/>
      </c>
      <c r="X302">
        <f>HYPERLINK("https://klasma.github.io/Logging_0192/tillsyn/A 64196-2023 tillsynsbegäran.docx", "A 64196-2023")</f>
        <v/>
      </c>
      <c r="Y302">
        <f>HYPERLINK("https://klasma.github.io/Logging_0192/tillsynsmail/A 64196-2023 tillsynsbegäran mail.docx", "A 64196-2023")</f>
        <v/>
      </c>
    </row>
    <row r="303" ht="15" customHeight="1">
      <c r="A303" t="inlineStr">
        <is>
          <t>A 42313-2025</t>
        </is>
      </c>
      <c r="B303" s="1" t="n">
        <v>45904.6575</v>
      </c>
      <c r="C303" s="1" t="n">
        <v>46050</v>
      </c>
      <c r="D303" t="inlineStr">
        <is>
          <t>STOCKHOLMS LÄN</t>
        </is>
      </c>
      <c r="E303" t="inlineStr">
        <is>
          <t>NORRTÄLJE</t>
        </is>
      </c>
      <c r="G303" t="n">
        <v>1.7</v>
      </c>
      <c r="H303" t="n">
        <v>1</v>
      </c>
      <c r="I303" t="n">
        <v>0</v>
      </c>
      <c r="J303" t="n">
        <v>0</v>
      </c>
      <c r="K303" t="n">
        <v>0</v>
      </c>
      <c r="L303" t="n">
        <v>0</v>
      </c>
      <c r="M303" t="n">
        <v>0</v>
      </c>
      <c r="N303" t="n">
        <v>0</v>
      </c>
      <c r="O303" t="n">
        <v>0</v>
      </c>
      <c r="P303" t="n">
        <v>0</v>
      </c>
      <c r="Q303" t="n">
        <v>1</v>
      </c>
      <c r="R303" s="2" t="inlineStr">
        <is>
          <t>Vanlig padda</t>
        </is>
      </c>
      <c r="S303">
        <f>HYPERLINK("https://klasma.github.io/Logging_0188/artfynd/A 42313-2025 artfynd.xlsx", "A 42313-2025")</f>
        <v/>
      </c>
      <c r="T303">
        <f>HYPERLINK("https://klasma.github.io/Logging_0188/kartor/A 42313-2025 karta.png", "A 42313-2025")</f>
        <v/>
      </c>
      <c r="V303">
        <f>HYPERLINK("https://klasma.github.io/Logging_0188/klagomål/A 42313-2025 FSC-klagomål.docx", "A 42313-2025")</f>
        <v/>
      </c>
      <c r="W303">
        <f>HYPERLINK("https://klasma.github.io/Logging_0188/klagomålsmail/A 42313-2025 FSC-klagomål mail.docx", "A 42313-2025")</f>
        <v/>
      </c>
      <c r="X303">
        <f>HYPERLINK("https://klasma.github.io/Logging_0188/tillsyn/A 42313-2025 tillsynsbegäran.docx", "A 42313-2025")</f>
        <v/>
      </c>
      <c r="Y303">
        <f>HYPERLINK("https://klasma.github.io/Logging_0188/tillsynsmail/A 42313-2025 tillsynsbegäran mail.docx", "A 42313-2025")</f>
        <v/>
      </c>
    </row>
    <row r="304" ht="15" customHeight="1">
      <c r="A304" t="inlineStr">
        <is>
          <t>A 29946-2025</t>
        </is>
      </c>
      <c r="B304" s="1" t="n">
        <v>45826.46392361111</v>
      </c>
      <c r="C304" s="1" t="n">
        <v>46050</v>
      </c>
      <c r="D304" t="inlineStr">
        <is>
          <t>STOCKHOLMS LÄN</t>
        </is>
      </c>
      <c r="E304" t="inlineStr">
        <is>
          <t>NORRTÄLJE</t>
        </is>
      </c>
      <c r="F304" t="inlineStr">
        <is>
          <t>Holmen skog AB</t>
        </is>
      </c>
      <c r="G304" t="n">
        <v>3.6</v>
      </c>
      <c r="H304" t="n">
        <v>1</v>
      </c>
      <c r="I304" t="n">
        <v>0</v>
      </c>
      <c r="J304" t="n">
        <v>0</v>
      </c>
      <c r="K304" t="n">
        <v>0</v>
      </c>
      <c r="L304" t="n">
        <v>1</v>
      </c>
      <c r="M304" t="n">
        <v>0</v>
      </c>
      <c r="N304" t="n">
        <v>0</v>
      </c>
      <c r="O304" t="n">
        <v>1</v>
      </c>
      <c r="P304" t="n">
        <v>1</v>
      </c>
      <c r="Q304" t="n">
        <v>1</v>
      </c>
      <c r="R304" s="2" t="inlineStr">
        <is>
          <t>Asknätfjäril</t>
        </is>
      </c>
      <c r="S304">
        <f>HYPERLINK("https://klasma.github.io/Logging_0188/artfynd/A 29946-2025 artfynd.xlsx", "A 29946-2025")</f>
        <v/>
      </c>
      <c r="T304">
        <f>HYPERLINK("https://klasma.github.io/Logging_0188/kartor/A 29946-2025 karta.png", "A 29946-2025")</f>
        <v/>
      </c>
      <c r="V304">
        <f>HYPERLINK("https://klasma.github.io/Logging_0188/klagomål/A 29946-2025 FSC-klagomål.docx", "A 29946-2025")</f>
        <v/>
      </c>
      <c r="W304">
        <f>HYPERLINK("https://klasma.github.io/Logging_0188/klagomålsmail/A 29946-2025 FSC-klagomål mail.docx", "A 29946-2025")</f>
        <v/>
      </c>
      <c r="X304">
        <f>HYPERLINK("https://klasma.github.io/Logging_0188/tillsyn/A 29946-2025 tillsynsbegäran.docx", "A 29946-2025")</f>
        <v/>
      </c>
      <c r="Y304">
        <f>HYPERLINK("https://klasma.github.io/Logging_0188/tillsynsmail/A 29946-2025 tillsynsbegäran mail.docx", "A 29946-2025")</f>
        <v/>
      </c>
    </row>
    <row r="305" ht="15" customHeight="1">
      <c r="A305" t="inlineStr">
        <is>
          <t>A 31593-2025</t>
        </is>
      </c>
      <c r="B305" s="1" t="n">
        <v>45833.70085648148</v>
      </c>
      <c r="C305" s="1" t="n">
        <v>46050</v>
      </c>
      <c r="D305" t="inlineStr">
        <is>
          <t>STOCKHOLMS LÄN</t>
        </is>
      </c>
      <c r="E305" t="inlineStr">
        <is>
          <t>VÄRMDÖ</t>
        </is>
      </c>
      <c r="G305" t="n">
        <v>2</v>
      </c>
      <c r="H305" t="n">
        <v>0</v>
      </c>
      <c r="I305" t="n">
        <v>0</v>
      </c>
      <c r="J305" t="n">
        <v>1</v>
      </c>
      <c r="K305" t="n">
        <v>0</v>
      </c>
      <c r="L305" t="n">
        <v>0</v>
      </c>
      <c r="M305" t="n">
        <v>0</v>
      </c>
      <c r="N305" t="n">
        <v>0</v>
      </c>
      <c r="O305" t="n">
        <v>1</v>
      </c>
      <c r="P305" t="n">
        <v>0</v>
      </c>
      <c r="Q305" t="n">
        <v>1</v>
      </c>
      <c r="R305" s="2" t="inlineStr">
        <is>
          <t>Tallticka</t>
        </is>
      </c>
      <c r="S305">
        <f>HYPERLINK("https://klasma.github.io/Logging_0120/artfynd/A 31593-2025 artfynd.xlsx", "A 31593-2025")</f>
        <v/>
      </c>
      <c r="T305">
        <f>HYPERLINK("https://klasma.github.io/Logging_0120/kartor/A 31593-2025 karta.png", "A 31593-2025")</f>
        <v/>
      </c>
      <c r="V305">
        <f>HYPERLINK("https://klasma.github.io/Logging_0120/klagomål/A 31593-2025 FSC-klagomål.docx", "A 31593-2025")</f>
        <v/>
      </c>
      <c r="W305">
        <f>HYPERLINK("https://klasma.github.io/Logging_0120/klagomålsmail/A 31593-2025 FSC-klagomål mail.docx", "A 31593-2025")</f>
        <v/>
      </c>
      <c r="X305">
        <f>HYPERLINK("https://klasma.github.io/Logging_0120/tillsyn/A 31593-2025 tillsynsbegäran.docx", "A 31593-2025")</f>
        <v/>
      </c>
      <c r="Y305">
        <f>HYPERLINK("https://klasma.github.io/Logging_0120/tillsynsmail/A 31593-2025 tillsynsbegäran mail.docx", "A 31593-2025")</f>
        <v/>
      </c>
    </row>
    <row r="306" ht="15" customHeight="1">
      <c r="A306" t="inlineStr">
        <is>
          <t>A 37100-2021</t>
        </is>
      </c>
      <c r="B306" s="1" t="n">
        <v>44396</v>
      </c>
      <c r="C306" s="1" t="n">
        <v>46050</v>
      </c>
      <c r="D306" t="inlineStr">
        <is>
          <t>STOCKHOLMS LÄN</t>
        </is>
      </c>
      <c r="E306" t="inlineStr">
        <is>
          <t>NYNÄSHAMN</t>
        </is>
      </c>
      <c r="G306" t="n">
        <v>1.4</v>
      </c>
      <c r="H306" t="n">
        <v>1</v>
      </c>
      <c r="I306" t="n">
        <v>1</v>
      </c>
      <c r="J306" t="n">
        <v>0</v>
      </c>
      <c r="K306" t="n">
        <v>0</v>
      </c>
      <c r="L306" t="n">
        <v>0</v>
      </c>
      <c r="M306" t="n">
        <v>0</v>
      </c>
      <c r="N306" t="n">
        <v>0</v>
      </c>
      <c r="O306" t="n">
        <v>0</v>
      </c>
      <c r="P306" t="n">
        <v>0</v>
      </c>
      <c r="Q306" t="n">
        <v>1</v>
      </c>
      <c r="R306" s="2" t="inlineStr">
        <is>
          <t>Grön sköldmossa</t>
        </is>
      </c>
      <c r="S306">
        <f>HYPERLINK("https://klasma.github.io/Logging_0192/artfynd/A 37100-2021 artfynd.xlsx", "A 37100-2021")</f>
        <v/>
      </c>
      <c r="T306">
        <f>HYPERLINK("https://klasma.github.io/Logging_0192/kartor/A 37100-2021 karta.png", "A 37100-2021")</f>
        <v/>
      </c>
      <c r="V306">
        <f>HYPERLINK("https://klasma.github.io/Logging_0192/klagomål/A 37100-2021 FSC-klagomål.docx", "A 37100-2021")</f>
        <v/>
      </c>
      <c r="W306">
        <f>HYPERLINK("https://klasma.github.io/Logging_0192/klagomålsmail/A 37100-2021 FSC-klagomål mail.docx", "A 37100-2021")</f>
        <v/>
      </c>
      <c r="X306">
        <f>HYPERLINK("https://klasma.github.io/Logging_0192/tillsyn/A 37100-2021 tillsynsbegäran.docx", "A 37100-2021")</f>
        <v/>
      </c>
      <c r="Y306">
        <f>HYPERLINK("https://klasma.github.io/Logging_0192/tillsynsmail/A 37100-2021 tillsynsbegäran mail.docx", "A 37100-2021")</f>
        <v/>
      </c>
    </row>
    <row r="307" ht="15" customHeight="1">
      <c r="A307" t="inlineStr">
        <is>
          <t>A 31716-2025</t>
        </is>
      </c>
      <c r="B307" s="1" t="n">
        <v>45834</v>
      </c>
      <c r="C307" s="1" t="n">
        <v>46050</v>
      </c>
      <c r="D307" t="inlineStr">
        <is>
          <t>STOCKHOLMS LÄN</t>
        </is>
      </c>
      <c r="E307" t="inlineStr">
        <is>
          <t>ÖSTERÅKER</t>
        </is>
      </c>
      <c r="G307" t="n">
        <v>2.8</v>
      </c>
      <c r="H307" t="n">
        <v>1</v>
      </c>
      <c r="I307" t="n">
        <v>0</v>
      </c>
      <c r="J307" t="n">
        <v>0</v>
      </c>
      <c r="K307" t="n">
        <v>0</v>
      </c>
      <c r="L307" t="n">
        <v>0</v>
      </c>
      <c r="M307" t="n">
        <v>0</v>
      </c>
      <c r="N307" t="n">
        <v>0</v>
      </c>
      <c r="O307" t="n">
        <v>0</v>
      </c>
      <c r="P307" t="n">
        <v>0</v>
      </c>
      <c r="Q307" t="n">
        <v>1</v>
      </c>
      <c r="R307" s="2" t="inlineStr">
        <is>
          <t>Revlummer</t>
        </is>
      </c>
      <c r="S307">
        <f>HYPERLINK("https://klasma.github.io/Logging_0117/artfynd/A 31716-2025 artfynd.xlsx", "A 31716-2025")</f>
        <v/>
      </c>
      <c r="T307">
        <f>HYPERLINK("https://klasma.github.io/Logging_0117/kartor/A 31716-2025 karta.png", "A 31716-2025")</f>
        <v/>
      </c>
      <c r="V307">
        <f>HYPERLINK("https://klasma.github.io/Logging_0117/klagomål/A 31716-2025 FSC-klagomål.docx", "A 31716-2025")</f>
        <v/>
      </c>
      <c r="W307">
        <f>HYPERLINK("https://klasma.github.io/Logging_0117/klagomålsmail/A 31716-2025 FSC-klagomål mail.docx", "A 31716-2025")</f>
        <v/>
      </c>
      <c r="X307">
        <f>HYPERLINK("https://klasma.github.io/Logging_0117/tillsyn/A 31716-2025 tillsynsbegäran.docx", "A 31716-2025")</f>
        <v/>
      </c>
      <c r="Y307">
        <f>HYPERLINK("https://klasma.github.io/Logging_0117/tillsynsmail/A 31716-2025 tillsynsbegäran mail.docx", "A 31716-2025")</f>
        <v/>
      </c>
    </row>
    <row r="308" ht="15" customHeight="1">
      <c r="A308" t="inlineStr">
        <is>
          <t>A 33411-2025</t>
        </is>
      </c>
      <c r="B308" s="1" t="n">
        <v>45839</v>
      </c>
      <c r="C308" s="1" t="n">
        <v>46050</v>
      </c>
      <c r="D308" t="inlineStr">
        <is>
          <t>STOCKHOLMS LÄN</t>
        </is>
      </c>
      <c r="E308" t="inlineStr">
        <is>
          <t>SALEM</t>
        </is>
      </c>
      <c r="G308" t="n">
        <v>2.8</v>
      </c>
      <c r="H308" t="n">
        <v>1</v>
      </c>
      <c r="I308" t="n">
        <v>0</v>
      </c>
      <c r="J308" t="n">
        <v>1</v>
      </c>
      <c r="K308" t="n">
        <v>0</v>
      </c>
      <c r="L308" t="n">
        <v>0</v>
      </c>
      <c r="M308" t="n">
        <v>0</v>
      </c>
      <c r="N308" t="n">
        <v>0</v>
      </c>
      <c r="O308" t="n">
        <v>1</v>
      </c>
      <c r="P308" t="n">
        <v>0</v>
      </c>
      <c r="Q308" t="n">
        <v>1</v>
      </c>
      <c r="R308" s="2" t="inlineStr">
        <is>
          <t>Spillkråka</t>
        </is>
      </c>
      <c r="S308">
        <f>HYPERLINK("https://klasma.github.io/Logging_0128/artfynd/A 33411-2025 artfynd.xlsx", "A 33411-2025")</f>
        <v/>
      </c>
      <c r="T308">
        <f>HYPERLINK("https://klasma.github.io/Logging_0128/kartor/A 33411-2025 karta.png", "A 33411-2025")</f>
        <v/>
      </c>
      <c r="V308">
        <f>HYPERLINK("https://klasma.github.io/Logging_0128/klagomål/A 33411-2025 FSC-klagomål.docx", "A 33411-2025")</f>
        <v/>
      </c>
      <c r="W308">
        <f>HYPERLINK("https://klasma.github.io/Logging_0128/klagomålsmail/A 33411-2025 FSC-klagomål mail.docx", "A 33411-2025")</f>
        <v/>
      </c>
      <c r="X308">
        <f>HYPERLINK("https://klasma.github.io/Logging_0128/tillsyn/A 33411-2025 tillsynsbegäran.docx", "A 33411-2025")</f>
        <v/>
      </c>
      <c r="Y308">
        <f>HYPERLINK("https://klasma.github.io/Logging_0128/tillsynsmail/A 33411-2025 tillsynsbegäran mail.docx", "A 33411-2025")</f>
        <v/>
      </c>
      <c r="Z308">
        <f>HYPERLINK("https://klasma.github.io/Logging_0128/fåglar/A 33411-2025 prioriterade fågelarter.docx", "A 33411-2025")</f>
        <v/>
      </c>
    </row>
    <row r="309" ht="15" customHeight="1">
      <c r="A309" t="inlineStr">
        <is>
          <t>A 32951-2025</t>
        </is>
      </c>
      <c r="B309" s="1" t="n">
        <v>45839</v>
      </c>
      <c r="C309" s="1" t="n">
        <v>46050</v>
      </c>
      <c r="D309" t="inlineStr">
        <is>
          <t>STOCKHOLMS LÄN</t>
        </is>
      </c>
      <c r="E309" t="inlineStr">
        <is>
          <t>SALEM</t>
        </is>
      </c>
      <c r="G309" t="n">
        <v>2.6</v>
      </c>
      <c r="H309" t="n">
        <v>0</v>
      </c>
      <c r="I309" t="n">
        <v>0</v>
      </c>
      <c r="J309" t="n">
        <v>1</v>
      </c>
      <c r="K309" t="n">
        <v>0</v>
      </c>
      <c r="L309" t="n">
        <v>0</v>
      </c>
      <c r="M309" t="n">
        <v>0</v>
      </c>
      <c r="N309" t="n">
        <v>0</v>
      </c>
      <c r="O309" t="n">
        <v>1</v>
      </c>
      <c r="P309" t="n">
        <v>0</v>
      </c>
      <c r="Q309" t="n">
        <v>1</v>
      </c>
      <c r="R309" s="2" t="inlineStr">
        <is>
          <t>Etternässla</t>
        </is>
      </c>
      <c r="S309">
        <f>HYPERLINK("https://klasma.github.io/Logging_0128/artfynd/A 32951-2025 artfynd.xlsx", "A 32951-2025")</f>
        <v/>
      </c>
      <c r="T309">
        <f>HYPERLINK("https://klasma.github.io/Logging_0128/kartor/A 32951-2025 karta.png", "A 32951-2025")</f>
        <v/>
      </c>
      <c r="V309">
        <f>HYPERLINK("https://klasma.github.io/Logging_0128/klagomål/A 32951-2025 FSC-klagomål.docx", "A 32951-2025")</f>
        <v/>
      </c>
      <c r="W309">
        <f>HYPERLINK("https://klasma.github.io/Logging_0128/klagomålsmail/A 32951-2025 FSC-klagomål mail.docx", "A 32951-2025")</f>
        <v/>
      </c>
      <c r="X309">
        <f>HYPERLINK("https://klasma.github.io/Logging_0128/tillsyn/A 32951-2025 tillsynsbegäran.docx", "A 32951-2025")</f>
        <v/>
      </c>
      <c r="Y309">
        <f>HYPERLINK("https://klasma.github.io/Logging_0128/tillsynsmail/A 32951-2025 tillsynsbegäran mail.docx", "A 32951-2025")</f>
        <v/>
      </c>
    </row>
    <row r="310" ht="15" customHeight="1">
      <c r="A310" t="inlineStr">
        <is>
          <t>A 24384-2023</t>
        </is>
      </c>
      <c r="B310" s="1" t="n">
        <v>45076</v>
      </c>
      <c r="C310" s="1" t="n">
        <v>46050</v>
      </c>
      <c r="D310" t="inlineStr">
        <is>
          <t>STOCKHOLMS LÄN</t>
        </is>
      </c>
      <c r="E310" t="inlineStr">
        <is>
          <t>HUDDINGE</t>
        </is>
      </c>
      <c r="G310" t="n">
        <v>1</v>
      </c>
      <c r="H310" t="n">
        <v>0</v>
      </c>
      <c r="I310" t="n">
        <v>0</v>
      </c>
      <c r="J310" t="n">
        <v>1</v>
      </c>
      <c r="K310" t="n">
        <v>0</v>
      </c>
      <c r="L310" t="n">
        <v>0</v>
      </c>
      <c r="M310" t="n">
        <v>0</v>
      </c>
      <c r="N310" t="n">
        <v>0</v>
      </c>
      <c r="O310" t="n">
        <v>1</v>
      </c>
      <c r="P310" t="n">
        <v>0</v>
      </c>
      <c r="Q310" t="n">
        <v>1</v>
      </c>
      <c r="R310" s="2" t="inlineStr">
        <is>
          <t>Kolflarnlav</t>
        </is>
      </c>
      <c r="S310">
        <f>HYPERLINK("https://klasma.github.io/Logging_0126/artfynd/A 24384-2023 artfynd.xlsx", "A 24384-2023")</f>
        <v/>
      </c>
      <c r="T310">
        <f>HYPERLINK("https://klasma.github.io/Logging_0126/kartor/A 24384-2023 karta.png", "A 24384-2023")</f>
        <v/>
      </c>
      <c r="V310">
        <f>HYPERLINK("https://klasma.github.io/Logging_0126/klagomål/A 24384-2023 FSC-klagomål.docx", "A 24384-2023")</f>
        <v/>
      </c>
      <c r="W310">
        <f>HYPERLINK("https://klasma.github.io/Logging_0126/klagomålsmail/A 24384-2023 FSC-klagomål mail.docx", "A 24384-2023")</f>
        <v/>
      </c>
      <c r="X310">
        <f>HYPERLINK("https://klasma.github.io/Logging_0126/tillsyn/A 24384-2023 tillsynsbegäran.docx", "A 24384-2023")</f>
        <v/>
      </c>
      <c r="Y310">
        <f>HYPERLINK("https://klasma.github.io/Logging_0126/tillsynsmail/A 24384-2023 tillsynsbegäran mail.docx", "A 24384-2023")</f>
        <v/>
      </c>
    </row>
    <row r="311" ht="15" customHeight="1">
      <c r="A311" t="inlineStr">
        <is>
          <t>A 10274-2025</t>
        </is>
      </c>
      <c r="B311" s="1" t="n">
        <v>45720.39356481482</v>
      </c>
      <c r="C311" s="1" t="n">
        <v>46050</v>
      </c>
      <c r="D311" t="inlineStr">
        <is>
          <t>STOCKHOLMS LÄN</t>
        </is>
      </c>
      <c r="E311" t="inlineStr">
        <is>
          <t>SÖDERTÄLJE</t>
        </is>
      </c>
      <c r="G311" t="n">
        <v>3.1</v>
      </c>
      <c r="H311" t="n">
        <v>0</v>
      </c>
      <c r="I311" t="n">
        <v>1</v>
      </c>
      <c r="J311" t="n">
        <v>0</v>
      </c>
      <c r="K311" t="n">
        <v>0</v>
      </c>
      <c r="L311" t="n">
        <v>0</v>
      </c>
      <c r="M311" t="n">
        <v>0</v>
      </c>
      <c r="N311" t="n">
        <v>0</v>
      </c>
      <c r="O311" t="n">
        <v>0</v>
      </c>
      <c r="P311" t="n">
        <v>0</v>
      </c>
      <c r="Q311" t="n">
        <v>1</v>
      </c>
      <c r="R311" s="2" t="inlineStr">
        <is>
          <t>Granbarkgnagare</t>
        </is>
      </c>
      <c r="S311">
        <f>HYPERLINK("https://klasma.github.io/Logging_0181/artfynd/A 10274-2025 artfynd.xlsx", "A 10274-2025")</f>
        <v/>
      </c>
      <c r="T311">
        <f>HYPERLINK("https://klasma.github.io/Logging_0181/kartor/A 10274-2025 karta.png", "A 10274-2025")</f>
        <v/>
      </c>
      <c r="V311">
        <f>HYPERLINK("https://klasma.github.io/Logging_0181/klagomål/A 10274-2025 FSC-klagomål.docx", "A 10274-2025")</f>
        <v/>
      </c>
      <c r="W311">
        <f>HYPERLINK("https://klasma.github.io/Logging_0181/klagomålsmail/A 10274-2025 FSC-klagomål mail.docx", "A 10274-2025")</f>
        <v/>
      </c>
      <c r="X311">
        <f>HYPERLINK("https://klasma.github.io/Logging_0181/tillsyn/A 10274-2025 tillsynsbegäran.docx", "A 10274-2025")</f>
        <v/>
      </c>
      <c r="Y311">
        <f>HYPERLINK("https://klasma.github.io/Logging_0181/tillsynsmail/A 10274-2025 tillsynsbegäran mail.docx", "A 10274-2025")</f>
        <v/>
      </c>
    </row>
    <row r="312" ht="15" customHeight="1">
      <c r="A312" t="inlineStr">
        <is>
          <t>A 23829-2023</t>
        </is>
      </c>
      <c r="B312" s="1" t="n">
        <v>45078</v>
      </c>
      <c r="C312" s="1" t="n">
        <v>46050</v>
      </c>
      <c r="D312" t="inlineStr">
        <is>
          <t>STOCKHOLMS LÄN</t>
        </is>
      </c>
      <c r="E312" t="inlineStr">
        <is>
          <t>BOTKYRKA</t>
        </is>
      </c>
      <c r="F312" t="inlineStr">
        <is>
          <t>Kommuner</t>
        </is>
      </c>
      <c r="G312" t="n">
        <v>3.7</v>
      </c>
      <c r="H312" t="n">
        <v>0</v>
      </c>
      <c r="I312" t="n">
        <v>1</v>
      </c>
      <c r="J312" t="n">
        <v>0</v>
      </c>
      <c r="K312" t="n">
        <v>0</v>
      </c>
      <c r="L312" t="n">
        <v>0</v>
      </c>
      <c r="M312" t="n">
        <v>0</v>
      </c>
      <c r="N312" t="n">
        <v>0</v>
      </c>
      <c r="O312" t="n">
        <v>0</v>
      </c>
      <c r="P312" t="n">
        <v>0</v>
      </c>
      <c r="Q312" t="n">
        <v>1</v>
      </c>
      <c r="R312" s="2" t="inlineStr">
        <is>
          <t>Fjällig taggsvamp s.str.</t>
        </is>
      </c>
      <c r="S312">
        <f>HYPERLINK("https://klasma.github.io/Logging_0127/artfynd/A 23829-2023 artfynd.xlsx", "A 23829-2023")</f>
        <v/>
      </c>
      <c r="T312">
        <f>HYPERLINK("https://klasma.github.io/Logging_0127/kartor/A 23829-2023 karta.png", "A 23829-2023")</f>
        <v/>
      </c>
      <c r="V312">
        <f>HYPERLINK("https://klasma.github.io/Logging_0127/klagomål/A 23829-2023 FSC-klagomål.docx", "A 23829-2023")</f>
        <v/>
      </c>
      <c r="W312">
        <f>HYPERLINK("https://klasma.github.io/Logging_0127/klagomålsmail/A 23829-2023 FSC-klagomål mail.docx", "A 23829-2023")</f>
        <v/>
      </c>
      <c r="X312">
        <f>HYPERLINK("https://klasma.github.io/Logging_0127/tillsyn/A 23829-2023 tillsynsbegäran.docx", "A 23829-2023")</f>
        <v/>
      </c>
      <c r="Y312">
        <f>HYPERLINK("https://klasma.github.io/Logging_0127/tillsynsmail/A 23829-2023 tillsynsbegäran mail.docx", "A 23829-2023")</f>
        <v/>
      </c>
    </row>
    <row r="313" ht="15" customHeight="1">
      <c r="A313" t="inlineStr">
        <is>
          <t>A 33548-2025</t>
        </is>
      </c>
      <c r="B313" s="1" t="n">
        <v>45841.5721875</v>
      </c>
      <c r="C313" s="1" t="n">
        <v>46050</v>
      </c>
      <c r="D313" t="inlineStr">
        <is>
          <t>STOCKHOLMS LÄN</t>
        </is>
      </c>
      <c r="E313" t="inlineStr">
        <is>
          <t>NORRTÄLJE</t>
        </is>
      </c>
      <c r="G313" t="n">
        <v>12.2</v>
      </c>
      <c r="H313" t="n">
        <v>0</v>
      </c>
      <c r="I313" t="n">
        <v>0</v>
      </c>
      <c r="J313" t="n">
        <v>1</v>
      </c>
      <c r="K313" t="n">
        <v>0</v>
      </c>
      <c r="L313" t="n">
        <v>0</v>
      </c>
      <c r="M313" t="n">
        <v>0</v>
      </c>
      <c r="N313" t="n">
        <v>0</v>
      </c>
      <c r="O313" t="n">
        <v>1</v>
      </c>
      <c r="P313" t="n">
        <v>0</v>
      </c>
      <c r="Q313" t="n">
        <v>1</v>
      </c>
      <c r="R313" s="2" t="inlineStr">
        <is>
          <t>Dofttaggsvamp</t>
        </is>
      </c>
      <c r="S313">
        <f>HYPERLINK("https://klasma.github.io/Logging_0188/artfynd/A 33548-2025 artfynd.xlsx", "A 33548-2025")</f>
        <v/>
      </c>
      <c r="T313">
        <f>HYPERLINK("https://klasma.github.io/Logging_0188/kartor/A 33548-2025 karta.png", "A 33548-2025")</f>
        <v/>
      </c>
      <c r="V313">
        <f>HYPERLINK("https://klasma.github.io/Logging_0188/klagomål/A 33548-2025 FSC-klagomål.docx", "A 33548-2025")</f>
        <v/>
      </c>
      <c r="W313">
        <f>HYPERLINK("https://klasma.github.io/Logging_0188/klagomålsmail/A 33548-2025 FSC-klagomål mail.docx", "A 33548-2025")</f>
        <v/>
      </c>
      <c r="X313">
        <f>HYPERLINK("https://klasma.github.io/Logging_0188/tillsyn/A 33548-2025 tillsynsbegäran.docx", "A 33548-2025")</f>
        <v/>
      </c>
      <c r="Y313">
        <f>HYPERLINK("https://klasma.github.io/Logging_0188/tillsynsmail/A 33548-2025 tillsynsbegäran mail.docx", "A 33548-2025")</f>
        <v/>
      </c>
    </row>
    <row r="314" ht="15" customHeight="1">
      <c r="A314" t="inlineStr">
        <is>
          <t>A 33546-2025</t>
        </is>
      </c>
      <c r="B314" s="1" t="n">
        <v>45841.56996527778</v>
      </c>
      <c r="C314" s="1" t="n">
        <v>46050</v>
      </c>
      <c r="D314" t="inlineStr">
        <is>
          <t>STOCKHOLMS LÄN</t>
        </is>
      </c>
      <c r="E314" t="inlineStr">
        <is>
          <t>NORRTÄLJE</t>
        </is>
      </c>
      <c r="G314" t="n">
        <v>7.2</v>
      </c>
      <c r="H314" t="n">
        <v>1</v>
      </c>
      <c r="I314" t="n">
        <v>1</v>
      </c>
      <c r="J314" t="n">
        <v>0</v>
      </c>
      <c r="K314" t="n">
        <v>0</v>
      </c>
      <c r="L314" t="n">
        <v>0</v>
      </c>
      <c r="M314" t="n">
        <v>0</v>
      </c>
      <c r="N314" t="n">
        <v>0</v>
      </c>
      <c r="O314" t="n">
        <v>0</v>
      </c>
      <c r="P314" t="n">
        <v>0</v>
      </c>
      <c r="Q314" t="n">
        <v>1</v>
      </c>
      <c r="R314" s="2" t="inlineStr">
        <is>
          <t>Nästrot</t>
        </is>
      </c>
      <c r="S314">
        <f>HYPERLINK("https://klasma.github.io/Logging_0188/artfynd/A 33546-2025 artfynd.xlsx", "A 33546-2025")</f>
        <v/>
      </c>
      <c r="T314">
        <f>HYPERLINK("https://klasma.github.io/Logging_0188/kartor/A 33546-2025 karta.png", "A 33546-2025")</f>
        <v/>
      </c>
      <c r="V314">
        <f>HYPERLINK("https://klasma.github.io/Logging_0188/klagomål/A 33546-2025 FSC-klagomål.docx", "A 33546-2025")</f>
        <v/>
      </c>
      <c r="W314">
        <f>HYPERLINK("https://klasma.github.io/Logging_0188/klagomålsmail/A 33546-2025 FSC-klagomål mail.docx", "A 33546-2025")</f>
        <v/>
      </c>
      <c r="X314">
        <f>HYPERLINK("https://klasma.github.io/Logging_0188/tillsyn/A 33546-2025 tillsynsbegäran.docx", "A 33546-2025")</f>
        <v/>
      </c>
      <c r="Y314">
        <f>HYPERLINK("https://klasma.github.io/Logging_0188/tillsynsmail/A 33546-2025 tillsynsbegäran mail.docx", "A 33546-2025")</f>
        <v/>
      </c>
    </row>
    <row r="315" ht="15" customHeight="1">
      <c r="A315" t="inlineStr">
        <is>
          <t>A 26120-2024</t>
        </is>
      </c>
      <c r="B315" s="1" t="n">
        <v>45468.45995370371</v>
      </c>
      <c r="C315" s="1" t="n">
        <v>46050</v>
      </c>
      <c r="D315" t="inlineStr">
        <is>
          <t>STOCKHOLMS LÄN</t>
        </is>
      </c>
      <c r="E315" t="inlineStr">
        <is>
          <t>NORRTÄLJE</t>
        </is>
      </c>
      <c r="G315" t="n">
        <v>1.8</v>
      </c>
      <c r="H315" t="n">
        <v>0</v>
      </c>
      <c r="I315" t="n">
        <v>0</v>
      </c>
      <c r="J315" t="n">
        <v>1</v>
      </c>
      <c r="K315" t="n">
        <v>0</v>
      </c>
      <c r="L315" t="n">
        <v>0</v>
      </c>
      <c r="M315" t="n">
        <v>0</v>
      </c>
      <c r="N315" t="n">
        <v>0</v>
      </c>
      <c r="O315" t="n">
        <v>1</v>
      </c>
      <c r="P315" t="n">
        <v>0</v>
      </c>
      <c r="Q315" t="n">
        <v>1</v>
      </c>
      <c r="R315" s="2" t="inlineStr">
        <is>
          <t>Majviva</t>
        </is>
      </c>
      <c r="S315">
        <f>HYPERLINK("https://klasma.github.io/Logging_0188/artfynd/A 26120-2024 artfynd.xlsx", "A 26120-2024")</f>
        <v/>
      </c>
      <c r="T315">
        <f>HYPERLINK("https://klasma.github.io/Logging_0188/kartor/A 26120-2024 karta.png", "A 26120-2024")</f>
        <v/>
      </c>
      <c r="V315">
        <f>HYPERLINK("https://klasma.github.io/Logging_0188/klagomål/A 26120-2024 FSC-klagomål.docx", "A 26120-2024")</f>
        <v/>
      </c>
      <c r="W315">
        <f>HYPERLINK("https://klasma.github.io/Logging_0188/klagomålsmail/A 26120-2024 FSC-klagomål mail.docx", "A 26120-2024")</f>
        <v/>
      </c>
      <c r="X315">
        <f>HYPERLINK("https://klasma.github.io/Logging_0188/tillsyn/A 26120-2024 tillsynsbegäran.docx", "A 26120-2024")</f>
        <v/>
      </c>
      <c r="Y315">
        <f>HYPERLINK("https://klasma.github.io/Logging_0188/tillsynsmail/A 26120-2024 tillsynsbegäran mail.docx", "A 26120-2024")</f>
        <v/>
      </c>
    </row>
    <row r="316" ht="15" customHeight="1">
      <c r="A316" t="inlineStr">
        <is>
          <t>A 51189-2022</t>
        </is>
      </c>
      <c r="B316" s="1" t="n">
        <v>44865</v>
      </c>
      <c r="C316" s="1" t="n">
        <v>46050</v>
      </c>
      <c r="D316" t="inlineStr">
        <is>
          <t>STOCKHOLMS LÄN</t>
        </is>
      </c>
      <c r="E316" t="inlineStr">
        <is>
          <t>SIGTUNA</t>
        </is>
      </c>
      <c r="G316" t="n">
        <v>32.8</v>
      </c>
      <c r="H316" t="n">
        <v>0</v>
      </c>
      <c r="I316" t="n">
        <v>0</v>
      </c>
      <c r="J316" t="n">
        <v>1</v>
      </c>
      <c r="K316" t="n">
        <v>0</v>
      </c>
      <c r="L316" t="n">
        <v>0</v>
      </c>
      <c r="M316" t="n">
        <v>0</v>
      </c>
      <c r="N316" t="n">
        <v>0</v>
      </c>
      <c r="O316" t="n">
        <v>1</v>
      </c>
      <c r="P316" t="n">
        <v>0</v>
      </c>
      <c r="Q316" t="n">
        <v>1</v>
      </c>
      <c r="R316" s="2" t="inlineStr">
        <is>
          <t>Vedskivlav</t>
        </is>
      </c>
      <c r="S316">
        <f>HYPERLINK("https://klasma.github.io/Logging_0191/artfynd/A 51189-2022 artfynd.xlsx", "A 51189-2022")</f>
        <v/>
      </c>
      <c r="T316">
        <f>HYPERLINK("https://klasma.github.io/Logging_0191/kartor/A 51189-2022 karta.png", "A 51189-2022")</f>
        <v/>
      </c>
      <c r="V316">
        <f>HYPERLINK("https://klasma.github.io/Logging_0191/klagomål/A 51189-2022 FSC-klagomål.docx", "A 51189-2022")</f>
        <v/>
      </c>
      <c r="W316">
        <f>HYPERLINK("https://klasma.github.io/Logging_0191/klagomålsmail/A 51189-2022 FSC-klagomål mail.docx", "A 51189-2022")</f>
        <v/>
      </c>
      <c r="X316">
        <f>HYPERLINK("https://klasma.github.io/Logging_0191/tillsyn/A 51189-2022 tillsynsbegäran.docx", "A 51189-2022")</f>
        <v/>
      </c>
      <c r="Y316">
        <f>HYPERLINK("https://klasma.github.io/Logging_0191/tillsynsmail/A 51189-2022 tillsynsbegäran mail.docx", "A 51189-2022")</f>
        <v/>
      </c>
    </row>
    <row r="317" ht="15" customHeight="1">
      <c r="A317" t="inlineStr">
        <is>
          <t>A 13291-2025</t>
        </is>
      </c>
      <c r="B317" s="1" t="n">
        <v>45735</v>
      </c>
      <c r="C317" s="1" t="n">
        <v>46050</v>
      </c>
      <c r="D317" t="inlineStr">
        <is>
          <t>STOCKHOLMS LÄN</t>
        </is>
      </c>
      <c r="E317" t="inlineStr">
        <is>
          <t>NORRTÄLJE</t>
        </is>
      </c>
      <c r="G317" t="n">
        <v>3.8</v>
      </c>
      <c r="H317" t="n">
        <v>1</v>
      </c>
      <c r="I317" t="n">
        <v>0</v>
      </c>
      <c r="J317" t="n">
        <v>0</v>
      </c>
      <c r="K317" t="n">
        <v>0</v>
      </c>
      <c r="L317" t="n">
        <v>0</v>
      </c>
      <c r="M317" t="n">
        <v>0</v>
      </c>
      <c r="N317" t="n">
        <v>0</v>
      </c>
      <c r="O317" t="n">
        <v>0</v>
      </c>
      <c r="P317" t="n">
        <v>0</v>
      </c>
      <c r="Q317" t="n">
        <v>1</v>
      </c>
      <c r="R317" s="2" t="inlineStr">
        <is>
          <t>Blåsippa</t>
        </is>
      </c>
      <c r="S317">
        <f>HYPERLINK("https://klasma.github.io/Logging_0188/artfynd/A 13291-2025 artfynd.xlsx", "A 13291-2025")</f>
        <v/>
      </c>
      <c r="T317">
        <f>HYPERLINK("https://klasma.github.io/Logging_0188/kartor/A 13291-2025 karta.png", "A 13291-2025")</f>
        <v/>
      </c>
      <c r="V317">
        <f>HYPERLINK("https://klasma.github.io/Logging_0188/klagomål/A 13291-2025 FSC-klagomål.docx", "A 13291-2025")</f>
        <v/>
      </c>
      <c r="W317">
        <f>HYPERLINK("https://klasma.github.io/Logging_0188/klagomålsmail/A 13291-2025 FSC-klagomål mail.docx", "A 13291-2025")</f>
        <v/>
      </c>
      <c r="X317">
        <f>HYPERLINK("https://klasma.github.io/Logging_0188/tillsyn/A 13291-2025 tillsynsbegäran.docx", "A 13291-2025")</f>
        <v/>
      </c>
      <c r="Y317">
        <f>HYPERLINK("https://klasma.github.io/Logging_0188/tillsynsmail/A 13291-2025 tillsynsbegäran mail.docx", "A 13291-2025")</f>
        <v/>
      </c>
    </row>
    <row r="318" ht="15" customHeight="1">
      <c r="A318" t="inlineStr">
        <is>
          <t>A 33801-2025</t>
        </is>
      </c>
      <c r="B318" s="1" t="n">
        <v>45842</v>
      </c>
      <c r="C318" s="1" t="n">
        <v>46050</v>
      </c>
      <c r="D318" t="inlineStr">
        <is>
          <t>STOCKHOLMS LÄN</t>
        </is>
      </c>
      <c r="E318" t="inlineStr">
        <is>
          <t>BOTKYRKA</t>
        </is>
      </c>
      <c r="G318" t="n">
        <v>1.3</v>
      </c>
      <c r="H318" t="n">
        <v>0</v>
      </c>
      <c r="I318" t="n">
        <v>1</v>
      </c>
      <c r="J318" t="n">
        <v>0</v>
      </c>
      <c r="K318" t="n">
        <v>0</v>
      </c>
      <c r="L318" t="n">
        <v>0</v>
      </c>
      <c r="M318" t="n">
        <v>0</v>
      </c>
      <c r="N318" t="n">
        <v>0</v>
      </c>
      <c r="O318" t="n">
        <v>0</v>
      </c>
      <c r="P318" t="n">
        <v>0</v>
      </c>
      <c r="Q318" t="n">
        <v>1</v>
      </c>
      <c r="R318" s="2" t="inlineStr">
        <is>
          <t>Strutbräken</t>
        </is>
      </c>
      <c r="S318">
        <f>HYPERLINK("https://klasma.github.io/Logging_0127/artfynd/A 33801-2025 artfynd.xlsx", "A 33801-2025")</f>
        <v/>
      </c>
      <c r="T318">
        <f>HYPERLINK("https://klasma.github.io/Logging_0127/kartor/A 33801-2025 karta.png", "A 33801-2025")</f>
        <v/>
      </c>
      <c r="V318">
        <f>HYPERLINK("https://klasma.github.io/Logging_0127/klagomål/A 33801-2025 FSC-klagomål.docx", "A 33801-2025")</f>
        <v/>
      </c>
      <c r="W318">
        <f>HYPERLINK("https://klasma.github.io/Logging_0127/klagomålsmail/A 33801-2025 FSC-klagomål mail.docx", "A 33801-2025")</f>
        <v/>
      </c>
      <c r="X318">
        <f>HYPERLINK("https://klasma.github.io/Logging_0127/tillsyn/A 33801-2025 tillsynsbegäran.docx", "A 33801-2025")</f>
        <v/>
      </c>
      <c r="Y318">
        <f>HYPERLINK("https://klasma.github.io/Logging_0127/tillsynsmail/A 33801-2025 tillsynsbegäran mail.docx", "A 33801-2025")</f>
        <v/>
      </c>
    </row>
    <row r="319" ht="15" customHeight="1">
      <c r="A319" t="inlineStr">
        <is>
          <t>A 24262-2023</t>
        </is>
      </c>
      <c r="B319" s="1" t="n">
        <v>45076</v>
      </c>
      <c r="C319" s="1" t="n">
        <v>46050</v>
      </c>
      <c r="D319" t="inlineStr">
        <is>
          <t>STOCKHOLMS LÄN</t>
        </is>
      </c>
      <c r="E319" t="inlineStr">
        <is>
          <t>HUDDINGE</t>
        </is>
      </c>
      <c r="G319" t="n">
        <v>2.5</v>
      </c>
      <c r="H319" t="n">
        <v>0</v>
      </c>
      <c r="I319" t="n">
        <v>1</v>
      </c>
      <c r="J319" t="n">
        <v>0</v>
      </c>
      <c r="K319" t="n">
        <v>0</v>
      </c>
      <c r="L319" t="n">
        <v>0</v>
      </c>
      <c r="M319" t="n">
        <v>0</v>
      </c>
      <c r="N319" t="n">
        <v>0</v>
      </c>
      <c r="O319" t="n">
        <v>0</v>
      </c>
      <c r="P319" t="n">
        <v>0</v>
      </c>
      <c r="Q319" t="n">
        <v>1</v>
      </c>
      <c r="R319" s="2" t="inlineStr">
        <is>
          <t>Tibast</t>
        </is>
      </c>
      <c r="S319">
        <f>HYPERLINK("https://klasma.github.io/Logging_0126/artfynd/A 24262-2023 artfynd.xlsx", "A 24262-2023")</f>
        <v/>
      </c>
      <c r="T319">
        <f>HYPERLINK("https://klasma.github.io/Logging_0126/kartor/A 24262-2023 karta.png", "A 24262-2023")</f>
        <v/>
      </c>
      <c r="V319">
        <f>HYPERLINK("https://klasma.github.io/Logging_0126/klagomål/A 24262-2023 FSC-klagomål.docx", "A 24262-2023")</f>
        <v/>
      </c>
      <c r="W319">
        <f>HYPERLINK("https://klasma.github.io/Logging_0126/klagomålsmail/A 24262-2023 FSC-klagomål mail.docx", "A 24262-2023")</f>
        <v/>
      </c>
      <c r="X319">
        <f>HYPERLINK("https://klasma.github.io/Logging_0126/tillsyn/A 24262-2023 tillsynsbegäran.docx", "A 24262-2023")</f>
        <v/>
      </c>
      <c r="Y319">
        <f>HYPERLINK("https://klasma.github.io/Logging_0126/tillsynsmail/A 24262-2023 tillsynsbegäran mail.docx", "A 24262-2023")</f>
        <v/>
      </c>
    </row>
    <row r="320" ht="15" customHeight="1">
      <c r="A320" t="inlineStr">
        <is>
          <t>A 31142-2023</t>
        </is>
      </c>
      <c r="B320" s="1" t="n">
        <v>45113</v>
      </c>
      <c r="C320" s="1" t="n">
        <v>46050</v>
      </c>
      <c r="D320" t="inlineStr">
        <is>
          <t>STOCKHOLMS LÄN</t>
        </is>
      </c>
      <c r="E320" t="inlineStr">
        <is>
          <t>NYNÄSHAMN</t>
        </is>
      </c>
      <c r="G320" t="n">
        <v>5.7</v>
      </c>
      <c r="H320" t="n">
        <v>0</v>
      </c>
      <c r="I320" t="n">
        <v>0</v>
      </c>
      <c r="J320" t="n">
        <v>0</v>
      </c>
      <c r="K320" t="n">
        <v>0</v>
      </c>
      <c r="L320" t="n">
        <v>1</v>
      </c>
      <c r="M320" t="n">
        <v>0</v>
      </c>
      <c r="N320" t="n">
        <v>0</v>
      </c>
      <c r="O320" t="n">
        <v>1</v>
      </c>
      <c r="P320" t="n">
        <v>1</v>
      </c>
      <c r="Q320" t="n">
        <v>1</v>
      </c>
      <c r="R320" s="2" t="inlineStr">
        <is>
          <t>Ask</t>
        </is>
      </c>
      <c r="S320">
        <f>HYPERLINK("https://klasma.github.io/Logging_0192/artfynd/A 31142-2023 artfynd.xlsx", "A 31142-2023")</f>
        <v/>
      </c>
      <c r="T320">
        <f>HYPERLINK("https://klasma.github.io/Logging_0192/kartor/A 31142-2023 karta.png", "A 31142-2023")</f>
        <v/>
      </c>
      <c r="V320">
        <f>HYPERLINK("https://klasma.github.io/Logging_0192/klagomål/A 31142-2023 FSC-klagomål.docx", "A 31142-2023")</f>
        <v/>
      </c>
      <c r="W320">
        <f>HYPERLINK("https://klasma.github.io/Logging_0192/klagomålsmail/A 31142-2023 FSC-klagomål mail.docx", "A 31142-2023")</f>
        <v/>
      </c>
      <c r="X320">
        <f>HYPERLINK("https://klasma.github.io/Logging_0192/tillsyn/A 31142-2023 tillsynsbegäran.docx", "A 31142-2023")</f>
        <v/>
      </c>
      <c r="Y320">
        <f>HYPERLINK("https://klasma.github.io/Logging_0192/tillsynsmail/A 31142-2023 tillsynsbegäran mail.docx", "A 31142-2023")</f>
        <v/>
      </c>
    </row>
    <row r="321" ht="15" customHeight="1">
      <c r="A321" t="inlineStr">
        <is>
          <t>A 64456-2023</t>
        </is>
      </c>
      <c r="B321" s="1" t="n">
        <v>45280</v>
      </c>
      <c r="C321" s="1" t="n">
        <v>46050</v>
      </c>
      <c r="D321" t="inlineStr">
        <is>
          <t>STOCKHOLMS LÄN</t>
        </is>
      </c>
      <c r="E321" t="inlineStr">
        <is>
          <t>NORRTÄLJE</t>
        </is>
      </c>
      <c r="G321" t="n">
        <v>2.5</v>
      </c>
      <c r="H321" t="n">
        <v>0</v>
      </c>
      <c r="I321" t="n">
        <v>1</v>
      </c>
      <c r="J321" t="n">
        <v>0</v>
      </c>
      <c r="K321" t="n">
        <v>0</v>
      </c>
      <c r="L321" t="n">
        <v>0</v>
      </c>
      <c r="M321" t="n">
        <v>0</v>
      </c>
      <c r="N321" t="n">
        <v>0</v>
      </c>
      <c r="O321" t="n">
        <v>0</v>
      </c>
      <c r="P321" t="n">
        <v>0</v>
      </c>
      <c r="Q321" t="n">
        <v>1</v>
      </c>
      <c r="R321" s="2" t="inlineStr">
        <is>
          <t>Rödgul trumpetsvamp</t>
        </is>
      </c>
      <c r="S321">
        <f>HYPERLINK("https://klasma.github.io/Logging_0188/artfynd/A 64456-2023 artfynd.xlsx", "A 64456-2023")</f>
        <v/>
      </c>
      <c r="T321">
        <f>HYPERLINK("https://klasma.github.io/Logging_0188/kartor/A 64456-2023 karta.png", "A 64456-2023")</f>
        <v/>
      </c>
      <c r="V321">
        <f>HYPERLINK("https://klasma.github.io/Logging_0188/klagomål/A 64456-2023 FSC-klagomål.docx", "A 64456-2023")</f>
        <v/>
      </c>
      <c r="W321">
        <f>HYPERLINK("https://klasma.github.io/Logging_0188/klagomålsmail/A 64456-2023 FSC-klagomål mail.docx", "A 64456-2023")</f>
        <v/>
      </c>
      <c r="X321">
        <f>HYPERLINK("https://klasma.github.io/Logging_0188/tillsyn/A 64456-2023 tillsynsbegäran.docx", "A 64456-2023")</f>
        <v/>
      </c>
      <c r="Y321">
        <f>HYPERLINK("https://klasma.github.io/Logging_0188/tillsynsmail/A 64456-2023 tillsynsbegäran mail.docx", "A 64456-2023")</f>
        <v/>
      </c>
    </row>
    <row r="322" ht="15" customHeight="1">
      <c r="A322" t="inlineStr">
        <is>
          <t>A 39158-2025</t>
        </is>
      </c>
      <c r="B322" s="1" t="n">
        <v>45888</v>
      </c>
      <c r="C322" s="1" t="n">
        <v>46050</v>
      </c>
      <c r="D322" t="inlineStr">
        <is>
          <t>STOCKHOLMS LÄN</t>
        </is>
      </c>
      <c r="E322" t="inlineStr">
        <is>
          <t>NORRTÄLJE</t>
        </is>
      </c>
      <c r="G322" t="n">
        <v>1.5</v>
      </c>
      <c r="H322" t="n">
        <v>1</v>
      </c>
      <c r="I322" t="n">
        <v>0</v>
      </c>
      <c r="J322" t="n">
        <v>0</v>
      </c>
      <c r="K322" t="n">
        <v>0</v>
      </c>
      <c r="L322" t="n">
        <v>0</v>
      </c>
      <c r="M322" t="n">
        <v>0</v>
      </c>
      <c r="N322" t="n">
        <v>0</v>
      </c>
      <c r="O322" t="n">
        <v>0</v>
      </c>
      <c r="P322" t="n">
        <v>0</v>
      </c>
      <c r="Q322" t="n">
        <v>1</v>
      </c>
      <c r="R322" s="2" t="inlineStr">
        <is>
          <t>Blåsippa</t>
        </is>
      </c>
      <c r="S322">
        <f>HYPERLINK("https://klasma.github.io/Logging_0188/artfynd/A 39158-2025 artfynd.xlsx", "A 39158-2025")</f>
        <v/>
      </c>
      <c r="T322">
        <f>HYPERLINK("https://klasma.github.io/Logging_0188/kartor/A 39158-2025 karta.png", "A 39158-2025")</f>
        <v/>
      </c>
      <c r="V322">
        <f>HYPERLINK("https://klasma.github.io/Logging_0188/klagomål/A 39158-2025 FSC-klagomål.docx", "A 39158-2025")</f>
        <v/>
      </c>
      <c r="W322">
        <f>HYPERLINK("https://klasma.github.io/Logging_0188/klagomålsmail/A 39158-2025 FSC-klagomål mail.docx", "A 39158-2025")</f>
        <v/>
      </c>
      <c r="X322">
        <f>HYPERLINK("https://klasma.github.io/Logging_0188/tillsyn/A 39158-2025 tillsynsbegäran.docx", "A 39158-2025")</f>
        <v/>
      </c>
      <c r="Y322">
        <f>HYPERLINK("https://klasma.github.io/Logging_0188/tillsynsmail/A 39158-2025 tillsynsbegäran mail.docx", "A 39158-2025")</f>
        <v/>
      </c>
    </row>
    <row r="323" ht="15" customHeight="1">
      <c r="A323" t="inlineStr">
        <is>
          <t>A 48341-2025</t>
        </is>
      </c>
      <c r="B323" s="1" t="n">
        <v>45933</v>
      </c>
      <c r="C323" s="1" t="n">
        <v>46050</v>
      </c>
      <c r="D323" t="inlineStr">
        <is>
          <t>STOCKHOLMS LÄN</t>
        </is>
      </c>
      <c r="E323" t="inlineStr">
        <is>
          <t>SÖDERTÄLJE</t>
        </is>
      </c>
      <c r="F323" t="inlineStr">
        <is>
          <t>Övriga statliga verk och myndigheter</t>
        </is>
      </c>
      <c r="G323" t="n">
        <v>1</v>
      </c>
      <c r="H323" t="n">
        <v>0</v>
      </c>
      <c r="I323" t="n">
        <v>0</v>
      </c>
      <c r="J323" t="n">
        <v>0</v>
      </c>
      <c r="K323" t="n">
        <v>0</v>
      </c>
      <c r="L323" t="n">
        <v>1</v>
      </c>
      <c r="M323" t="n">
        <v>0</v>
      </c>
      <c r="N323" t="n">
        <v>0</v>
      </c>
      <c r="O323" t="n">
        <v>1</v>
      </c>
      <c r="P323" t="n">
        <v>1</v>
      </c>
      <c r="Q323" t="n">
        <v>1</v>
      </c>
      <c r="R323" s="2" t="inlineStr">
        <is>
          <t>Stor bockrot</t>
        </is>
      </c>
      <c r="S323">
        <f>HYPERLINK("https://klasma.github.io/Logging_0181/artfynd/A 48341-2025 artfynd.xlsx", "A 48341-2025")</f>
        <v/>
      </c>
      <c r="T323">
        <f>HYPERLINK("https://klasma.github.io/Logging_0181/kartor/A 48341-2025 karta.png", "A 48341-2025")</f>
        <v/>
      </c>
      <c r="U323">
        <f>HYPERLINK("https://klasma.github.io/Logging_0181/knärot/A 48341-2025 karta knärot.png", "A 48341-2025")</f>
        <v/>
      </c>
      <c r="V323">
        <f>HYPERLINK("https://klasma.github.io/Logging_0181/klagomål/A 48341-2025 FSC-klagomål.docx", "A 48341-2025")</f>
        <v/>
      </c>
      <c r="W323">
        <f>HYPERLINK("https://klasma.github.io/Logging_0181/klagomålsmail/A 48341-2025 FSC-klagomål mail.docx", "A 48341-2025")</f>
        <v/>
      </c>
      <c r="X323">
        <f>HYPERLINK("https://klasma.github.io/Logging_0181/tillsyn/A 48341-2025 tillsynsbegäran.docx", "A 48341-2025")</f>
        <v/>
      </c>
      <c r="Y323">
        <f>HYPERLINK("https://klasma.github.io/Logging_0181/tillsynsmail/A 48341-2025 tillsynsbegäran mail.docx", "A 48341-2025")</f>
        <v/>
      </c>
    </row>
    <row r="324" ht="15" customHeight="1">
      <c r="A324" t="inlineStr">
        <is>
          <t>A 36505-2025</t>
        </is>
      </c>
      <c r="B324" s="1" t="n">
        <v>45869.57192129629</v>
      </c>
      <c r="C324" s="1" t="n">
        <v>46050</v>
      </c>
      <c r="D324" t="inlineStr">
        <is>
          <t>STOCKHOLMS LÄN</t>
        </is>
      </c>
      <c r="E324" t="inlineStr">
        <is>
          <t>SÖDERTÄLJE</t>
        </is>
      </c>
      <c r="F324" t="inlineStr">
        <is>
          <t>Sveaskog</t>
        </is>
      </c>
      <c r="G324" t="n">
        <v>1.7</v>
      </c>
      <c r="H324" t="n">
        <v>1</v>
      </c>
      <c r="I324" t="n">
        <v>0</v>
      </c>
      <c r="J324" t="n">
        <v>0</v>
      </c>
      <c r="K324" t="n">
        <v>0</v>
      </c>
      <c r="L324" t="n">
        <v>0</v>
      </c>
      <c r="M324" t="n">
        <v>0</v>
      </c>
      <c r="N324" t="n">
        <v>0</v>
      </c>
      <c r="O324" t="n">
        <v>0</v>
      </c>
      <c r="P324" t="n">
        <v>0</v>
      </c>
      <c r="Q324" t="n">
        <v>1</v>
      </c>
      <c r="R324" s="2" t="inlineStr">
        <is>
          <t>Mattlummer</t>
        </is>
      </c>
      <c r="S324">
        <f>HYPERLINK("https://klasma.github.io/Logging_0181/artfynd/A 36505-2025 artfynd.xlsx", "A 36505-2025")</f>
        <v/>
      </c>
      <c r="T324">
        <f>HYPERLINK("https://klasma.github.io/Logging_0181/kartor/A 36505-2025 karta.png", "A 36505-2025")</f>
        <v/>
      </c>
      <c r="V324">
        <f>HYPERLINK("https://klasma.github.io/Logging_0181/klagomål/A 36505-2025 FSC-klagomål.docx", "A 36505-2025")</f>
        <v/>
      </c>
      <c r="W324">
        <f>HYPERLINK("https://klasma.github.io/Logging_0181/klagomålsmail/A 36505-2025 FSC-klagomål mail.docx", "A 36505-2025")</f>
        <v/>
      </c>
      <c r="X324">
        <f>HYPERLINK("https://klasma.github.io/Logging_0181/tillsyn/A 36505-2025 tillsynsbegäran.docx", "A 36505-2025")</f>
        <v/>
      </c>
      <c r="Y324">
        <f>HYPERLINK("https://klasma.github.io/Logging_0181/tillsynsmail/A 36505-2025 tillsynsbegäran mail.docx", "A 36505-2025")</f>
        <v/>
      </c>
    </row>
    <row r="325" ht="15" customHeight="1">
      <c r="A325" t="inlineStr">
        <is>
          <t>A 7890-2023</t>
        </is>
      </c>
      <c r="B325" s="1" t="n">
        <v>44973</v>
      </c>
      <c r="C325" s="1" t="n">
        <v>46050</v>
      </c>
      <c r="D325" t="inlineStr">
        <is>
          <t>STOCKHOLMS LÄN</t>
        </is>
      </c>
      <c r="E325" t="inlineStr">
        <is>
          <t>VALLENTUNA</t>
        </is>
      </c>
      <c r="G325" t="n">
        <v>0.5</v>
      </c>
      <c r="H325" t="n">
        <v>0</v>
      </c>
      <c r="I325" t="n">
        <v>0</v>
      </c>
      <c r="J325" t="n">
        <v>1</v>
      </c>
      <c r="K325" t="n">
        <v>0</v>
      </c>
      <c r="L325" t="n">
        <v>0</v>
      </c>
      <c r="M325" t="n">
        <v>0</v>
      </c>
      <c r="N325" t="n">
        <v>0</v>
      </c>
      <c r="O325" t="n">
        <v>1</v>
      </c>
      <c r="P325" t="n">
        <v>0</v>
      </c>
      <c r="Q325" t="n">
        <v>1</v>
      </c>
      <c r="R325" s="2" t="inlineStr">
        <is>
          <t>Ullticka</t>
        </is>
      </c>
      <c r="S325">
        <f>HYPERLINK("https://klasma.github.io/Logging_0115/artfynd/A 7890-2023 artfynd.xlsx", "A 7890-2023")</f>
        <v/>
      </c>
      <c r="T325">
        <f>HYPERLINK("https://klasma.github.io/Logging_0115/kartor/A 7890-2023 karta.png", "A 7890-2023")</f>
        <v/>
      </c>
      <c r="V325">
        <f>HYPERLINK("https://klasma.github.io/Logging_0115/klagomål/A 7890-2023 FSC-klagomål.docx", "A 7890-2023")</f>
        <v/>
      </c>
      <c r="W325">
        <f>HYPERLINK("https://klasma.github.io/Logging_0115/klagomålsmail/A 7890-2023 FSC-klagomål mail.docx", "A 7890-2023")</f>
        <v/>
      </c>
      <c r="X325">
        <f>HYPERLINK("https://klasma.github.io/Logging_0115/tillsyn/A 7890-2023 tillsynsbegäran.docx", "A 7890-2023")</f>
        <v/>
      </c>
      <c r="Y325">
        <f>HYPERLINK("https://klasma.github.io/Logging_0115/tillsynsmail/A 7890-2023 tillsynsbegäran mail.docx", "A 7890-2023")</f>
        <v/>
      </c>
    </row>
    <row r="326" ht="15" customHeight="1">
      <c r="A326" t="inlineStr">
        <is>
          <t>A 35155-2023</t>
        </is>
      </c>
      <c r="B326" s="1" t="n">
        <v>45145</v>
      </c>
      <c r="C326" s="1" t="n">
        <v>46050</v>
      </c>
      <c r="D326" t="inlineStr">
        <is>
          <t>STOCKHOLMS LÄN</t>
        </is>
      </c>
      <c r="E326" t="inlineStr">
        <is>
          <t>SÖDERTÄLJE</t>
        </is>
      </c>
      <c r="G326" t="n">
        <v>4.1</v>
      </c>
      <c r="H326" t="n">
        <v>1</v>
      </c>
      <c r="I326" t="n">
        <v>0</v>
      </c>
      <c r="J326" t="n">
        <v>0</v>
      </c>
      <c r="K326" t="n">
        <v>0</v>
      </c>
      <c r="L326" t="n">
        <v>0</v>
      </c>
      <c r="M326" t="n">
        <v>0</v>
      </c>
      <c r="N326" t="n">
        <v>0</v>
      </c>
      <c r="O326" t="n">
        <v>0</v>
      </c>
      <c r="P326" t="n">
        <v>0</v>
      </c>
      <c r="Q326" t="n">
        <v>1</v>
      </c>
      <c r="R326" s="2" t="inlineStr">
        <is>
          <t>Mattlummer</t>
        </is>
      </c>
      <c r="S326">
        <f>HYPERLINK("https://klasma.github.io/Logging_0181/artfynd/A 35155-2023 artfynd.xlsx", "A 35155-2023")</f>
        <v/>
      </c>
      <c r="T326">
        <f>HYPERLINK("https://klasma.github.io/Logging_0181/kartor/A 35155-2023 karta.png", "A 35155-2023")</f>
        <v/>
      </c>
      <c r="V326">
        <f>HYPERLINK("https://klasma.github.io/Logging_0181/klagomål/A 35155-2023 FSC-klagomål.docx", "A 35155-2023")</f>
        <v/>
      </c>
      <c r="W326">
        <f>HYPERLINK("https://klasma.github.io/Logging_0181/klagomålsmail/A 35155-2023 FSC-klagomål mail.docx", "A 35155-2023")</f>
        <v/>
      </c>
      <c r="X326">
        <f>HYPERLINK("https://klasma.github.io/Logging_0181/tillsyn/A 35155-2023 tillsynsbegäran.docx", "A 35155-2023")</f>
        <v/>
      </c>
      <c r="Y326">
        <f>HYPERLINK("https://klasma.github.io/Logging_0181/tillsynsmail/A 35155-2023 tillsynsbegäran mail.docx", "A 35155-2023")</f>
        <v/>
      </c>
    </row>
    <row r="327" ht="15" customHeight="1">
      <c r="A327" t="inlineStr">
        <is>
          <t>A 10059-2022</t>
        </is>
      </c>
      <c r="B327" s="1" t="n">
        <v>44621</v>
      </c>
      <c r="C327" s="1" t="n">
        <v>46050</v>
      </c>
      <c r="D327" t="inlineStr">
        <is>
          <t>STOCKHOLMS LÄN</t>
        </is>
      </c>
      <c r="E327" t="inlineStr">
        <is>
          <t>NYNÄSHAMN</t>
        </is>
      </c>
      <c r="G327" t="n">
        <v>17</v>
      </c>
      <c r="H327" t="n">
        <v>0</v>
      </c>
      <c r="I327" t="n">
        <v>1</v>
      </c>
      <c r="J327" t="n">
        <v>0</v>
      </c>
      <c r="K327" t="n">
        <v>0</v>
      </c>
      <c r="L327" t="n">
        <v>0</v>
      </c>
      <c r="M327" t="n">
        <v>0</v>
      </c>
      <c r="N327" t="n">
        <v>0</v>
      </c>
      <c r="O327" t="n">
        <v>0</v>
      </c>
      <c r="P327" t="n">
        <v>0</v>
      </c>
      <c r="Q327" t="n">
        <v>1</v>
      </c>
      <c r="R327" s="2" t="inlineStr">
        <is>
          <t>Bollvitmossa</t>
        </is>
      </c>
      <c r="S327">
        <f>HYPERLINK("https://klasma.github.io/Logging_0192/artfynd/A 10059-2022 artfynd.xlsx", "A 10059-2022")</f>
        <v/>
      </c>
      <c r="T327">
        <f>HYPERLINK("https://klasma.github.io/Logging_0192/kartor/A 10059-2022 karta.png", "A 10059-2022")</f>
        <v/>
      </c>
      <c r="V327">
        <f>HYPERLINK("https://klasma.github.io/Logging_0192/klagomål/A 10059-2022 FSC-klagomål.docx", "A 10059-2022")</f>
        <v/>
      </c>
      <c r="W327">
        <f>HYPERLINK("https://klasma.github.io/Logging_0192/klagomålsmail/A 10059-2022 FSC-klagomål mail.docx", "A 10059-2022")</f>
        <v/>
      </c>
      <c r="X327">
        <f>HYPERLINK("https://klasma.github.io/Logging_0192/tillsyn/A 10059-2022 tillsynsbegäran.docx", "A 10059-2022")</f>
        <v/>
      </c>
      <c r="Y327">
        <f>HYPERLINK("https://klasma.github.io/Logging_0192/tillsynsmail/A 10059-2022 tillsynsbegäran mail.docx", "A 10059-2022")</f>
        <v/>
      </c>
    </row>
    <row r="328" ht="15" customHeight="1">
      <c r="A328" t="inlineStr">
        <is>
          <t>A 49128-2025</t>
        </is>
      </c>
      <c r="B328" s="1" t="n">
        <v>45937.8944675926</v>
      </c>
      <c r="C328" s="1" t="n">
        <v>46050</v>
      </c>
      <c r="D328" t="inlineStr">
        <is>
          <t>STOCKHOLMS LÄN</t>
        </is>
      </c>
      <c r="E328" t="inlineStr">
        <is>
          <t>EKERÖ</t>
        </is>
      </c>
      <c r="G328" t="n">
        <v>3.6</v>
      </c>
      <c r="H328" t="n">
        <v>0</v>
      </c>
      <c r="I328" t="n">
        <v>1</v>
      </c>
      <c r="J328" t="n">
        <v>0</v>
      </c>
      <c r="K328" t="n">
        <v>0</v>
      </c>
      <c r="L328" t="n">
        <v>0</v>
      </c>
      <c r="M328" t="n">
        <v>0</v>
      </c>
      <c r="N328" t="n">
        <v>0</v>
      </c>
      <c r="O328" t="n">
        <v>0</v>
      </c>
      <c r="P328" t="n">
        <v>0</v>
      </c>
      <c r="Q328" t="n">
        <v>1</v>
      </c>
      <c r="R328" s="2" t="inlineStr">
        <is>
          <t>Rödgul trumpetsvamp</t>
        </is>
      </c>
      <c r="S328">
        <f>HYPERLINK("https://klasma.github.io/Logging_0125/artfynd/A 49128-2025 artfynd.xlsx", "A 49128-2025")</f>
        <v/>
      </c>
      <c r="T328">
        <f>HYPERLINK("https://klasma.github.io/Logging_0125/kartor/A 49128-2025 karta.png", "A 49128-2025")</f>
        <v/>
      </c>
      <c r="V328">
        <f>HYPERLINK("https://klasma.github.io/Logging_0125/klagomål/A 49128-2025 FSC-klagomål.docx", "A 49128-2025")</f>
        <v/>
      </c>
      <c r="W328">
        <f>HYPERLINK("https://klasma.github.io/Logging_0125/klagomålsmail/A 49128-2025 FSC-klagomål mail.docx", "A 49128-2025")</f>
        <v/>
      </c>
      <c r="X328">
        <f>HYPERLINK("https://klasma.github.io/Logging_0125/tillsyn/A 49128-2025 tillsynsbegäran.docx", "A 49128-2025")</f>
        <v/>
      </c>
      <c r="Y328">
        <f>HYPERLINK("https://klasma.github.io/Logging_0125/tillsynsmail/A 49128-2025 tillsynsbegäran mail.docx", "A 49128-2025")</f>
        <v/>
      </c>
    </row>
    <row r="329" ht="15" customHeight="1">
      <c r="A329" t="inlineStr">
        <is>
          <t>A 8371-2025</t>
        </is>
      </c>
      <c r="B329" s="1" t="n">
        <v>45708</v>
      </c>
      <c r="C329" s="1" t="n">
        <v>46050</v>
      </c>
      <c r="D329" t="inlineStr">
        <is>
          <t>STOCKHOLMS LÄN</t>
        </is>
      </c>
      <c r="E329" t="inlineStr">
        <is>
          <t>NORRTÄLJE</t>
        </is>
      </c>
      <c r="F329" t="inlineStr">
        <is>
          <t>Övriga Aktiebolag</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HYPERLINK("https://klasma.github.io/Logging_0188/artfynd/A 8371-2025 artfynd.xlsx", "A 8371-2025")</f>
        <v/>
      </c>
      <c r="T329">
        <f>HYPERLINK("https://klasma.github.io/Logging_0188/kartor/A 8371-2025 karta.png", "A 8371-2025")</f>
        <v/>
      </c>
      <c r="V329">
        <f>HYPERLINK("https://klasma.github.io/Logging_0188/klagomål/A 8371-2025 FSC-klagomål.docx", "A 8371-2025")</f>
        <v/>
      </c>
      <c r="W329">
        <f>HYPERLINK("https://klasma.github.io/Logging_0188/klagomålsmail/A 8371-2025 FSC-klagomål mail.docx", "A 8371-2025")</f>
        <v/>
      </c>
      <c r="X329">
        <f>HYPERLINK("https://klasma.github.io/Logging_0188/tillsyn/A 8371-2025 tillsynsbegäran.docx", "A 8371-2025")</f>
        <v/>
      </c>
      <c r="Y329">
        <f>HYPERLINK("https://klasma.github.io/Logging_0188/tillsynsmail/A 8371-2025 tillsynsbegäran mail.docx", "A 8371-2025")</f>
        <v/>
      </c>
      <c r="Z329">
        <f>HYPERLINK("https://klasma.github.io/Logging_0188/fåglar/A 8371-2025 prioriterade fågelarter.docx", "A 8371-2025")</f>
        <v/>
      </c>
    </row>
    <row r="330" ht="15" customHeight="1">
      <c r="A330" t="inlineStr">
        <is>
          <t>A 52791-2024</t>
        </is>
      </c>
      <c r="B330" s="1" t="n">
        <v>45610.55574074074</v>
      </c>
      <c r="C330" s="1" t="n">
        <v>46050</v>
      </c>
      <c r="D330" t="inlineStr">
        <is>
          <t>STOCKHOLMS LÄN</t>
        </is>
      </c>
      <c r="E330" t="inlineStr">
        <is>
          <t>SÖDERTÄLJE</t>
        </is>
      </c>
      <c r="G330" t="n">
        <v>0.7</v>
      </c>
      <c r="H330" t="n">
        <v>1</v>
      </c>
      <c r="I330" t="n">
        <v>0</v>
      </c>
      <c r="J330" t="n">
        <v>1</v>
      </c>
      <c r="K330" t="n">
        <v>0</v>
      </c>
      <c r="L330" t="n">
        <v>0</v>
      </c>
      <c r="M330" t="n">
        <v>0</v>
      </c>
      <c r="N330" t="n">
        <v>0</v>
      </c>
      <c r="O330" t="n">
        <v>1</v>
      </c>
      <c r="P330" t="n">
        <v>0</v>
      </c>
      <c r="Q330" t="n">
        <v>1</v>
      </c>
      <c r="R330" s="2" t="inlineStr">
        <is>
          <t>Spillkråka</t>
        </is>
      </c>
      <c r="S330">
        <f>HYPERLINK("https://klasma.github.io/Logging_0181/artfynd/A 52791-2024 artfynd.xlsx", "A 52791-2024")</f>
        <v/>
      </c>
      <c r="T330">
        <f>HYPERLINK("https://klasma.github.io/Logging_0181/kartor/A 52791-2024 karta.png", "A 52791-2024")</f>
        <v/>
      </c>
      <c r="U330">
        <f>HYPERLINK("https://klasma.github.io/Logging_0181/knärot/A 52791-2024 karta knärot.png", "A 52791-2024")</f>
        <v/>
      </c>
      <c r="V330">
        <f>HYPERLINK("https://klasma.github.io/Logging_0181/klagomål/A 52791-2024 FSC-klagomål.docx", "A 52791-2024")</f>
        <v/>
      </c>
      <c r="W330">
        <f>HYPERLINK("https://klasma.github.io/Logging_0181/klagomålsmail/A 52791-2024 FSC-klagomål mail.docx", "A 52791-2024")</f>
        <v/>
      </c>
      <c r="X330">
        <f>HYPERLINK("https://klasma.github.io/Logging_0181/tillsyn/A 52791-2024 tillsynsbegäran.docx", "A 52791-2024")</f>
        <v/>
      </c>
      <c r="Y330">
        <f>HYPERLINK("https://klasma.github.io/Logging_0181/tillsynsmail/A 52791-2024 tillsynsbegäran mail.docx", "A 52791-2024")</f>
        <v/>
      </c>
      <c r="Z330">
        <f>HYPERLINK("https://klasma.github.io/Logging_0181/fåglar/A 52791-2024 prioriterade fågelarter.docx", "A 52791-2024")</f>
        <v/>
      </c>
    </row>
    <row r="331" ht="15" customHeight="1">
      <c r="A331" t="inlineStr">
        <is>
          <t>A 22830-2024</t>
        </is>
      </c>
      <c r="B331" s="1" t="n">
        <v>45448.56583333333</v>
      </c>
      <c r="C331" s="1" t="n">
        <v>46050</v>
      </c>
      <c r="D331" t="inlineStr">
        <is>
          <t>STOCKHOLMS LÄN</t>
        </is>
      </c>
      <c r="E331" t="inlineStr">
        <is>
          <t>VALLENTUNA</t>
        </is>
      </c>
      <c r="G331" t="n">
        <v>0.3</v>
      </c>
      <c r="H331" t="n">
        <v>0</v>
      </c>
      <c r="I331" t="n">
        <v>0</v>
      </c>
      <c r="J331" t="n">
        <v>1</v>
      </c>
      <c r="K331" t="n">
        <v>0</v>
      </c>
      <c r="L331" t="n">
        <v>0</v>
      </c>
      <c r="M331" t="n">
        <v>0</v>
      </c>
      <c r="N331" t="n">
        <v>0</v>
      </c>
      <c r="O331" t="n">
        <v>1</v>
      </c>
      <c r="P331" t="n">
        <v>0</v>
      </c>
      <c r="Q331" t="n">
        <v>1</v>
      </c>
      <c r="R331" s="2" t="inlineStr">
        <is>
          <t>Tallticka</t>
        </is>
      </c>
      <c r="S331">
        <f>HYPERLINK("https://klasma.github.io/Logging_0115/artfynd/A 22830-2024 artfynd.xlsx", "A 22830-2024")</f>
        <v/>
      </c>
      <c r="T331">
        <f>HYPERLINK("https://klasma.github.io/Logging_0115/kartor/A 22830-2024 karta.png", "A 22830-2024")</f>
        <v/>
      </c>
      <c r="V331">
        <f>HYPERLINK("https://klasma.github.io/Logging_0115/klagomål/A 22830-2024 FSC-klagomål.docx", "A 22830-2024")</f>
        <v/>
      </c>
      <c r="W331">
        <f>HYPERLINK("https://klasma.github.io/Logging_0115/klagomålsmail/A 22830-2024 FSC-klagomål mail.docx", "A 22830-2024")</f>
        <v/>
      </c>
      <c r="X331">
        <f>HYPERLINK("https://klasma.github.io/Logging_0115/tillsyn/A 22830-2024 tillsynsbegäran.docx", "A 22830-2024")</f>
        <v/>
      </c>
      <c r="Y331">
        <f>HYPERLINK("https://klasma.github.io/Logging_0115/tillsynsmail/A 22830-2024 tillsynsbegäran mail.docx", "A 22830-2024")</f>
        <v/>
      </c>
    </row>
    <row r="332" ht="15" customHeight="1">
      <c r="A332" t="inlineStr">
        <is>
          <t>A 24330-2023</t>
        </is>
      </c>
      <c r="B332" s="1" t="n">
        <v>45081</v>
      </c>
      <c r="C332" s="1" t="n">
        <v>46050</v>
      </c>
      <c r="D332" t="inlineStr">
        <is>
          <t>STOCKHOLMS LÄN</t>
        </is>
      </c>
      <c r="E332" t="inlineStr">
        <is>
          <t>NORRTÄLJE</t>
        </is>
      </c>
      <c r="G332" t="n">
        <v>5</v>
      </c>
      <c r="H332" t="n">
        <v>1</v>
      </c>
      <c r="I332" t="n">
        <v>0</v>
      </c>
      <c r="J332" t="n">
        <v>1</v>
      </c>
      <c r="K332" t="n">
        <v>0</v>
      </c>
      <c r="L332" t="n">
        <v>0</v>
      </c>
      <c r="M332" t="n">
        <v>0</v>
      </c>
      <c r="N332" t="n">
        <v>0</v>
      </c>
      <c r="O332" t="n">
        <v>1</v>
      </c>
      <c r="P332" t="n">
        <v>0</v>
      </c>
      <c r="Q332" t="n">
        <v>1</v>
      </c>
      <c r="R332" s="2" t="inlineStr">
        <is>
          <t>Mindre hackspett</t>
        </is>
      </c>
      <c r="S332">
        <f>HYPERLINK("https://klasma.github.io/Logging_0188/artfynd/A 24330-2023 artfynd.xlsx", "A 24330-2023")</f>
        <v/>
      </c>
      <c r="T332">
        <f>HYPERLINK("https://klasma.github.io/Logging_0188/kartor/A 24330-2023 karta.png", "A 24330-2023")</f>
        <v/>
      </c>
      <c r="V332">
        <f>HYPERLINK("https://klasma.github.io/Logging_0188/klagomål/A 24330-2023 FSC-klagomål.docx", "A 24330-2023")</f>
        <v/>
      </c>
      <c r="W332">
        <f>HYPERLINK("https://klasma.github.io/Logging_0188/klagomålsmail/A 24330-2023 FSC-klagomål mail.docx", "A 24330-2023")</f>
        <v/>
      </c>
      <c r="X332">
        <f>HYPERLINK("https://klasma.github.io/Logging_0188/tillsyn/A 24330-2023 tillsynsbegäran.docx", "A 24330-2023")</f>
        <v/>
      </c>
      <c r="Y332">
        <f>HYPERLINK("https://klasma.github.io/Logging_0188/tillsynsmail/A 24330-2023 tillsynsbegäran mail.docx", "A 24330-2023")</f>
        <v/>
      </c>
      <c r="Z332">
        <f>HYPERLINK("https://klasma.github.io/Logging_0188/fåglar/A 24330-2023 prioriterade fågelarter.docx", "A 24330-2023")</f>
        <v/>
      </c>
    </row>
    <row r="333" ht="15" customHeight="1">
      <c r="A333" t="inlineStr">
        <is>
          <t>A 24368-2023</t>
        </is>
      </c>
      <c r="B333" s="1" t="n">
        <v>45076</v>
      </c>
      <c r="C333" s="1" t="n">
        <v>46050</v>
      </c>
      <c r="D333" t="inlineStr">
        <is>
          <t>STOCKHOLMS LÄN</t>
        </is>
      </c>
      <c r="E333" t="inlineStr">
        <is>
          <t>HUDDINGE</t>
        </is>
      </c>
      <c r="G333" t="n">
        <v>3</v>
      </c>
      <c r="H333" t="n">
        <v>1</v>
      </c>
      <c r="I333" t="n">
        <v>1</v>
      </c>
      <c r="J333" t="n">
        <v>0</v>
      </c>
      <c r="K333" t="n">
        <v>0</v>
      </c>
      <c r="L333" t="n">
        <v>0</v>
      </c>
      <c r="M333" t="n">
        <v>0</v>
      </c>
      <c r="N333" t="n">
        <v>0</v>
      </c>
      <c r="O333" t="n">
        <v>0</v>
      </c>
      <c r="P333" t="n">
        <v>0</v>
      </c>
      <c r="Q333" t="n">
        <v>1</v>
      </c>
      <c r="R333" s="2" t="inlineStr">
        <is>
          <t>Plattlummer</t>
        </is>
      </c>
      <c r="S333">
        <f>HYPERLINK("https://klasma.github.io/Logging_0126/artfynd/A 24368-2023 artfynd.xlsx", "A 24368-2023")</f>
        <v/>
      </c>
      <c r="T333">
        <f>HYPERLINK("https://klasma.github.io/Logging_0126/kartor/A 24368-2023 karta.png", "A 24368-2023")</f>
        <v/>
      </c>
      <c r="V333">
        <f>HYPERLINK("https://klasma.github.io/Logging_0126/klagomål/A 24368-2023 FSC-klagomål.docx", "A 24368-2023")</f>
        <v/>
      </c>
      <c r="W333">
        <f>HYPERLINK("https://klasma.github.io/Logging_0126/klagomålsmail/A 24368-2023 FSC-klagomål mail.docx", "A 24368-2023")</f>
        <v/>
      </c>
      <c r="X333">
        <f>HYPERLINK("https://klasma.github.io/Logging_0126/tillsyn/A 24368-2023 tillsynsbegäran.docx", "A 24368-2023")</f>
        <v/>
      </c>
      <c r="Y333">
        <f>HYPERLINK("https://klasma.github.io/Logging_0126/tillsynsmail/A 24368-2023 tillsynsbegäran mail.docx", "A 24368-2023")</f>
        <v/>
      </c>
    </row>
    <row r="334" ht="15" customHeight="1">
      <c r="A334" t="inlineStr">
        <is>
          <t>A 21744-2023</t>
        </is>
      </c>
      <c r="B334" s="1" t="n">
        <v>45065</v>
      </c>
      <c r="C334" s="1" t="n">
        <v>46050</v>
      </c>
      <c r="D334" t="inlineStr">
        <is>
          <t>STOCKHOLMS LÄN</t>
        </is>
      </c>
      <c r="E334" t="inlineStr">
        <is>
          <t>NORRTÄLJE</t>
        </is>
      </c>
      <c r="F334" t="inlineStr">
        <is>
          <t>Holmen skog AB</t>
        </is>
      </c>
      <c r="G334" t="n">
        <v>4.2</v>
      </c>
      <c r="H334" t="n">
        <v>0</v>
      </c>
      <c r="I334" t="n">
        <v>1</v>
      </c>
      <c r="J334" t="n">
        <v>0</v>
      </c>
      <c r="K334" t="n">
        <v>0</v>
      </c>
      <c r="L334" t="n">
        <v>0</v>
      </c>
      <c r="M334" t="n">
        <v>0</v>
      </c>
      <c r="N334" t="n">
        <v>0</v>
      </c>
      <c r="O334" t="n">
        <v>0</v>
      </c>
      <c r="P334" t="n">
        <v>0</v>
      </c>
      <c r="Q334" t="n">
        <v>1</v>
      </c>
      <c r="R334" s="2" t="inlineStr">
        <is>
          <t>Korallblylav</t>
        </is>
      </c>
      <c r="S334">
        <f>HYPERLINK("https://klasma.github.io/Logging_0188/artfynd/A 21744-2023 artfynd.xlsx", "A 21744-2023")</f>
        <v/>
      </c>
      <c r="T334">
        <f>HYPERLINK("https://klasma.github.io/Logging_0188/kartor/A 21744-2023 karta.png", "A 21744-2023")</f>
        <v/>
      </c>
      <c r="V334">
        <f>HYPERLINK("https://klasma.github.io/Logging_0188/klagomål/A 21744-2023 FSC-klagomål.docx", "A 21744-2023")</f>
        <v/>
      </c>
      <c r="W334">
        <f>HYPERLINK("https://klasma.github.io/Logging_0188/klagomålsmail/A 21744-2023 FSC-klagomål mail.docx", "A 21744-2023")</f>
        <v/>
      </c>
      <c r="X334">
        <f>HYPERLINK("https://klasma.github.io/Logging_0188/tillsyn/A 21744-2023 tillsynsbegäran.docx", "A 21744-2023")</f>
        <v/>
      </c>
      <c r="Y334">
        <f>HYPERLINK("https://klasma.github.io/Logging_0188/tillsynsmail/A 21744-2023 tillsynsbegäran mail.docx", "A 21744-2023")</f>
        <v/>
      </c>
    </row>
    <row r="335" ht="15" customHeight="1">
      <c r="A335" t="inlineStr">
        <is>
          <t>A 38968-2025</t>
        </is>
      </c>
      <c r="B335" s="1" t="n">
        <v>45887.70863425926</v>
      </c>
      <c r="C335" s="1" t="n">
        <v>46050</v>
      </c>
      <c r="D335" t="inlineStr">
        <is>
          <t>STOCKHOLMS LÄN</t>
        </is>
      </c>
      <c r="E335" t="inlineStr">
        <is>
          <t>ÖSTERÅKER</t>
        </is>
      </c>
      <c r="G335" t="n">
        <v>7.2</v>
      </c>
      <c r="H335" t="n">
        <v>0</v>
      </c>
      <c r="I335" t="n">
        <v>1</v>
      </c>
      <c r="J335" t="n">
        <v>0</v>
      </c>
      <c r="K335" t="n">
        <v>0</v>
      </c>
      <c r="L335" t="n">
        <v>0</v>
      </c>
      <c r="M335" t="n">
        <v>0</v>
      </c>
      <c r="N335" t="n">
        <v>0</v>
      </c>
      <c r="O335" t="n">
        <v>0</v>
      </c>
      <c r="P335" t="n">
        <v>0</v>
      </c>
      <c r="Q335" t="n">
        <v>1</v>
      </c>
      <c r="R335" s="2" t="inlineStr">
        <is>
          <t>Fjällig taggsvamp s.str.</t>
        </is>
      </c>
      <c r="S335">
        <f>HYPERLINK("https://klasma.github.io/Logging_0117/artfynd/A 38968-2025 artfynd.xlsx", "A 38968-2025")</f>
        <v/>
      </c>
      <c r="T335">
        <f>HYPERLINK("https://klasma.github.io/Logging_0117/kartor/A 38968-2025 karta.png", "A 38968-2025")</f>
        <v/>
      </c>
      <c r="V335">
        <f>HYPERLINK("https://klasma.github.io/Logging_0117/klagomål/A 38968-2025 FSC-klagomål.docx", "A 38968-2025")</f>
        <v/>
      </c>
      <c r="W335">
        <f>HYPERLINK("https://klasma.github.io/Logging_0117/klagomålsmail/A 38968-2025 FSC-klagomål mail.docx", "A 38968-2025")</f>
        <v/>
      </c>
      <c r="X335">
        <f>HYPERLINK("https://klasma.github.io/Logging_0117/tillsyn/A 38968-2025 tillsynsbegäran.docx", "A 38968-2025")</f>
        <v/>
      </c>
      <c r="Y335">
        <f>HYPERLINK("https://klasma.github.io/Logging_0117/tillsynsmail/A 38968-2025 tillsynsbegäran mail.docx", "A 38968-2025")</f>
        <v/>
      </c>
    </row>
    <row r="336" ht="15" customHeight="1">
      <c r="A336" t="inlineStr">
        <is>
          <t>A 52775-2025</t>
        </is>
      </c>
      <c r="B336" s="1" t="n">
        <v>45957.41608796296</v>
      </c>
      <c r="C336" s="1" t="n">
        <v>46050</v>
      </c>
      <c r="D336" t="inlineStr">
        <is>
          <t>STOCKHOLMS LÄN</t>
        </is>
      </c>
      <c r="E336" t="inlineStr">
        <is>
          <t>NORRTÄLJE</t>
        </is>
      </c>
      <c r="F336" t="inlineStr">
        <is>
          <t>Sveaskog</t>
        </is>
      </c>
      <c r="G336" t="n">
        <v>5.6</v>
      </c>
      <c r="H336" t="n">
        <v>0</v>
      </c>
      <c r="I336" t="n">
        <v>0</v>
      </c>
      <c r="J336" t="n">
        <v>1</v>
      </c>
      <c r="K336" t="n">
        <v>0</v>
      </c>
      <c r="L336" t="n">
        <v>0</v>
      </c>
      <c r="M336" t="n">
        <v>0</v>
      </c>
      <c r="N336" t="n">
        <v>0</v>
      </c>
      <c r="O336" t="n">
        <v>1</v>
      </c>
      <c r="P336" t="n">
        <v>0</v>
      </c>
      <c r="Q336" t="n">
        <v>1</v>
      </c>
      <c r="R336" s="2" t="inlineStr">
        <is>
          <t>Vedtrappmossa</t>
        </is>
      </c>
      <c r="S336">
        <f>HYPERLINK("https://klasma.github.io/Logging_0188/artfynd/A 52775-2025 artfynd.xlsx", "A 52775-2025")</f>
        <v/>
      </c>
      <c r="T336">
        <f>HYPERLINK("https://klasma.github.io/Logging_0188/kartor/A 52775-2025 karta.png", "A 52775-2025")</f>
        <v/>
      </c>
      <c r="V336">
        <f>HYPERLINK("https://klasma.github.io/Logging_0188/klagomål/A 52775-2025 FSC-klagomål.docx", "A 52775-2025")</f>
        <v/>
      </c>
      <c r="W336">
        <f>HYPERLINK("https://klasma.github.io/Logging_0188/klagomålsmail/A 52775-2025 FSC-klagomål mail.docx", "A 52775-2025")</f>
        <v/>
      </c>
      <c r="X336">
        <f>HYPERLINK("https://klasma.github.io/Logging_0188/tillsyn/A 52775-2025 tillsynsbegäran.docx", "A 52775-2025")</f>
        <v/>
      </c>
      <c r="Y336">
        <f>HYPERLINK("https://klasma.github.io/Logging_0188/tillsynsmail/A 52775-2025 tillsynsbegäran mail.docx", "A 52775-2025")</f>
        <v/>
      </c>
    </row>
    <row r="337" ht="15" customHeight="1">
      <c r="A337" t="inlineStr">
        <is>
          <t>A 53357-2025</t>
        </is>
      </c>
      <c r="B337" s="1" t="n">
        <v>45959.46942129629</v>
      </c>
      <c r="C337" s="1" t="n">
        <v>46050</v>
      </c>
      <c r="D337" t="inlineStr">
        <is>
          <t>STOCKHOLMS LÄN</t>
        </is>
      </c>
      <c r="E337" t="inlineStr">
        <is>
          <t>UPPLANDS-BRO</t>
        </is>
      </c>
      <c r="G337" t="n">
        <v>2.4</v>
      </c>
      <c r="H337" t="n">
        <v>1</v>
      </c>
      <c r="I337" t="n">
        <v>0</v>
      </c>
      <c r="J337" t="n">
        <v>0</v>
      </c>
      <c r="K337" t="n">
        <v>1</v>
      </c>
      <c r="L337" t="n">
        <v>0</v>
      </c>
      <c r="M337" t="n">
        <v>0</v>
      </c>
      <c r="N337" t="n">
        <v>0</v>
      </c>
      <c r="O337" t="n">
        <v>1</v>
      </c>
      <c r="P337" t="n">
        <v>1</v>
      </c>
      <c r="Q337" t="n">
        <v>1</v>
      </c>
      <c r="R337" s="2" t="inlineStr">
        <is>
          <t>Bombmurkla</t>
        </is>
      </c>
      <c r="S337">
        <f>HYPERLINK("https://klasma.github.io/Logging_0139/artfynd/A 53357-2025 artfynd.xlsx", "A 53357-2025")</f>
        <v/>
      </c>
      <c r="T337">
        <f>HYPERLINK("https://klasma.github.io/Logging_0139/kartor/A 53357-2025 karta.png", "A 53357-2025")</f>
        <v/>
      </c>
      <c r="V337">
        <f>HYPERLINK("https://klasma.github.io/Logging_0139/klagomål/A 53357-2025 FSC-klagomål.docx", "A 53357-2025")</f>
        <v/>
      </c>
      <c r="W337">
        <f>HYPERLINK("https://klasma.github.io/Logging_0139/klagomålsmail/A 53357-2025 FSC-klagomål mail.docx", "A 53357-2025")</f>
        <v/>
      </c>
      <c r="X337">
        <f>HYPERLINK("https://klasma.github.io/Logging_0139/tillsyn/A 53357-2025 tillsynsbegäran.docx", "A 53357-2025")</f>
        <v/>
      </c>
      <c r="Y337">
        <f>HYPERLINK("https://klasma.github.io/Logging_0139/tillsynsmail/A 53357-2025 tillsynsbegäran mail.docx", "A 53357-2025")</f>
        <v/>
      </c>
    </row>
    <row r="338" ht="15" customHeight="1">
      <c r="A338" t="inlineStr">
        <is>
          <t>A 52611-2024</t>
        </is>
      </c>
      <c r="B338" s="1" t="n">
        <v>45609.83747685186</v>
      </c>
      <c r="C338" s="1" t="n">
        <v>46050</v>
      </c>
      <c r="D338" t="inlineStr">
        <is>
          <t>STOCKHOLMS LÄN</t>
        </is>
      </c>
      <c r="E338" t="inlineStr">
        <is>
          <t>NORRTÄLJE</t>
        </is>
      </c>
      <c r="G338" t="n">
        <v>10.6</v>
      </c>
      <c r="H338" t="n">
        <v>1</v>
      </c>
      <c r="I338" t="n">
        <v>0</v>
      </c>
      <c r="J338" t="n">
        <v>0</v>
      </c>
      <c r="K338" t="n">
        <v>0</v>
      </c>
      <c r="L338" t="n">
        <v>0</v>
      </c>
      <c r="M338" t="n">
        <v>0</v>
      </c>
      <c r="N338" t="n">
        <v>0</v>
      </c>
      <c r="O338" t="n">
        <v>0</v>
      </c>
      <c r="P338" t="n">
        <v>0</v>
      </c>
      <c r="Q338" t="n">
        <v>1</v>
      </c>
      <c r="R338" s="2" t="inlineStr">
        <is>
          <t>Blåsippa</t>
        </is>
      </c>
      <c r="S338">
        <f>HYPERLINK("https://klasma.github.io/Logging_0188/artfynd/A 52611-2024 artfynd.xlsx", "A 52611-2024")</f>
        <v/>
      </c>
      <c r="T338">
        <f>HYPERLINK("https://klasma.github.io/Logging_0188/kartor/A 52611-2024 karta.png", "A 52611-2024")</f>
        <v/>
      </c>
      <c r="V338">
        <f>HYPERLINK("https://klasma.github.io/Logging_0188/klagomål/A 52611-2024 FSC-klagomål.docx", "A 52611-2024")</f>
        <v/>
      </c>
      <c r="W338">
        <f>HYPERLINK("https://klasma.github.io/Logging_0188/klagomålsmail/A 52611-2024 FSC-klagomål mail.docx", "A 52611-2024")</f>
        <v/>
      </c>
      <c r="X338">
        <f>HYPERLINK("https://klasma.github.io/Logging_0188/tillsyn/A 52611-2024 tillsynsbegäran.docx", "A 52611-2024")</f>
        <v/>
      </c>
      <c r="Y338">
        <f>HYPERLINK("https://klasma.github.io/Logging_0188/tillsynsmail/A 52611-2024 tillsynsbegäran mail.docx", "A 52611-2024")</f>
        <v/>
      </c>
    </row>
    <row r="339" ht="15" customHeight="1">
      <c r="A339" t="inlineStr">
        <is>
          <t>A 17952-2022</t>
        </is>
      </c>
      <c r="B339" s="1" t="n">
        <v>44683</v>
      </c>
      <c r="C339" s="1" t="n">
        <v>46050</v>
      </c>
      <c r="D339" t="inlineStr">
        <is>
          <t>STOCKHOLMS LÄN</t>
        </is>
      </c>
      <c r="E339" t="inlineStr">
        <is>
          <t>NORRTÄLJE</t>
        </is>
      </c>
      <c r="G339" t="n">
        <v>51.1</v>
      </c>
      <c r="H339" t="n">
        <v>0</v>
      </c>
      <c r="I339" t="n">
        <v>0</v>
      </c>
      <c r="J339" t="n">
        <v>0</v>
      </c>
      <c r="K339" t="n">
        <v>1</v>
      </c>
      <c r="L339" t="n">
        <v>0</v>
      </c>
      <c r="M339" t="n">
        <v>0</v>
      </c>
      <c r="N339" t="n">
        <v>0</v>
      </c>
      <c r="O339" t="n">
        <v>1</v>
      </c>
      <c r="P339" t="n">
        <v>1</v>
      </c>
      <c r="Q339" t="n">
        <v>1</v>
      </c>
      <c r="R339" s="2" t="inlineStr">
        <is>
          <t>Kattunvisslare</t>
        </is>
      </c>
      <c r="S339">
        <f>HYPERLINK("https://klasma.github.io/Logging_0188/artfynd/A 17952-2022 artfynd.xlsx", "A 17952-2022")</f>
        <v/>
      </c>
      <c r="T339">
        <f>HYPERLINK("https://klasma.github.io/Logging_0188/kartor/A 17952-2022 karta.png", "A 17952-2022")</f>
        <v/>
      </c>
      <c r="V339">
        <f>HYPERLINK("https://klasma.github.io/Logging_0188/klagomål/A 17952-2022 FSC-klagomål.docx", "A 17952-2022")</f>
        <v/>
      </c>
      <c r="W339">
        <f>HYPERLINK("https://klasma.github.io/Logging_0188/klagomålsmail/A 17952-2022 FSC-klagomål mail.docx", "A 17952-2022")</f>
        <v/>
      </c>
      <c r="X339">
        <f>HYPERLINK("https://klasma.github.io/Logging_0188/tillsyn/A 17952-2022 tillsynsbegäran.docx", "A 17952-2022")</f>
        <v/>
      </c>
      <c r="Y339">
        <f>HYPERLINK("https://klasma.github.io/Logging_0188/tillsynsmail/A 17952-2022 tillsynsbegäran mail.docx", "A 17952-2022")</f>
        <v/>
      </c>
    </row>
    <row r="340" ht="15" customHeight="1">
      <c r="A340" t="inlineStr">
        <is>
          <t>A 53716-2025</t>
        </is>
      </c>
      <c r="B340" s="1" t="n">
        <v>45960.61782407408</v>
      </c>
      <c r="C340" s="1" t="n">
        <v>46050</v>
      </c>
      <c r="D340" t="inlineStr">
        <is>
          <t>STOCKHOLMS LÄN</t>
        </is>
      </c>
      <c r="E340" t="inlineStr">
        <is>
          <t>NORRTÄLJE</t>
        </is>
      </c>
      <c r="G340" t="n">
        <v>3.4</v>
      </c>
      <c r="H340" t="n">
        <v>0</v>
      </c>
      <c r="I340" t="n">
        <v>0</v>
      </c>
      <c r="J340" t="n">
        <v>0</v>
      </c>
      <c r="K340" t="n">
        <v>0</v>
      </c>
      <c r="L340" t="n">
        <v>1</v>
      </c>
      <c r="M340" t="n">
        <v>0</v>
      </c>
      <c r="N340" t="n">
        <v>0</v>
      </c>
      <c r="O340" t="n">
        <v>1</v>
      </c>
      <c r="P340" t="n">
        <v>1</v>
      </c>
      <c r="Q340" t="n">
        <v>1</v>
      </c>
      <c r="R340" s="2" t="inlineStr">
        <is>
          <t>Fältgentiana</t>
        </is>
      </c>
      <c r="S340">
        <f>HYPERLINK("https://klasma.github.io/Logging_0188/artfynd/A 53716-2025 artfynd.xlsx", "A 53716-2025")</f>
        <v/>
      </c>
      <c r="T340">
        <f>HYPERLINK("https://klasma.github.io/Logging_0188/kartor/A 53716-2025 karta.png", "A 53716-2025")</f>
        <v/>
      </c>
      <c r="V340">
        <f>HYPERLINK("https://klasma.github.io/Logging_0188/klagomål/A 53716-2025 FSC-klagomål.docx", "A 53716-2025")</f>
        <v/>
      </c>
      <c r="W340">
        <f>HYPERLINK("https://klasma.github.io/Logging_0188/klagomålsmail/A 53716-2025 FSC-klagomål mail.docx", "A 53716-2025")</f>
        <v/>
      </c>
      <c r="X340">
        <f>HYPERLINK("https://klasma.github.io/Logging_0188/tillsyn/A 53716-2025 tillsynsbegäran.docx", "A 53716-2025")</f>
        <v/>
      </c>
      <c r="Y340">
        <f>HYPERLINK("https://klasma.github.io/Logging_0188/tillsynsmail/A 53716-2025 tillsynsbegäran mail.docx", "A 53716-2025")</f>
        <v/>
      </c>
    </row>
    <row r="341" ht="15" customHeight="1">
      <c r="A341" t="inlineStr">
        <is>
          <t>A 35013-2024</t>
        </is>
      </c>
      <c r="B341" s="1" t="n">
        <v>45527</v>
      </c>
      <c r="C341" s="1" t="n">
        <v>46050</v>
      </c>
      <c r="D341" t="inlineStr">
        <is>
          <t>STOCKHOLMS LÄN</t>
        </is>
      </c>
      <c r="E341" t="inlineStr">
        <is>
          <t>SÖDERTÄLJE</t>
        </is>
      </c>
      <c r="F341" t="inlineStr">
        <is>
          <t>Sveaskog</t>
        </is>
      </c>
      <c r="G341" t="n">
        <v>5.8</v>
      </c>
      <c r="H341" t="n">
        <v>0</v>
      </c>
      <c r="I341" t="n">
        <v>1</v>
      </c>
      <c r="J341" t="n">
        <v>0</v>
      </c>
      <c r="K341" t="n">
        <v>0</v>
      </c>
      <c r="L341" t="n">
        <v>0</v>
      </c>
      <c r="M341" t="n">
        <v>0</v>
      </c>
      <c r="N341" t="n">
        <v>0</v>
      </c>
      <c r="O341" t="n">
        <v>0</v>
      </c>
      <c r="P341" t="n">
        <v>0</v>
      </c>
      <c r="Q341" t="n">
        <v>1</v>
      </c>
      <c r="R341" s="2" t="inlineStr">
        <is>
          <t>Platt fjädermossa</t>
        </is>
      </c>
      <c r="S341">
        <f>HYPERLINK("https://klasma.github.io/Logging_0181/artfynd/A 35013-2024 artfynd.xlsx", "A 35013-2024")</f>
        <v/>
      </c>
      <c r="T341">
        <f>HYPERLINK("https://klasma.github.io/Logging_0181/kartor/A 35013-2024 karta.png", "A 35013-2024")</f>
        <v/>
      </c>
      <c r="V341">
        <f>HYPERLINK("https://klasma.github.io/Logging_0181/klagomål/A 35013-2024 FSC-klagomål.docx", "A 35013-2024")</f>
        <v/>
      </c>
      <c r="W341">
        <f>HYPERLINK("https://klasma.github.io/Logging_0181/klagomålsmail/A 35013-2024 FSC-klagomål mail.docx", "A 35013-2024")</f>
        <v/>
      </c>
      <c r="X341">
        <f>HYPERLINK("https://klasma.github.io/Logging_0181/tillsyn/A 35013-2024 tillsynsbegäran.docx", "A 35013-2024")</f>
        <v/>
      </c>
      <c r="Y341">
        <f>HYPERLINK("https://klasma.github.io/Logging_0181/tillsynsmail/A 35013-2024 tillsynsbegäran mail.docx", "A 35013-2024")</f>
        <v/>
      </c>
    </row>
    <row r="342" ht="15" customHeight="1">
      <c r="A342" t="inlineStr">
        <is>
          <t>A 54481-2025</t>
        </is>
      </c>
      <c r="B342" s="1" t="n">
        <v>45965.58837962963</v>
      </c>
      <c r="C342" s="1" t="n">
        <v>46050</v>
      </c>
      <c r="D342" t="inlineStr">
        <is>
          <t>STOCKHOLMS LÄN</t>
        </is>
      </c>
      <c r="E342" t="inlineStr">
        <is>
          <t>VALLENTUNA</t>
        </is>
      </c>
      <c r="G342" t="n">
        <v>1.4</v>
      </c>
      <c r="H342" t="n">
        <v>0</v>
      </c>
      <c r="I342" t="n">
        <v>0</v>
      </c>
      <c r="J342" t="n">
        <v>1</v>
      </c>
      <c r="K342" t="n">
        <v>0</v>
      </c>
      <c r="L342" t="n">
        <v>0</v>
      </c>
      <c r="M342" t="n">
        <v>0</v>
      </c>
      <c r="N342" t="n">
        <v>0</v>
      </c>
      <c r="O342" t="n">
        <v>1</v>
      </c>
      <c r="P342" t="n">
        <v>0</v>
      </c>
      <c r="Q342" t="n">
        <v>1</v>
      </c>
      <c r="R342" s="2" t="inlineStr">
        <is>
          <t>Gullklöver</t>
        </is>
      </c>
      <c r="S342">
        <f>HYPERLINK("https://klasma.github.io/Logging_0115/artfynd/A 54481-2025 artfynd.xlsx", "A 54481-2025")</f>
        <v/>
      </c>
      <c r="T342">
        <f>HYPERLINK("https://klasma.github.io/Logging_0115/kartor/A 54481-2025 karta.png", "A 54481-2025")</f>
        <v/>
      </c>
      <c r="V342">
        <f>HYPERLINK("https://klasma.github.io/Logging_0115/klagomål/A 54481-2025 FSC-klagomål.docx", "A 54481-2025")</f>
        <v/>
      </c>
      <c r="W342">
        <f>HYPERLINK("https://klasma.github.io/Logging_0115/klagomålsmail/A 54481-2025 FSC-klagomål mail.docx", "A 54481-2025")</f>
        <v/>
      </c>
      <c r="X342">
        <f>HYPERLINK("https://klasma.github.io/Logging_0115/tillsyn/A 54481-2025 tillsynsbegäran.docx", "A 54481-2025")</f>
        <v/>
      </c>
      <c r="Y342">
        <f>HYPERLINK("https://klasma.github.io/Logging_0115/tillsynsmail/A 54481-2025 tillsynsbegäran mail.docx", "A 54481-2025")</f>
        <v/>
      </c>
    </row>
    <row r="343" ht="15" customHeight="1">
      <c r="A343" t="inlineStr">
        <is>
          <t>A 16870-2025</t>
        </is>
      </c>
      <c r="B343" s="1" t="n">
        <v>45754</v>
      </c>
      <c r="C343" s="1" t="n">
        <v>46050</v>
      </c>
      <c r="D343" t="inlineStr">
        <is>
          <t>STOCKHOLMS LÄN</t>
        </is>
      </c>
      <c r="E343" t="inlineStr">
        <is>
          <t>NORRTÄLJE</t>
        </is>
      </c>
      <c r="G343" t="n">
        <v>24.6</v>
      </c>
      <c r="H343" t="n">
        <v>1</v>
      </c>
      <c r="I343" t="n">
        <v>0</v>
      </c>
      <c r="J343" t="n">
        <v>0</v>
      </c>
      <c r="K343" t="n">
        <v>0</v>
      </c>
      <c r="L343" t="n">
        <v>0</v>
      </c>
      <c r="M343" t="n">
        <v>0</v>
      </c>
      <c r="N343" t="n">
        <v>0</v>
      </c>
      <c r="O343" t="n">
        <v>0</v>
      </c>
      <c r="P343" t="n">
        <v>0</v>
      </c>
      <c r="Q343" t="n">
        <v>1</v>
      </c>
      <c r="R343" s="2" t="inlineStr">
        <is>
          <t>Vanlig groda</t>
        </is>
      </c>
      <c r="S343">
        <f>HYPERLINK("https://klasma.github.io/Logging_0188/artfynd/A 16870-2025 artfynd.xlsx", "A 16870-2025")</f>
        <v/>
      </c>
      <c r="T343">
        <f>HYPERLINK("https://klasma.github.io/Logging_0188/kartor/A 16870-2025 karta.png", "A 16870-2025")</f>
        <v/>
      </c>
      <c r="V343">
        <f>HYPERLINK("https://klasma.github.io/Logging_0188/klagomål/A 16870-2025 FSC-klagomål.docx", "A 16870-2025")</f>
        <v/>
      </c>
      <c r="W343">
        <f>HYPERLINK("https://klasma.github.io/Logging_0188/klagomålsmail/A 16870-2025 FSC-klagomål mail.docx", "A 16870-2025")</f>
        <v/>
      </c>
      <c r="X343">
        <f>HYPERLINK("https://klasma.github.io/Logging_0188/tillsyn/A 16870-2025 tillsynsbegäran.docx", "A 16870-2025")</f>
        <v/>
      </c>
      <c r="Y343">
        <f>HYPERLINK("https://klasma.github.io/Logging_0188/tillsynsmail/A 16870-2025 tillsynsbegäran mail.docx", "A 16870-2025")</f>
        <v/>
      </c>
    </row>
    <row r="344" ht="15" customHeight="1">
      <c r="A344" t="inlineStr">
        <is>
          <t>A 55044-2025</t>
        </is>
      </c>
      <c r="B344" s="1" t="n">
        <v>45967.66005787037</v>
      </c>
      <c r="C344" s="1" t="n">
        <v>46050</v>
      </c>
      <c r="D344" t="inlineStr">
        <is>
          <t>STOCKHOLMS LÄN</t>
        </is>
      </c>
      <c r="E344" t="inlineStr">
        <is>
          <t>SÖDERTÄLJE</t>
        </is>
      </c>
      <c r="G344" t="n">
        <v>3.8</v>
      </c>
      <c r="H344" t="n">
        <v>1</v>
      </c>
      <c r="I344" t="n">
        <v>0</v>
      </c>
      <c r="J344" t="n">
        <v>1</v>
      </c>
      <c r="K344" t="n">
        <v>0</v>
      </c>
      <c r="L344" t="n">
        <v>0</v>
      </c>
      <c r="M344" t="n">
        <v>0</v>
      </c>
      <c r="N344" t="n">
        <v>0</v>
      </c>
      <c r="O344" t="n">
        <v>1</v>
      </c>
      <c r="P344" t="n">
        <v>0</v>
      </c>
      <c r="Q344" t="n">
        <v>1</v>
      </c>
      <c r="R344" s="2" t="inlineStr">
        <is>
          <t>Spillkråka</t>
        </is>
      </c>
      <c r="S344">
        <f>HYPERLINK("https://klasma.github.io/Logging_0181/artfynd/A 55044-2025 artfynd.xlsx", "A 55044-2025")</f>
        <v/>
      </c>
      <c r="T344">
        <f>HYPERLINK("https://klasma.github.io/Logging_0181/kartor/A 55044-2025 karta.png", "A 55044-2025")</f>
        <v/>
      </c>
      <c r="V344">
        <f>HYPERLINK("https://klasma.github.io/Logging_0181/klagomål/A 55044-2025 FSC-klagomål.docx", "A 55044-2025")</f>
        <v/>
      </c>
      <c r="W344">
        <f>HYPERLINK("https://klasma.github.io/Logging_0181/klagomålsmail/A 55044-2025 FSC-klagomål mail.docx", "A 55044-2025")</f>
        <v/>
      </c>
      <c r="X344">
        <f>HYPERLINK("https://klasma.github.io/Logging_0181/tillsyn/A 55044-2025 tillsynsbegäran.docx", "A 55044-2025")</f>
        <v/>
      </c>
      <c r="Y344">
        <f>HYPERLINK("https://klasma.github.io/Logging_0181/tillsynsmail/A 55044-2025 tillsynsbegäran mail.docx", "A 55044-2025")</f>
        <v/>
      </c>
      <c r="Z344">
        <f>HYPERLINK("https://klasma.github.io/Logging_0181/fåglar/A 55044-2025 prioriterade fågelarter.docx", "A 55044-2025")</f>
        <v/>
      </c>
    </row>
    <row r="345" ht="15" customHeight="1">
      <c r="A345" t="inlineStr">
        <is>
          <t>A 62715-2025</t>
        </is>
      </c>
      <c r="B345" s="1" t="n">
        <v>46008.52034722222</v>
      </c>
      <c r="C345" s="1" t="n">
        <v>46050</v>
      </c>
      <c r="D345" t="inlineStr">
        <is>
          <t>STOCKHOLMS LÄN</t>
        </is>
      </c>
      <c r="E345" t="inlineStr">
        <is>
          <t>NORRTÄLJE</t>
        </is>
      </c>
      <c r="G345" t="n">
        <v>0.8</v>
      </c>
      <c r="H345" t="n">
        <v>0</v>
      </c>
      <c r="I345" t="n">
        <v>1</v>
      </c>
      <c r="J345" t="n">
        <v>0</v>
      </c>
      <c r="K345" t="n">
        <v>0</v>
      </c>
      <c r="L345" t="n">
        <v>0</v>
      </c>
      <c r="M345" t="n">
        <v>0</v>
      </c>
      <c r="N345" t="n">
        <v>0</v>
      </c>
      <c r="O345" t="n">
        <v>0</v>
      </c>
      <c r="P345" t="n">
        <v>0</v>
      </c>
      <c r="Q345" t="n">
        <v>1</v>
      </c>
      <c r="R345" s="2" t="inlineStr">
        <is>
          <t>Granbarkgnagare</t>
        </is>
      </c>
      <c r="S345">
        <f>HYPERLINK("https://klasma.github.io/Logging_0188/artfynd/A 62715-2025 artfynd.xlsx", "A 62715-2025")</f>
        <v/>
      </c>
      <c r="T345">
        <f>HYPERLINK("https://klasma.github.io/Logging_0188/kartor/A 62715-2025 karta.png", "A 62715-2025")</f>
        <v/>
      </c>
      <c r="V345">
        <f>HYPERLINK("https://klasma.github.io/Logging_0188/klagomål/A 62715-2025 FSC-klagomål.docx", "A 62715-2025")</f>
        <v/>
      </c>
      <c r="W345">
        <f>HYPERLINK("https://klasma.github.io/Logging_0188/klagomålsmail/A 62715-2025 FSC-klagomål mail.docx", "A 62715-2025")</f>
        <v/>
      </c>
      <c r="X345">
        <f>HYPERLINK("https://klasma.github.io/Logging_0188/tillsyn/A 62715-2025 tillsynsbegäran.docx", "A 62715-2025")</f>
        <v/>
      </c>
      <c r="Y345">
        <f>HYPERLINK("https://klasma.github.io/Logging_0188/tillsynsmail/A 62715-2025 tillsynsbegäran mail.docx", "A 62715-2025")</f>
        <v/>
      </c>
    </row>
    <row r="346" ht="15" customHeight="1">
      <c r="A346" t="inlineStr">
        <is>
          <t>A 63543-2025</t>
        </is>
      </c>
      <c r="B346" s="1" t="n">
        <v>46013.59207175926</v>
      </c>
      <c r="C346" s="1" t="n">
        <v>46050</v>
      </c>
      <c r="D346" t="inlineStr">
        <is>
          <t>STOCKHOLMS LÄN</t>
        </is>
      </c>
      <c r="E346" t="inlineStr">
        <is>
          <t>VALLENTUNA</t>
        </is>
      </c>
      <c r="G346" t="n">
        <v>3.4</v>
      </c>
      <c r="H346" t="n">
        <v>0</v>
      </c>
      <c r="I346" t="n">
        <v>0</v>
      </c>
      <c r="J346" t="n">
        <v>1</v>
      </c>
      <c r="K346" t="n">
        <v>0</v>
      </c>
      <c r="L346" t="n">
        <v>0</v>
      </c>
      <c r="M346" t="n">
        <v>0</v>
      </c>
      <c r="N346" t="n">
        <v>0</v>
      </c>
      <c r="O346" t="n">
        <v>1</v>
      </c>
      <c r="P346" t="n">
        <v>0</v>
      </c>
      <c r="Q346" t="n">
        <v>1</v>
      </c>
      <c r="R346" s="2" t="inlineStr">
        <is>
          <t>Tallticka</t>
        </is>
      </c>
      <c r="S346">
        <f>HYPERLINK("https://klasma.github.io/Logging_0115/artfynd/A 63543-2025 artfynd.xlsx", "A 63543-2025")</f>
        <v/>
      </c>
      <c r="T346">
        <f>HYPERLINK("https://klasma.github.io/Logging_0115/kartor/A 63543-2025 karta.png", "A 63543-2025")</f>
        <v/>
      </c>
      <c r="V346">
        <f>HYPERLINK("https://klasma.github.io/Logging_0115/klagomål/A 63543-2025 FSC-klagomål.docx", "A 63543-2025")</f>
        <v/>
      </c>
      <c r="W346">
        <f>HYPERLINK("https://klasma.github.io/Logging_0115/klagomålsmail/A 63543-2025 FSC-klagomål mail.docx", "A 63543-2025")</f>
        <v/>
      </c>
      <c r="X346">
        <f>HYPERLINK("https://klasma.github.io/Logging_0115/tillsyn/A 63543-2025 tillsynsbegäran.docx", "A 63543-2025")</f>
        <v/>
      </c>
      <c r="Y346">
        <f>HYPERLINK("https://klasma.github.io/Logging_0115/tillsynsmail/A 63543-2025 tillsynsbegäran mail.docx", "A 63543-2025")</f>
        <v/>
      </c>
    </row>
    <row r="347" ht="15" customHeight="1">
      <c r="A347" t="inlineStr">
        <is>
          <t>A 63292-2025</t>
        </is>
      </c>
      <c r="B347" s="1" t="n">
        <v>46010.59232638889</v>
      </c>
      <c r="C347" s="1" t="n">
        <v>46050</v>
      </c>
      <c r="D347" t="inlineStr">
        <is>
          <t>STOCKHOLMS LÄN</t>
        </is>
      </c>
      <c r="E347" t="inlineStr">
        <is>
          <t>NORRTÄLJE</t>
        </is>
      </c>
      <c r="G347" t="n">
        <v>11.1</v>
      </c>
      <c r="H347" t="n">
        <v>1</v>
      </c>
      <c r="I347" t="n">
        <v>1</v>
      </c>
      <c r="J347" t="n">
        <v>0</v>
      </c>
      <c r="K347" t="n">
        <v>0</v>
      </c>
      <c r="L347" t="n">
        <v>0</v>
      </c>
      <c r="M347" t="n">
        <v>0</v>
      </c>
      <c r="N347" t="n">
        <v>0</v>
      </c>
      <c r="O347" t="n">
        <v>0</v>
      </c>
      <c r="P347" t="n">
        <v>0</v>
      </c>
      <c r="Q347" t="n">
        <v>1</v>
      </c>
      <c r="R347" s="2" t="inlineStr">
        <is>
          <t>Nästrot</t>
        </is>
      </c>
      <c r="S347">
        <f>HYPERLINK("https://klasma.github.io/Logging_0188/artfynd/A 63292-2025 artfynd.xlsx", "A 63292-2025")</f>
        <v/>
      </c>
      <c r="T347">
        <f>HYPERLINK("https://klasma.github.io/Logging_0188/kartor/A 63292-2025 karta.png", "A 63292-2025")</f>
        <v/>
      </c>
      <c r="V347">
        <f>HYPERLINK("https://klasma.github.io/Logging_0188/klagomål/A 63292-2025 FSC-klagomål.docx", "A 63292-2025")</f>
        <v/>
      </c>
      <c r="W347">
        <f>HYPERLINK("https://klasma.github.io/Logging_0188/klagomålsmail/A 63292-2025 FSC-klagomål mail.docx", "A 63292-2025")</f>
        <v/>
      </c>
      <c r="X347">
        <f>HYPERLINK("https://klasma.github.io/Logging_0188/tillsyn/A 63292-2025 tillsynsbegäran.docx", "A 63292-2025")</f>
        <v/>
      </c>
      <c r="Y347">
        <f>HYPERLINK("https://klasma.github.io/Logging_0188/tillsynsmail/A 63292-2025 tillsynsbegäran mail.docx", "A 63292-2025")</f>
        <v/>
      </c>
    </row>
    <row r="348" ht="15" customHeight="1">
      <c r="A348" t="inlineStr">
        <is>
          <t>A 63539-2025</t>
        </is>
      </c>
      <c r="B348" s="1" t="n">
        <v>46013.58824074074</v>
      </c>
      <c r="C348" s="1" t="n">
        <v>46050</v>
      </c>
      <c r="D348" t="inlineStr">
        <is>
          <t>STOCKHOLMS LÄN</t>
        </is>
      </c>
      <c r="E348" t="inlineStr">
        <is>
          <t>VALLENTUNA</t>
        </is>
      </c>
      <c r="G348" t="n">
        <v>1.1</v>
      </c>
      <c r="H348" t="n">
        <v>0</v>
      </c>
      <c r="I348" t="n">
        <v>1</v>
      </c>
      <c r="J348" t="n">
        <v>0</v>
      </c>
      <c r="K348" t="n">
        <v>0</v>
      </c>
      <c r="L348" t="n">
        <v>0</v>
      </c>
      <c r="M348" t="n">
        <v>0</v>
      </c>
      <c r="N348" t="n">
        <v>0</v>
      </c>
      <c r="O348" t="n">
        <v>0</v>
      </c>
      <c r="P348" t="n">
        <v>0</v>
      </c>
      <c r="Q348" t="n">
        <v>1</v>
      </c>
      <c r="R348" s="2" t="inlineStr">
        <is>
          <t>Vårärt</t>
        </is>
      </c>
      <c r="S348">
        <f>HYPERLINK("https://klasma.github.io/Logging_0115/artfynd/A 63539-2025 artfynd.xlsx", "A 63539-2025")</f>
        <v/>
      </c>
      <c r="T348">
        <f>HYPERLINK("https://klasma.github.io/Logging_0115/kartor/A 63539-2025 karta.png", "A 63539-2025")</f>
        <v/>
      </c>
      <c r="V348">
        <f>HYPERLINK("https://klasma.github.io/Logging_0115/klagomål/A 63539-2025 FSC-klagomål.docx", "A 63539-2025")</f>
        <v/>
      </c>
      <c r="W348">
        <f>HYPERLINK("https://klasma.github.io/Logging_0115/klagomålsmail/A 63539-2025 FSC-klagomål mail.docx", "A 63539-2025")</f>
        <v/>
      </c>
      <c r="X348">
        <f>HYPERLINK("https://klasma.github.io/Logging_0115/tillsyn/A 63539-2025 tillsynsbegäran.docx", "A 63539-2025")</f>
        <v/>
      </c>
      <c r="Y348">
        <f>HYPERLINK("https://klasma.github.io/Logging_0115/tillsynsmail/A 63539-2025 tillsynsbegäran mail.docx", "A 63539-2025")</f>
        <v/>
      </c>
    </row>
    <row r="349" ht="15" customHeight="1">
      <c r="A349" t="inlineStr">
        <is>
          <t>A 23099-2024</t>
        </is>
      </c>
      <c r="B349" s="1" t="n">
        <v>45450</v>
      </c>
      <c r="C349" s="1" t="n">
        <v>46050</v>
      </c>
      <c r="D349" t="inlineStr">
        <is>
          <t>STOCKHOLMS LÄN</t>
        </is>
      </c>
      <c r="E349" t="inlineStr">
        <is>
          <t>UPPLANDS-BRO</t>
        </is>
      </c>
      <c r="F349" t="inlineStr">
        <is>
          <t>Övriga statliga verk och myndigheter</t>
        </is>
      </c>
      <c r="G349" t="n">
        <v>0.7</v>
      </c>
      <c r="H349" t="n">
        <v>0</v>
      </c>
      <c r="I349" t="n">
        <v>0</v>
      </c>
      <c r="J349" t="n">
        <v>1</v>
      </c>
      <c r="K349" t="n">
        <v>0</v>
      </c>
      <c r="L349" t="n">
        <v>0</v>
      </c>
      <c r="M349" t="n">
        <v>0</v>
      </c>
      <c r="N349" t="n">
        <v>0</v>
      </c>
      <c r="O349" t="n">
        <v>1</v>
      </c>
      <c r="P349" t="n">
        <v>0</v>
      </c>
      <c r="Q349" t="n">
        <v>1</v>
      </c>
      <c r="R349" s="2" t="inlineStr">
        <is>
          <t>Bredbrämad bastardsvärmare</t>
        </is>
      </c>
      <c r="S349">
        <f>HYPERLINK("https://klasma.github.io/Logging_0139/artfynd/A 23099-2024 artfynd.xlsx", "A 23099-2024")</f>
        <v/>
      </c>
      <c r="T349">
        <f>HYPERLINK("https://klasma.github.io/Logging_0139/kartor/A 23099-2024 karta.png", "A 23099-2024")</f>
        <v/>
      </c>
      <c r="V349">
        <f>HYPERLINK("https://klasma.github.io/Logging_0139/klagomål/A 23099-2024 FSC-klagomål.docx", "A 23099-2024")</f>
        <v/>
      </c>
      <c r="W349">
        <f>HYPERLINK("https://klasma.github.io/Logging_0139/klagomålsmail/A 23099-2024 FSC-klagomål mail.docx", "A 23099-2024")</f>
        <v/>
      </c>
      <c r="X349">
        <f>HYPERLINK("https://klasma.github.io/Logging_0139/tillsyn/A 23099-2024 tillsynsbegäran.docx", "A 23099-2024")</f>
        <v/>
      </c>
      <c r="Y349">
        <f>HYPERLINK("https://klasma.github.io/Logging_0139/tillsynsmail/A 23099-2024 tillsynsbegäran mail.docx", "A 23099-2024")</f>
        <v/>
      </c>
    </row>
    <row r="350" ht="15" customHeight="1">
      <c r="A350" t="inlineStr">
        <is>
          <t>A 3914-2023</t>
        </is>
      </c>
      <c r="B350" s="1" t="n">
        <v>44952.30934027778</v>
      </c>
      <c r="C350" s="1" t="n">
        <v>46050</v>
      </c>
      <c r="D350" t="inlineStr">
        <is>
          <t>STOCKHOLMS LÄN</t>
        </is>
      </c>
      <c r="E350" t="inlineStr">
        <is>
          <t>ÖSTERÅKER</t>
        </is>
      </c>
      <c r="F350" t="inlineStr">
        <is>
          <t>Kommuner</t>
        </is>
      </c>
      <c r="G350" t="n">
        <v>15.3</v>
      </c>
      <c r="H350" t="n">
        <v>1</v>
      </c>
      <c r="I350" t="n">
        <v>0</v>
      </c>
      <c r="J350" t="n">
        <v>0</v>
      </c>
      <c r="K350" t="n">
        <v>0</v>
      </c>
      <c r="L350" t="n">
        <v>0</v>
      </c>
      <c r="M350" t="n">
        <v>0</v>
      </c>
      <c r="N350" t="n">
        <v>0</v>
      </c>
      <c r="O350" t="n">
        <v>0</v>
      </c>
      <c r="P350" t="n">
        <v>0</v>
      </c>
      <c r="Q350" t="n">
        <v>1</v>
      </c>
      <c r="R350" s="2" t="inlineStr">
        <is>
          <t>Gråkråka</t>
        </is>
      </c>
      <c r="S350">
        <f>HYPERLINK("https://klasma.github.io/Logging_0117/artfynd/A 3914-2023 artfynd.xlsx", "A 3914-2023")</f>
        <v/>
      </c>
      <c r="T350">
        <f>HYPERLINK("https://klasma.github.io/Logging_0117/kartor/A 3914-2023 karta.png", "A 3914-2023")</f>
        <v/>
      </c>
      <c r="V350">
        <f>HYPERLINK("https://klasma.github.io/Logging_0117/klagomål/A 3914-2023 FSC-klagomål.docx", "A 3914-2023")</f>
        <v/>
      </c>
      <c r="W350">
        <f>HYPERLINK("https://klasma.github.io/Logging_0117/klagomålsmail/A 3914-2023 FSC-klagomål mail.docx", "A 3914-2023")</f>
        <v/>
      </c>
      <c r="X350">
        <f>HYPERLINK("https://klasma.github.io/Logging_0117/tillsyn/A 3914-2023 tillsynsbegäran.docx", "A 3914-2023")</f>
        <v/>
      </c>
      <c r="Y350">
        <f>HYPERLINK("https://klasma.github.io/Logging_0117/tillsynsmail/A 3914-2023 tillsynsbegäran mail.docx", "A 3914-2023")</f>
        <v/>
      </c>
    </row>
    <row r="351" ht="15" customHeight="1">
      <c r="A351" t="inlineStr">
        <is>
          <t>A 12968-2024</t>
        </is>
      </c>
      <c r="B351" s="1" t="n">
        <v>45385.50599537037</v>
      </c>
      <c r="C351" s="1" t="n">
        <v>46050</v>
      </c>
      <c r="D351" t="inlineStr">
        <is>
          <t>STOCKHOLMS LÄN</t>
        </is>
      </c>
      <c r="E351" t="inlineStr">
        <is>
          <t>SÖDERTÄLJE</t>
        </is>
      </c>
      <c r="F351" t="inlineStr">
        <is>
          <t>Kommuner</t>
        </is>
      </c>
      <c r="G351" t="n">
        <v>5.5</v>
      </c>
      <c r="H351" t="n">
        <v>0</v>
      </c>
      <c r="I351" t="n">
        <v>0</v>
      </c>
      <c r="J351" t="n">
        <v>0</v>
      </c>
      <c r="K351" t="n">
        <v>0</v>
      </c>
      <c r="L351" t="n">
        <v>1</v>
      </c>
      <c r="M351" t="n">
        <v>0</v>
      </c>
      <c r="N351" t="n">
        <v>0</v>
      </c>
      <c r="O351" t="n">
        <v>1</v>
      </c>
      <c r="P351" t="n">
        <v>1</v>
      </c>
      <c r="Q351" t="n">
        <v>1</v>
      </c>
      <c r="R351" s="2" t="inlineStr">
        <is>
          <t>Ask</t>
        </is>
      </c>
      <c r="S351">
        <f>HYPERLINK("https://klasma.github.io/Logging_0181/artfynd/A 12968-2024 artfynd.xlsx", "A 12968-2024")</f>
        <v/>
      </c>
      <c r="T351">
        <f>HYPERLINK("https://klasma.github.io/Logging_0181/kartor/A 12968-2024 karta.png", "A 12968-2024")</f>
        <v/>
      </c>
      <c r="V351">
        <f>HYPERLINK("https://klasma.github.io/Logging_0181/klagomål/A 12968-2024 FSC-klagomål.docx", "A 12968-2024")</f>
        <v/>
      </c>
      <c r="W351">
        <f>HYPERLINK("https://klasma.github.io/Logging_0181/klagomålsmail/A 12968-2024 FSC-klagomål mail.docx", "A 12968-2024")</f>
        <v/>
      </c>
      <c r="X351">
        <f>HYPERLINK("https://klasma.github.io/Logging_0181/tillsyn/A 12968-2024 tillsynsbegäran.docx", "A 12968-2024")</f>
        <v/>
      </c>
      <c r="Y351">
        <f>HYPERLINK("https://klasma.github.io/Logging_0181/tillsynsmail/A 12968-2024 tillsynsbegäran mail.docx", "A 12968-2024")</f>
        <v/>
      </c>
    </row>
    <row r="352" ht="15" customHeight="1">
      <c r="A352" t="inlineStr">
        <is>
          <t>A 34823-2022</t>
        </is>
      </c>
      <c r="B352" s="1" t="n">
        <v>44796</v>
      </c>
      <c r="C352" s="1" t="n">
        <v>46050</v>
      </c>
      <c r="D352" t="inlineStr">
        <is>
          <t>STOCKHOLMS LÄN</t>
        </is>
      </c>
      <c r="E352" t="inlineStr">
        <is>
          <t>HANINGE</t>
        </is>
      </c>
      <c r="G352" t="n">
        <v>12</v>
      </c>
      <c r="H352" t="n">
        <v>0</v>
      </c>
      <c r="I352" t="n">
        <v>0</v>
      </c>
      <c r="J352" t="n">
        <v>0</v>
      </c>
      <c r="K352" t="n">
        <v>1</v>
      </c>
      <c r="L352" t="n">
        <v>0</v>
      </c>
      <c r="M352" t="n">
        <v>0</v>
      </c>
      <c r="N352" t="n">
        <v>0</v>
      </c>
      <c r="O352" t="n">
        <v>1</v>
      </c>
      <c r="P352" t="n">
        <v>1</v>
      </c>
      <c r="Q352" t="n">
        <v>1</v>
      </c>
      <c r="R352" s="2" t="inlineStr">
        <is>
          <t>Mörk kraterlav</t>
        </is>
      </c>
      <c r="S352">
        <f>HYPERLINK("https://klasma.github.io/Logging_0136/artfynd/A 34823-2022 artfynd.xlsx", "A 34823-2022")</f>
        <v/>
      </c>
      <c r="T352">
        <f>HYPERLINK("https://klasma.github.io/Logging_0136/kartor/A 34823-2022 karta.png", "A 34823-2022")</f>
        <v/>
      </c>
      <c r="V352">
        <f>HYPERLINK("https://klasma.github.io/Logging_0136/klagomål/A 34823-2022 FSC-klagomål.docx", "A 34823-2022")</f>
        <v/>
      </c>
      <c r="W352">
        <f>HYPERLINK("https://klasma.github.io/Logging_0136/klagomålsmail/A 34823-2022 FSC-klagomål mail.docx", "A 34823-2022")</f>
        <v/>
      </c>
      <c r="X352">
        <f>HYPERLINK("https://klasma.github.io/Logging_0136/tillsyn/A 34823-2022 tillsynsbegäran.docx", "A 34823-2022")</f>
        <v/>
      </c>
      <c r="Y352">
        <f>HYPERLINK("https://klasma.github.io/Logging_0136/tillsynsmail/A 34823-2022 tillsynsbegäran mail.docx", "A 34823-2022")</f>
        <v/>
      </c>
    </row>
    <row r="353" ht="15" customHeight="1">
      <c r="A353" t="inlineStr">
        <is>
          <t>A 33528-2023</t>
        </is>
      </c>
      <c r="B353" s="1" t="n">
        <v>45131</v>
      </c>
      <c r="C353" s="1" t="n">
        <v>46050</v>
      </c>
      <c r="D353" t="inlineStr">
        <is>
          <t>STOCKHOLMS LÄN</t>
        </is>
      </c>
      <c r="E353" t="inlineStr">
        <is>
          <t>NYNÄSHAMN</t>
        </is>
      </c>
      <c r="G353" t="n">
        <v>4</v>
      </c>
      <c r="H353" t="n">
        <v>0</v>
      </c>
      <c r="I353" t="n">
        <v>1</v>
      </c>
      <c r="J353" t="n">
        <v>0</v>
      </c>
      <c r="K353" t="n">
        <v>0</v>
      </c>
      <c r="L353" t="n">
        <v>0</v>
      </c>
      <c r="M353" t="n">
        <v>0</v>
      </c>
      <c r="N353" t="n">
        <v>0</v>
      </c>
      <c r="O353" t="n">
        <v>0</v>
      </c>
      <c r="P353" t="n">
        <v>0</v>
      </c>
      <c r="Q353" t="n">
        <v>1</v>
      </c>
      <c r="R353" s="2" t="inlineStr">
        <is>
          <t>Strutbräken</t>
        </is>
      </c>
      <c r="S353">
        <f>HYPERLINK("https://klasma.github.io/Logging_0192/artfynd/A 33528-2023 artfynd.xlsx", "A 33528-2023")</f>
        <v/>
      </c>
      <c r="T353">
        <f>HYPERLINK("https://klasma.github.io/Logging_0192/kartor/A 33528-2023 karta.png", "A 33528-2023")</f>
        <v/>
      </c>
      <c r="V353">
        <f>HYPERLINK("https://klasma.github.io/Logging_0192/klagomål/A 33528-2023 FSC-klagomål.docx", "A 33528-2023")</f>
        <v/>
      </c>
      <c r="W353">
        <f>HYPERLINK("https://klasma.github.io/Logging_0192/klagomålsmail/A 33528-2023 FSC-klagomål mail.docx", "A 33528-2023")</f>
        <v/>
      </c>
      <c r="X353">
        <f>HYPERLINK("https://klasma.github.io/Logging_0192/tillsyn/A 33528-2023 tillsynsbegäran.docx", "A 33528-2023")</f>
        <v/>
      </c>
      <c r="Y353">
        <f>HYPERLINK("https://klasma.github.io/Logging_0192/tillsynsmail/A 33528-2023 tillsynsbegäran mail.docx", "A 33528-2023")</f>
        <v/>
      </c>
    </row>
    <row r="354" ht="15" customHeight="1">
      <c r="A354" t="inlineStr">
        <is>
          <t>A 364-2026</t>
        </is>
      </c>
      <c r="B354" s="1" t="n">
        <v>46027.67134259259</v>
      </c>
      <c r="C354" s="1" t="n">
        <v>46050</v>
      </c>
      <c r="D354" t="inlineStr">
        <is>
          <t>STOCKHOLMS LÄN</t>
        </is>
      </c>
      <c r="E354" t="inlineStr">
        <is>
          <t>NORRTÄLJE</t>
        </is>
      </c>
      <c r="F354" t="inlineStr">
        <is>
          <t>Holmen skog AB</t>
        </is>
      </c>
      <c r="G354" t="n">
        <v>4.3</v>
      </c>
      <c r="H354" t="n">
        <v>1</v>
      </c>
      <c r="I354" t="n">
        <v>0</v>
      </c>
      <c r="J354" t="n">
        <v>0</v>
      </c>
      <c r="K354" t="n">
        <v>0</v>
      </c>
      <c r="L354" t="n">
        <v>1</v>
      </c>
      <c r="M354" t="n">
        <v>0</v>
      </c>
      <c r="N354" t="n">
        <v>0</v>
      </c>
      <c r="O354" t="n">
        <v>1</v>
      </c>
      <c r="P354" t="n">
        <v>1</v>
      </c>
      <c r="Q354" t="n">
        <v>1</v>
      </c>
      <c r="R354" s="2" t="inlineStr">
        <is>
          <t>Asknätfjäril</t>
        </is>
      </c>
      <c r="S354">
        <f>HYPERLINK("https://klasma.github.io/Logging_0188/artfynd/A 364-2026 artfynd.xlsx", "A 364-2026")</f>
        <v/>
      </c>
      <c r="T354">
        <f>HYPERLINK("https://klasma.github.io/Logging_0188/kartor/A 364-2026 karta.png", "A 364-2026")</f>
        <v/>
      </c>
      <c r="V354">
        <f>HYPERLINK("https://klasma.github.io/Logging_0188/klagomål/A 364-2026 FSC-klagomål.docx", "A 364-2026")</f>
        <v/>
      </c>
      <c r="W354">
        <f>HYPERLINK("https://klasma.github.io/Logging_0188/klagomålsmail/A 364-2026 FSC-klagomål mail.docx", "A 364-2026")</f>
        <v/>
      </c>
      <c r="X354">
        <f>HYPERLINK("https://klasma.github.io/Logging_0188/tillsyn/A 364-2026 tillsynsbegäran.docx", "A 364-2026")</f>
        <v/>
      </c>
      <c r="Y354">
        <f>HYPERLINK("https://klasma.github.io/Logging_0188/tillsynsmail/A 364-2026 tillsynsbegäran mail.docx", "A 364-2026")</f>
        <v/>
      </c>
    </row>
    <row r="355" ht="15" customHeight="1">
      <c r="A355" t="inlineStr">
        <is>
          <t>A 491-2026</t>
        </is>
      </c>
      <c r="B355" s="1" t="n">
        <v>46029.42581018519</v>
      </c>
      <c r="C355" s="1" t="n">
        <v>46050</v>
      </c>
      <c r="D355" t="inlineStr">
        <is>
          <t>STOCKHOLMS LÄN</t>
        </is>
      </c>
      <c r="E355" t="inlineStr">
        <is>
          <t>HUDDINGE</t>
        </is>
      </c>
      <c r="G355" t="n">
        <v>3.2</v>
      </c>
      <c r="H355" t="n">
        <v>1</v>
      </c>
      <c r="I355" t="n">
        <v>0</v>
      </c>
      <c r="J355" t="n">
        <v>0</v>
      </c>
      <c r="K355" t="n">
        <v>0</v>
      </c>
      <c r="L355" t="n">
        <v>0</v>
      </c>
      <c r="M355" t="n">
        <v>0</v>
      </c>
      <c r="N355" t="n">
        <v>0</v>
      </c>
      <c r="O355" t="n">
        <v>0</v>
      </c>
      <c r="P355" t="n">
        <v>0</v>
      </c>
      <c r="Q355" t="n">
        <v>1</v>
      </c>
      <c r="R355" s="2" t="inlineStr">
        <is>
          <t>Blåsippa</t>
        </is>
      </c>
      <c r="S355">
        <f>HYPERLINK("https://klasma.github.io/Logging_0126/artfynd/A 491-2026 artfynd.xlsx", "A 491-2026")</f>
        <v/>
      </c>
      <c r="T355">
        <f>HYPERLINK("https://klasma.github.io/Logging_0126/kartor/A 491-2026 karta.png", "A 491-2026")</f>
        <v/>
      </c>
      <c r="V355">
        <f>HYPERLINK("https://klasma.github.io/Logging_0126/klagomål/A 491-2026 FSC-klagomål.docx", "A 491-2026")</f>
        <v/>
      </c>
      <c r="W355">
        <f>HYPERLINK("https://klasma.github.io/Logging_0126/klagomålsmail/A 491-2026 FSC-klagomål mail.docx", "A 491-2026")</f>
        <v/>
      </c>
      <c r="X355">
        <f>HYPERLINK("https://klasma.github.io/Logging_0126/tillsyn/A 491-2026 tillsynsbegäran.docx", "A 491-2026")</f>
        <v/>
      </c>
      <c r="Y355">
        <f>HYPERLINK("https://klasma.github.io/Logging_0126/tillsynsmail/A 491-2026 tillsynsbegäran mail.docx", "A 491-2026")</f>
        <v/>
      </c>
    </row>
    <row r="356" ht="15" customHeight="1">
      <c r="A356" t="inlineStr">
        <is>
          <t>A 55263-2021</t>
        </is>
      </c>
      <c r="B356" s="1" t="n">
        <v>44475</v>
      </c>
      <c r="C356" s="1" t="n">
        <v>46050</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26635-2023</t>
        </is>
      </c>
      <c r="B357" s="1" t="n">
        <v>45092</v>
      </c>
      <c r="C357" s="1" t="n">
        <v>46050</v>
      </c>
      <c r="D357" t="inlineStr">
        <is>
          <t>STOCKHOLMS LÄN</t>
        </is>
      </c>
      <c r="E357" t="inlineStr">
        <is>
          <t>NORRTÄLJE</t>
        </is>
      </c>
      <c r="G357" t="n">
        <v>3.1</v>
      </c>
      <c r="H357" t="n">
        <v>1</v>
      </c>
      <c r="I357" t="n">
        <v>0</v>
      </c>
      <c r="J357" t="n">
        <v>0</v>
      </c>
      <c r="K357" t="n">
        <v>0</v>
      </c>
      <c r="L357" t="n">
        <v>0</v>
      </c>
      <c r="M357" t="n">
        <v>0</v>
      </c>
      <c r="N357" t="n">
        <v>0</v>
      </c>
      <c r="O357" t="n">
        <v>0</v>
      </c>
      <c r="P357" t="n">
        <v>0</v>
      </c>
      <c r="Q357" t="n">
        <v>1</v>
      </c>
      <c r="R357" s="2" t="inlineStr">
        <is>
          <t>Fläcknycklar</t>
        </is>
      </c>
      <c r="S357">
        <f>HYPERLINK("https://klasma.github.io/Logging_0188/artfynd/A 26635-2023 artfynd.xlsx", "A 26635-2023")</f>
        <v/>
      </c>
      <c r="T357">
        <f>HYPERLINK("https://klasma.github.io/Logging_0188/kartor/A 26635-2023 karta.png", "A 26635-2023")</f>
        <v/>
      </c>
      <c r="V357">
        <f>HYPERLINK("https://klasma.github.io/Logging_0188/klagomål/A 26635-2023 FSC-klagomål.docx", "A 26635-2023")</f>
        <v/>
      </c>
      <c r="W357">
        <f>HYPERLINK("https://klasma.github.io/Logging_0188/klagomålsmail/A 26635-2023 FSC-klagomål mail.docx", "A 26635-2023")</f>
        <v/>
      </c>
      <c r="X357">
        <f>HYPERLINK("https://klasma.github.io/Logging_0188/tillsyn/A 26635-2023 tillsynsbegäran.docx", "A 26635-2023")</f>
        <v/>
      </c>
      <c r="Y357">
        <f>HYPERLINK("https://klasma.github.io/Logging_0188/tillsynsmail/A 26635-2023 tillsynsbegäran mail.docx", "A 26635-2023")</f>
        <v/>
      </c>
    </row>
    <row r="358" ht="15" customHeight="1">
      <c r="A358" t="inlineStr">
        <is>
          <t>A 35953-2023</t>
        </is>
      </c>
      <c r="B358" s="1" t="n">
        <v>45148</v>
      </c>
      <c r="C358" s="1" t="n">
        <v>46050</v>
      </c>
      <c r="D358" t="inlineStr">
        <is>
          <t>STOCKHOLMS LÄN</t>
        </is>
      </c>
      <c r="E358" t="inlineStr">
        <is>
          <t>EKERÖ</t>
        </is>
      </c>
      <c r="G358" t="n">
        <v>2.1</v>
      </c>
      <c r="H358" t="n">
        <v>1</v>
      </c>
      <c r="I358" t="n">
        <v>0</v>
      </c>
      <c r="J358" t="n">
        <v>0</v>
      </c>
      <c r="K358" t="n">
        <v>0</v>
      </c>
      <c r="L358" t="n">
        <v>0</v>
      </c>
      <c r="M358" t="n">
        <v>0</v>
      </c>
      <c r="N358" t="n">
        <v>0</v>
      </c>
      <c r="O358" t="n">
        <v>0</v>
      </c>
      <c r="P358" t="n">
        <v>0</v>
      </c>
      <c r="Q358" t="n">
        <v>1</v>
      </c>
      <c r="R358" s="2" t="inlineStr">
        <is>
          <t>Vanlig groda</t>
        </is>
      </c>
      <c r="S358">
        <f>HYPERLINK("https://klasma.github.io/Logging_0125/artfynd/A 35953-2023 artfynd.xlsx", "A 35953-2023")</f>
        <v/>
      </c>
      <c r="T358">
        <f>HYPERLINK("https://klasma.github.io/Logging_0125/kartor/A 35953-2023 karta.png", "A 35953-2023")</f>
        <v/>
      </c>
      <c r="V358">
        <f>HYPERLINK("https://klasma.github.io/Logging_0125/klagomål/A 35953-2023 FSC-klagomål.docx", "A 35953-2023")</f>
        <v/>
      </c>
      <c r="W358">
        <f>HYPERLINK("https://klasma.github.io/Logging_0125/klagomålsmail/A 35953-2023 FSC-klagomål mail.docx", "A 35953-2023")</f>
        <v/>
      </c>
      <c r="X358">
        <f>HYPERLINK("https://klasma.github.io/Logging_0125/tillsyn/A 35953-2023 tillsynsbegäran.docx", "A 35953-2023")</f>
        <v/>
      </c>
      <c r="Y358">
        <f>HYPERLINK("https://klasma.github.io/Logging_0125/tillsynsmail/A 35953-2023 tillsynsbegäran mail.docx", "A 35953-2023")</f>
        <v/>
      </c>
    </row>
    <row r="359" ht="15" customHeight="1">
      <c r="A359" t="inlineStr">
        <is>
          <t>A 59682-2025</t>
        </is>
      </c>
      <c r="B359" s="1" t="n">
        <v>45992.47116898148</v>
      </c>
      <c r="C359" s="1" t="n">
        <v>46050</v>
      </c>
      <c r="D359" t="inlineStr">
        <is>
          <t>STOCKHOLMS LÄN</t>
        </is>
      </c>
      <c r="E359" t="inlineStr">
        <is>
          <t>NORRTÄLJE</t>
        </is>
      </c>
      <c r="G359" t="n">
        <v>1.6</v>
      </c>
      <c r="H359" t="n">
        <v>0</v>
      </c>
      <c r="I359" t="n">
        <v>1</v>
      </c>
      <c r="J359" t="n">
        <v>0</v>
      </c>
      <c r="K359" t="n">
        <v>0</v>
      </c>
      <c r="L359" t="n">
        <v>0</v>
      </c>
      <c r="M359" t="n">
        <v>0</v>
      </c>
      <c r="N359" t="n">
        <v>0</v>
      </c>
      <c r="O359" t="n">
        <v>0</v>
      </c>
      <c r="P359" t="n">
        <v>0</v>
      </c>
      <c r="Q359" t="n">
        <v>1</v>
      </c>
      <c r="R359" s="2" t="inlineStr">
        <is>
          <t>Grönpyrola</t>
        </is>
      </c>
      <c r="S359">
        <f>HYPERLINK("https://klasma.github.io/Logging_0188/artfynd/A 59682-2025 artfynd.xlsx", "A 59682-2025")</f>
        <v/>
      </c>
      <c r="T359">
        <f>HYPERLINK("https://klasma.github.io/Logging_0188/kartor/A 59682-2025 karta.png", "A 59682-2025")</f>
        <v/>
      </c>
      <c r="V359">
        <f>HYPERLINK("https://klasma.github.io/Logging_0188/klagomål/A 59682-2025 FSC-klagomål.docx", "A 59682-2025")</f>
        <v/>
      </c>
      <c r="W359">
        <f>HYPERLINK("https://klasma.github.io/Logging_0188/klagomålsmail/A 59682-2025 FSC-klagomål mail.docx", "A 59682-2025")</f>
        <v/>
      </c>
      <c r="X359">
        <f>HYPERLINK("https://klasma.github.io/Logging_0188/tillsyn/A 59682-2025 tillsynsbegäran.docx", "A 59682-2025")</f>
        <v/>
      </c>
      <c r="Y359">
        <f>HYPERLINK("https://klasma.github.io/Logging_0188/tillsynsmail/A 59682-2025 tillsynsbegäran mail.docx", "A 59682-2025")</f>
        <v/>
      </c>
    </row>
    <row r="360" ht="15" customHeight="1">
      <c r="A360" t="inlineStr">
        <is>
          <t>A 59570-2025</t>
        </is>
      </c>
      <c r="B360" s="1" t="n">
        <v>45991.93646990741</v>
      </c>
      <c r="C360" s="1" t="n">
        <v>46050</v>
      </c>
      <c r="D360" t="inlineStr">
        <is>
          <t>STOCKHOLMS LÄN</t>
        </is>
      </c>
      <c r="E360" t="inlineStr">
        <is>
          <t>HANINGE</t>
        </is>
      </c>
      <c r="G360" t="n">
        <v>2.3</v>
      </c>
      <c r="H360" t="n">
        <v>1</v>
      </c>
      <c r="I360" t="n">
        <v>0</v>
      </c>
      <c r="J360" t="n">
        <v>1</v>
      </c>
      <c r="K360" t="n">
        <v>0</v>
      </c>
      <c r="L360" t="n">
        <v>0</v>
      </c>
      <c r="M360" t="n">
        <v>0</v>
      </c>
      <c r="N360" t="n">
        <v>0</v>
      </c>
      <c r="O360" t="n">
        <v>1</v>
      </c>
      <c r="P360" t="n">
        <v>0</v>
      </c>
      <c r="Q360" t="n">
        <v>1</v>
      </c>
      <c r="R360" s="2" t="inlineStr">
        <is>
          <t>Fjällvråk</t>
        </is>
      </c>
      <c r="S360">
        <f>HYPERLINK("https://klasma.github.io/Logging_0136/artfynd/A 59570-2025 artfynd.xlsx", "A 59570-2025")</f>
        <v/>
      </c>
      <c r="T360">
        <f>HYPERLINK("https://klasma.github.io/Logging_0136/kartor/A 59570-2025 karta.png", "A 59570-2025")</f>
        <v/>
      </c>
      <c r="V360">
        <f>HYPERLINK("https://klasma.github.io/Logging_0136/klagomål/A 59570-2025 FSC-klagomål.docx", "A 59570-2025")</f>
        <v/>
      </c>
      <c r="W360">
        <f>HYPERLINK("https://klasma.github.io/Logging_0136/klagomålsmail/A 59570-2025 FSC-klagomål mail.docx", "A 59570-2025")</f>
        <v/>
      </c>
      <c r="X360">
        <f>HYPERLINK("https://klasma.github.io/Logging_0136/tillsyn/A 59570-2025 tillsynsbegäran.docx", "A 59570-2025")</f>
        <v/>
      </c>
      <c r="Y360">
        <f>HYPERLINK("https://klasma.github.io/Logging_0136/tillsynsmail/A 59570-2025 tillsynsbegäran mail.docx", "A 59570-2025")</f>
        <v/>
      </c>
      <c r="Z360">
        <f>HYPERLINK("https://klasma.github.io/Logging_0136/fåglar/A 59570-2025 prioriterade fågelarter.docx", "A 59570-2025")</f>
        <v/>
      </c>
    </row>
    <row r="361" ht="15" customHeight="1">
      <c r="A361" t="inlineStr">
        <is>
          <t>A 34460-2023</t>
        </is>
      </c>
      <c r="B361" s="1" t="n">
        <v>45139</v>
      </c>
      <c r="C361" s="1" t="n">
        <v>46050</v>
      </c>
      <c r="D361" t="inlineStr">
        <is>
          <t>STOCKHOLMS LÄN</t>
        </is>
      </c>
      <c r="E361" t="inlineStr">
        <is>
          <t>VALLENTUNA</t>
        </is>
      </c>
      <c r="G361" t="n">
        <v>1.7</v>
      </c>
      <c r="H361" t="n">
        <v>0</v>
      </c>
      <c r="I361" t="n">
        <v>0</v>
      </c>
      <c r="J361" t="n">
        <v>1</v>
      </c>
      <c r="K361" t="n">
        <v>0</v>
      </c>
      <c r="L361" t="n">
        <v>0</v>
      </c>
      <c r="M361" t="n">
        <v>0</v>
      </c>
      <c r="N361" t="n">
        <v>0</v>
      </c>
      <c r="O361" t="n">
        <v>1</v>
      </c>
      <c r="P361" t="n">
        <v>0</v>
      </c>
      <c r="Q361" t="n">
        <v>1</v>
      </c>
      <c r="R361" s="2" t="inlineStr">
        <is>
          <t>Orange taggsvamp</t>
        </is>
      </c>
      <c r="S361">
        <f>HYPERLINK("https://klasma.github.io/Logging_0115/artfynd/A 34460-2023 artfynd.xlsx", "A 34460-2023")</f>
        <v/>
      </c>
      <c r="T361">
        <f>HYPERLINK("https://klasma.github.io/Logging_0115/kartor/A 34460-2023 karta.png", "A 34460-2023")</f>
        <v/>
      </c>
      <c r="V361">
        <f>HYPERLINK("https://klasma.github.io/Logging_0115/klagomål/A 34460-2023 FSC-klagomål.docx", "A 34460-2023")</f>
        <v/>
      </c>
      <c r="W361">
        <f>HYPERLINK("https://klasma.github.io/Logging_0115/klagomålsmail/A 34460-2023 FSC-klagomål mail.docx", "A 34460-2023")</f>
        <v/>
      </c>
      <c r="X361">
        <f>HYPERLINK("https://klasma.github.io/Logging_0115/tillsyn/A 34460-2023 tillsynsbegäran.docx", "A 34460-2023")</f>
        <v/>
      </c>
      <c r="Y361">
        <f>HYPERLINK("https://klasma.github.io/Logging_0115/tillsynsmail/A 34460-2023 tillsynsbegäran mail.docx", "A 34460-2023")</f>
        <v/>
      </c>
    </row>
    <row r="362" ht="15" customHeight="1">
      <c r="A362" t="inlineStr">
        <is>
          <t>A 68883-2021</t>
        </is>
      </c>
      <c r="B362" s="1" t="n">
        <v>44526</v>
      </c>
      <c r="C362" s="1" t="n">
        <v>46050</v>
      </c>
      <c r="D362" t="inlineStr">
        <is>
          <t>STOCKHOLMS LÄN</t>
        </is>
      </c>
      <c r="E362" t="inlineStr">
        <is>
          <t>HANINGE</t>
        </is>
      </c>
      <c r="G362" t="n">
        <v>2.5</v>
      </c>
      <c r="H362" t="n">
        <v>1</v>
      </c>
      <c r="I362" t="n">
        <v>0</v>
      </c>
      <c r="J362" t="n">
        <v>0</v>
      </c>
      <c r="K362" t="n">
        <v>0</v>
      </c>
      <c r="L362" t="n">
        <v>0</v>
      </c>
      <c r="M362" t="n">
        <v>0</v>
      </c>
      <c r="N362" t="n">
        <v>0</v>
      </c>
      <c r="O362" t="n">
        <v>0</v>
      </c>
      <c r="P362" t="n">
        <v>0</v>
      </c>
      <c r="Q362" t="n">
        <v>1</v>
      </c>
      <c r="R362" s="2" t="inlineStr">
        <is>
          <t>Nattviol</t>
        </is>
      </c>
      <c r="S362">
        <f>HYPERLINK("https://klasma.github.io/Logging_0136/artfynd/A 68883-2021 artfynd.xlsx", "A 68883-2021")</f>
        <v/>
      </c>
      <c r="T362">
        <f>HYPERLINK("https://klasma.github.io/Logging_0136/kartor/A 68883-2021 karta.png", "A 68883-2021")</f>
        <v/>
      </c>
      <c r="V362">
        <f>HYPERLINK("https://klasma.github.io/Logging_0136/klagomål/A 68883-2021 FSC-klagomål.docx", "A 68883-2021")</f>
        <v/>
      </c>
      <c r="W362">
        <f>HYPERLINK("https://klasma.github.io/Logging_0136/klagomålsmail/A 68883-2021 FSC-klagomål mail.docx", "A 68883-2021")</f>
        <v/>
      </c>
      <c r="X362">
        <f>HYPERLINK("https://klasma.github.io/Logging_0136/tillsyn/A 68883-2021 tillsynsbegäran.docx", "A 68883-2021")</f>
        <v/>
      </c>
      <c r="Y362">
        <f>HYPERLINK("https://klasma.github.io/Logging_0136/tillsynsmail/A 68883-2021 tillsynsbegäran mail.docx", "A 68883-2021")</f>
        <v/>
      </c>
    </row>
    <row r="363" ht="15" customHeight="1">
      <c r="A363" t="inlineStr">
        <is>
          <t>A 2409-2026</t>
        </is>
      </c>
      <c r="B363" s="1" t="n">
        <v>46034</v>
      </c>
      <c r="C363" s="1" t="n">
        <v>46050</v>
      </c>
      <c r="D363" t="inlineStr">
        <is>
          <t>STOCKHOLMS LÄN</t>
        </is>
      </c>
      <c r="E363" t="inlineStr">
        <is>
          <t>UPPLANDS-BRO</t>
        </is>
      </c>
      <c r="G363" t="n">
        <v>14.2</v>
      </c>
      <c r="H363" t="n">
        <v>1</v>
      </c>
      <c r="I363" t="n">
        <v>0</v>
      </c>
      <c r="J363" t="n">
        <v>1</v>
      </c>
      <c r="K363" t="n">
        <v>0</v>
      </c>
      <c r="L363" t="n">
        <v>0</v>
      </c>
      <c r="M363" t="n">
        <v>0</v>
      </c>
      <c r="N363" t="n">
        <v>0</v>
      </c>
      <c r="O363" t="n">
        <v>1</v>
      </c>
      <c r="P363" t="n">
        <v>0</v>
      </c>
      <c r="Q363" t="n">
        <v>1</v>
      </c>
      <c r="R363" s="2" t="inlineStr">
        <is>
          <t>Havsörn</t>
        </is>
      </c>
      <c r="S363">
        <f>HYPERLINK("https://klasma.github.io/Logging_0139/artfynd/A 2409-2026 artfynd.xlsx", "A 2409-2026")</f>
        <v/>
      </c>
      <c r="T363">
        <f>HYPERLINK("https://klasma.github.io/Logging_0139/kartor/A 2409-2026 karta.png", "A 2409-2026")</f>
        <v/>
      </c>
      <c r="V363">
        <f>HYPERLINK("https://klasma.github.io/Logging_0139/klagomål/A 2409-2026 FSC-klagomål.docx", "A 2409-2026")</f>
        <v/>
      </c>
      <c r="W363">
        <f>HYPERLINK("https://klasma.github.io/Logging_0139/klagomålsmail/A 2409-2026 FSC-klagomål mail.docx", "A 2409-2026")</f>
        <v/>
      </c>
      <c r="X363">
        <f>HYPERLINK("https://klasma.github.io/Logging_0139/tillsyn/A 2409-2026 tillsynsbegäran.docx", "A 2409-2026")</f>
        <v/>
      </c>
      <c r="Y363">
        <f>HYPERLINK("https://klasma.github.io/Logging_0139/tillsynsmail/A 2409-2026 tillsynsbegäran mail.docx", "A 2409-2026")</f>
        <v/>
      </c>
      <c r="Z363">
        <f>HYPERLINK("https://klasma.github.io/Logging_0139/fåglar/A 2409-2026 prioriterade fågelarter.docx", "A 2409-2026")</f>
        <v/>
      </c>
    </row>
    <row r="364" ht="15" customHeight="1">
      <c r="A364" t="inlineStr">
        <is>
          <t>A 2423-2026</t>
        </is>
      </c>
      <c r="B364" s="1" t="n">
        <v>46034</v>
      </c>
      <c r="C364" s="1" t="n">
        <v>46050</v>
      </c>
      <c r="D364" t="inlineStr">
        <is>
          <t>STOCKHOLMS LÄN</t>
        </is>
      </c>
      <c r="E364" t="inlineStr">
        <is>
          <t>NYKVARN</t>
        </is>
      </c>
      <c r="G364" t="n">
        <v>11.8</v>
      </c>
      <c r="H364" t="n">
        <v>1</v>
      </c>
      <c r="I364" t="n">
        <v>0</v>
      </c>
      <c r="J364" t="n">
        <v>0</v>
      </c>
      <c r="K364" t="n">
        <v>1</v>
      </c>
      <c r="L364" t="n">
        <v>0</v>
      </c>
      <c r="M364" t="n">
        <v>0</v>
      </c>
      <c r="N364" t="n">
        <v>0</v>
      </c>
      <c r="O364" t="n">
        <v>1</v>
      </c>
      <c r="P364" t="n">
        <v>1</v>
      </c>
      <c r="Q364" t="n">
        <v>1</v>
      </c>
      <c r="R364" s="2" t="inlineStr">
        <is>
          <t>Knärot</t>
        </is>
      </c>
      <c r="S364">
        <f>HYPERLINK("https://klasma.github.io/Logging_0140/artfynd/A 2423-2026 artfynd.xlsx", "A 2423-2026")</f>
        <v/>
      </c>
      <c r="T364">
        <f>HYPERLINK("https://klasma.github.io/Logging_0140/kartor/A 2423-2026 karta.png", "A 2423-2026")</f>
        <v/>
      </c>
      <c r="U364">
        <f>HYPERLINK("https://klasma.github.io/Logging_0140/knärot/A 2423-2026 karta knärot.png", "A 2423-2026")</f>
        <v/>
      </c>
      <c r="V364">
        <f>HYPERLINK("https://klasma.github.io/Logging_0140/klagomål/A 2423-2026 FSC-klagomål.docx", "A 2423-2026")</f>
        <v/>
      </c>
      <c r="W364">
        <f>HYPERLINK("https://klasma.github.io/Logging_0140/klagomålsmail/A 2423-2026 FSC-klagomål mail.docx", "A 2423-2026")</f>
        <v/>
      </c>
      <c r="X364">
        <f>HYPERLINK("https://klasma.github.io/Logging_0140/tillsyn/A 2423-2026 tillsynsbegäran.docx", "A 2423-2026")</f>
        <v/>
      </c>
      <c r="Y364">
        <f>HYPERLINK("https://klasma.github.io/Logging_0140/tillsynsmail/A 2423-2026 tillsynsbegäran mail.docx", "A 2423-2026")</f>
        <v/>
      </c>
    </row>
    <row r="365" ht="15" customHeight="1">
      <c r="A365" t="inlineStr">
        <is>
          <t>A 47898-2022</t>
        </is>
      </c>
      <c r="B365" s="1" t="n">
        <v>44855</v>
      </c>
      <c r="C365" s="1" t="n">
        <v>46050</v>
      </c>
      <c r="D365" t="inlineStr">
        <is>
          <t>STOCKHOLMS LÄN</t>
        </is>
      </c>
      <c r="E365" t="inlineStr">
        <is>
          <t>NORRTÄLJE</t>
        </is>
      </c>
      <c r="G365" t="n">
        <v>6.7</v>
      </c>
      <c r="H365" t="n">
        <v>1</v>
      </c>
      <c r="I365" t="n">
        <v>1</v>
      </c>
      <c r="J365" t="n">
        <v>0</v>
      </c>
      <c r="K365" t="n">
        <v>0</v>
      </c>
      <c r="L365" t="n">
        <v>0</v>
      </c>
      <c r="M365" t="n">
        <v>0</v>
      </c>
      <c r="N365" t="n">
        <v>0</v>
      </c>
      <c r="O365" t="n">
        <v>0</v>
      </c>
      <c r="P365" t="n">
        <v>0</v>
      </c>
      <c r="Q365" t="n">
        <v>1</v>
      </c>
      <c r="R365" s="2" t="inlineStr">
        <is>
          <t>Guckusko</t>
        </is>
      </c>
      <c r="S365">
        <f>HYPERLINK("https://klasma.github.io/Logging_0188/artfynd/A 47898-2022 artfynd.xlsx", "A 47898-2022")</f>
        <v/>
      </c>
      <c r="T365">
        <f>HYPERLINK("https://klasma.github.io/Logging_0188/kartor/A 47898-2022 karta.png", "A 47898-2022")</f>
        <v/>
      </c>
      <c r="V365">
        <f>HYPERLINK("https://klasma.github.io/Logging_0188/klagomål/A 47898-2022 FSC-klagomål.docx", "A 47898-2022")</f>
        <v/>
      </c>
      <c r="W365">
        <f>HYPERLINK("https://klasma.github.io/Logging_0188/klagomålsmail/A 47898-2022 FSC-klagomål mail.docx", "A 47898-2022")</f>
        <v/>
      </c>
      <c r="X365">
        <f>HYPERLINK("https://klasma.github.io/Logging_0188/tillsyn/A 47898-2022 tillsynsbegäran.docx", "A 47898-2022")</f>
        <v/>
      </c>
      <c r="Y365">
        <f>HYPERLINK("https://klasma.github.io/Logging_0188/tillsynsmail/A 47898-2022 tillsynsbegäran mail.docx", "A 47898-2022")</f>
        <v/>
      </c>
    </row>
    <row r="366" ht="15" customHeight="1">
      <c r="A366" t="inlineStr">
        <is>
          <t>A 17348-2025</t>
        </is>
      </c>
      <c r="B366" s="1" t="n">
        <v>45756</v>
      </c>
      <c r="C366" s="1" t="n">
        <v>46050</v>
      </c>
      <c r="D366" t="inlineStr">
        <is>
          <t>STOCKHOLMS LÄN</t>
        </is>
      </c>
      <c r="E366" t="inlineStr">
        <is>
          <t>VALLENTUNA</t>
        </is>
      </c>
      <c r="F366" t="inlineStr">
        <is>
          <t>Övriga Aktiebolag</t>
        </is>
      </c>
      <c r="G366" t="n">
        <v>2.2</v>
      </c>
      <c r="H366" t="n">
        <v>0</v>
      </c>
      <c r="I366" t="n">
        <v>1</v>
      </c>
      <c r="J366" t="n">
        <v>0</v>
      </c>
      <c r="K366" t="n">
        <v>0</v>
      </c>
      <c r="L366" t="n">
        <v>0</v>
      </c>
      <c r="M366" t="n">
        <v>0</v>
      </c>
      <c r="N366" t="n">
        <v>0</v>
      </c>
      <c r="O366" t="n">
        <v>0</v>
      </c>
      <c r="P366" t="n">
        <v>0</v>
      </c>
      <c r="Q366" t="n">
        <v>1</v>
      </c>
      <c r="R366" s="2" t="inlineStr">
        <is>
          <t>Björksplintborre</t>
        </is>
      </c>
      <c r="S366">
        <f>HYPERLINK("https://klasma.github.io/Logging_0115/artfynd/A 17348-2025 artfynd.xlsx", "A 17348-2025")</f>
        <v/>
      </c>
      <c r="T366">
        <f>HYPERLINK("https://klasma.github.io/Logging_0115/kartor/A 17348-2025 karta.png", "A 17348-2025")</f>
        <v/>
      </c>
      <c r="V366">
        <f>HYPERLINK("https://klasma.github.io/Logging_0115/klagomål/A 17348-2025 FSC-klagomål.docx", "A 17348-2025")</f>
        <v/>
      </c>
      <c r="W366">
        <f>HYPERLINK("https://klasma.github.io/Logging_0115/klagomålsmail/A 17348-2025 FSC-klagomål mail.docx", "A 17348-2025")</f>
        <v/>
      </c>
      <c r="X366">
        <f>HYPERLINK("https://klasma.github.io/Logging_0115/tillsyn/A 17348-2025 tillsynsbegäran.docx", "A 17348-2025")</f>
        <v/>
      </c>
      <c r="Y366">
        <f>HYPERLINK("https://klasma.github.io/Logging_0115/tillsynsmail/A 17348-2025 tillsynsbegäran mail.docx", "A 17348-2025")</f>
        <v/>
      </c>
    </row>
    <row r="367" ht="15" customHeight="1">
      <c r="A367" t="inlineStr">
        <is>
          <t>A 48658-2022</t>
        </is>
      </c>
      <c r="B367" s="1" t="n">
        <v>44859</v>
      </c>
      <c r="C367" s="1" t="n">
        <v>46050</v>
      </c>
      <c r="D367" t="inlineStr">
        <is>
          <t>STOCKHOLMS LÄN</t>
        </is>
      </c>
      <c r="E367" t="inlineStr">
        <is>
          <t>VÄRMDÖ</t>
        </is>
      </c>
      <c r="G367" t="n">
        <v>4.2</v>
      </c>
      <c r="H367" t="n">
        <v>0</v>
      </c>
      <c r="I367" t="n">
        <v>0</v>
      </c>
      <c r="J367" t="n">
        <v>1</v>
      </c>
      <c r="K367" t="n">
        <v>0</v>
      </c>
      <c r="L367" t="n">
        <v>0</v>
      </c>
      <c r="M367" t="n">
        <v>0</v>
      </c>
      <c r="N367" t="n">
        <v>0</v>
      </c>
      <c r="O367" t="n">
        <v>1</v>
      </c>
      <c r="P367" t="n">
        <v>0</v>
      </c>
      <c r="Q367" t="n">
        <v>1</v>
      </c>
      <c r="R367" s="2" t="inlineStr">
        <is>
          <t>Tallticka</t>
        </is>
      </c>
      <c r="S367">
        <f>HYPERLINK("https://klasma.github.io/Logging_0120/artfynd/A 48658-2022 artfynd.xlsx", "A 48658-2022")</f>
        <v/>
      </c>
      <c r="T367">
        <f>HYPERLINK("https://klasma.github.io/Logging_0120/kartor/A 48658-2022 karta.png", "A 48658-2022")</f>
        <v/>
      </c>
      <c r="V367">
        <f>HYPERLINK("https://klasma.github.io/Logging_0120/klagomål/A 48658-2022 FSC-klagomål.docx", "A 48658-2022")</f>
        <v/>
      </c>
      <c r="W367">
        <f>HYPERLINK("https://klasma.github.io/Logging_0120/klagomålsmail/A 48658-2022 FSC-klagomål mail.docx", "A 48658-2022")</f>
        <v/>
      </c>
      <c r="X367">
        <f>HYPERLINK("https://klasma.github.io/Logging_0120/tillsyn/A 48658-2022 tillsynsbegäran.docx", "A 48658-2022")</f>
        <v/>
      </c>
      <c r="Y367">
        <f>HYPERLINK("https://klasma.github.io/Logging_0120/tillsynsmail/A 48658-2022 tillsynsbegäran mail.docx", "A 48658-2022")</f>
        <v/>
      </c>
    </row>
    <row r="368" ht="15" customHeight="1">
      <c r="A368" t="inlineStr">
        <is>
          <t>A 57389-2024</t>
        </is>
      </c>
      <c r="B368" s="1" t="n">
        <v>45629.68615740741</v>
      </c>
      <c r="C368" s="1" t="n">
        <v>46050</v>
      </c>
      <c r="D368" t="inlineStr">
        <is>
          <t>STOCKHOLMS LÄN</t>
        </is>
      </c>
      <c r="E368" t="inlineStr">
        <is>
          <t>NYKVARN</t>
        </is>
      </c>
      <c r="G368" t="n">
        <v>5</v>
      </c>
      <c r="H368" t="n">
        <v>0</v>
      </c>
      <c r="I368" t="n">
        <v>0</v>
      </c>
      <c r="J368" t="n">
        <v>1</v>
      </c>
      <c r="K368" t="n">
        <v>0</v>
      </c>
      <c r="L368" t="n">
        <v>0</v>
      </c>
      <c r="M368" t="n">
        <v>0</v>
      </c>
      <c r="N368" t="n">
        <v>0</v>
      </c>
      <c r="O368" t="n">
        <v>1</v>
      </c>
      <c r="P368" t="n">
        <v>0</v>
      </c>
      <c r="Q368" t="n">
        <v>1</v>
      </c>
      <c r="R368" s="2" t="inlineStr">
        <is>
          <t>Igelkott</t>
        </is>
      </c>
      <c r="S368">
        <f>HYPERLINK("https://klasma.github.io/Logging_0140/artfynd/A 57389-2024 artfynd.xlsx", "A 57389-2024")</f>
        <v/>
      </c>
      <c r="T368">
        <f>HYPERLINK("https://klasma.github.io/Logging_0140/kartor/A 57389-2024 karta.png", "A 57389-2024")</f>
        <v/>
      </c>
      <c r="V368">
        <f>HYPERLINK("https://klasma.github.io/Logging_0140/klagomål/A 57389-2024 FSC-klagomål.docx", "A 57389-2024")</f>
        <v/>
      </c>
      <c r="W368">
        <f>HYPERLINK("https://klasma.github.io/Logging_0140/klagomålsmail/A 57389-2024 FSC-klagomål mail.docx", "A 57389-2024")</f>
        <v/>
      </c>
      <c r="X368">
        <f>HYPERLINK("https://klasma.github.io/Logging_0140/tillsyn/A 57389-2024 tillsynsbegäran.docx", "A 57389-2024")</f>
        <v/>
      </c>
      <c r="Y368">
        <f>HYPERLINK("https://klasma.github.io/Logging_0140/tillsynsmail/A 57389-2024 tillsynsbegäran mail.docx", "A 57389-2024")</f>
        <v/>
      </c>
    </row>
    <row r="369" ht="15" customHeight="1">
      <c r="A369" t="inlineStr">
        <is>
          <t>A 4688-2023</t>
        </is>
      </c>
      <c r="B369" s="1" t="n">
        <v>44957</v>
      </c>
      <c r="C369" s="1" t="n">
        <v>46050</v>
      </c>
      <c r="D369" t="inlineStr">
        <is>
          <t>STOCKHOLMS LÄN</t>
        </is>
      </c>
      <c r="E369" t="inlineStr">
        <is>
          <t>NYNÄSHAMN</t>
        </is>
      </c>
      <c r="G369" t="n">
        <v>0.9</v>
      </c>
      <c r="H369" t="n">
        <v>1</v>
      </c>
      <c r="I369" t="n">
        <v>0</v>
      </c>
      <c r="J369" t="n">
        <v>1</v>
      </c>
      <c r="K369" t="n">
        <v>0</v>
      </c>
      <c r="L369" t="n">
        <v>0</v>
      </c>
      <c r="M369" t="n">
        <v>0</v>
      </c>
      <c r="N369" t="n">
        <v>0</v>
      </c>
      <c r="O369" t="n">
        <v>1</v>
      </c>
      <c r="P369" t="n">
        <v>0</v>
      </c>
      <c r="Q369" t="n">
        <v>1</v>
      </c>
      <c r="R369" s="2" t="inlineStr">
        <is>
          <t>Lundsångare</t>
        </is>
      </c>
      <c r="S369">
        <f>HYPERLINK("https://klasma.github.io/Logging_0192/artfynd/A 4688-2023 artfynd.xlsx", "A 4688-2023")</f>
        <v/>
      </c>
      <c r="T369">
        <f>HYPERLINK("https://klasma.github.io/Logging_0192/kartor/A 4688-2023 karta.png", "A 4688-2023")</f>
        <v/>
      </c>
      <c r="V369">
        <f>HYPERLINK("https://klasma.github.io/Logging_0192/klagomål/A 4688-2023 FSC-klagomål.docx", "A 4688-2023")</f>
        <v/>
      </c>
      <c r="W369">
        <f>HYPERLINK("https://klasma.github.io/Logging_0192/klagomålsmail/A 4688-2023 FSC-klagomål mail.docx", "A 4688-2023")</f>
        <v/>
      </c>
      <c r="X369">
        <f>HYPERLINK("https://klasma.github.io/Logging_0192/tillsyn/A 4688-2023 tillsynsbegäran.docx", "A 4688-2023")</f>
        <v/>
      </c>
      <c r="Y369">
        <f>HYPERLINK("https://klasma.github.io/Logging_0192/tillsynsmail/A 4688-2023 tillsynsbegäran mail.docx", "A 4688-2023")</f>
        <v/>
      </c>
      <c r="Z369">
        <f>HYPERLINK("https://klasma.github.io/Logging_0192/fåglar/A 4688-2023 prioriterade fågelarter.docx", "A 4688-2023")</f>
        <v/>
      </c>
    </row>
    <row r="370" ht="15" customHeight="1">
      <c r="A370" t="inlineStr">
        <is>
          <t>A 11447-2025</t>
        </is>
      </c>
      <c r="B370" s="1" t="n">
        <v>45726</v>
      </c>
      <c r="C370" s="1" t="n">
        <v>46050</v>
      </c>
      <c r="D370" t="inlineStr">
        <is>
          <t>STOCKHOLMS LÄN</t>
        </is>
      </c>
      <c r="E370" t="inlineStr">
        <is>
          <t>UPPLANDS-BRO</t>
        </is>
      </c>
      <c r="G370" t="n">
        <v>1.5</v>
      </c>
      <c r="H370" t="n">
        <v>0</v>
      </c>
      <c r="I370" t="n">
        <v>1</v>
      </c>
      <c r="J370" t="n">
        <v>0</v>
      </c>
      <c r="K370" t="n">
        <v>0</v>
      </c>
      <c r="L370" t="n">
        <v>0</v>
      </c>
      <c r="M370" t="n">
        <v>0</v>
      </c>
      <c r="N370" t="n">
        <v>0</v>
      </c>
      <c r="O370" t="n">
        <v>0</v>
      </c>
      <c r="P370" t="n">
        <v>0</v>
      </c>
      <c r="Q370" t="n">
        <v>1</v>
      </c>
      <c r="R370" s="2" t="inlineStr">
        <is>
          <t>Myskbock</t>
        </is>
      </c>
      <c r="S370">
        <f>HYPERLINK("https://klasma.github.io/Logging_0139/artfynd/A 11447-2025 artfynd.xlsx", "A 11447-2025")</f>
        <v/>
      </c>
      <c r="T370">
        <f>HYPERLINK("https://klasma.github.io/Logging_0139/kartor/A 11447-2025 karta.png", "A 11447-2025")</f>
        <v/>
      </c>
      <c r="V370">
        <f>HYPERLINK("https://klasma.github.io/Logging_0139/klagomål/A 11447-2025 FSC-klagomål.docx", "A 11447-2025")</f>
        <v/>
      </c>
      <c r="W370">
        <f>HYPERLINK("https://klasma.github.io/Logging_0139/klagomålsmail/A 11447-2025 FSC-klagomål mail.docx", "A 11447-2025")</f>
        <v/>
      </c>
      <c r="X370">
        <f>HYPERLINK("https://klasma.github.io/Logging_0139/tillsyn/A 11447-2025 tillsynsbegäran.docx", "A 11447-2025")</f>
        <v/>
      </c>
      <c r="Y370">
        <f>HYPERLINK("https://klasma.github.io/Logging_0139/tillsynsmail/A 11447-2025 tillsynsbegäran mail.docx", "A 11447-2025")</f>
        <v/>
      </c>
    </row>
    <row r="371" ht="15" customHeight="1">
      <c r="A371" t="inlineStr">
        <is>
          <t>A 14365-2025</t>
        </is>
      </c>
      <c r="B371" s="1" t="n">
        <v>45741.38688657407</v>
      </c>
      <c r="C371" s="1" t="n">
        <v>46050</v>
      </c>
      <c r="D371" t="inlineStr">
        <is>
          <t>STOCKHOLMS LÄN</t>
        </is>
      </c>
      <c r="E371" t="inlineStr">
        <is>
          <t>NORRTÄLJE</t>
        </is>
      </c>
      <c r="G371" t="n">
        <v>2.4</v>
      </c>
      <c r="H371" t="n">
        <v>0</v>
      </c>
      <c r="I371" t="n">
        <v>0</v>
      </c>
      <c r="J371" t="n">
        <v>1</v>
      </c>
      <c r="K371" t="n">
        <v>0</v>
      </c>
      <c r="L371" t="n">
        <v>0</v>
      </c>
      <c r="M371" t="n">
        <v>0</v>
      </c>
      <c r="N371" t="n">
        <v>0</v>
      </c>
      <c r="O371" t="n">
        <v>1</v>
      </c>
      <c r="P371" t="n">
        <v>0</v>
      </c>
      <c r="Q371" t="n">
        <v>1</v>
      </c>
      <c r="R371" s="2" t="inlineStr">
        <is>
          <t>Granticka</t>
        </is>
      </c>
      <c r="S371">
        <f>HYPERLINK("https://klasma.github.io/Logging_0188/artfynd/A 14365-2025 artfynd.xlsx", "A 14365-2025")</f>
        <v/>
      </c>
      <c r="T371">
        <f>HYPERLINK("https://klasma.github.io/Logging_0188/kartor/A 14365-2025 karta.png", "A 14365-2025")</f>
        <v/>
      </c>
      <c r="V371">
        <f>HYPERLINK("https://klasma.github.io/Logging_0188/klagomål/A 14365-2025 FSC-klagomål.docx", "A 14365-2025")</f>
        <v/>
      </c>
      <c r="W371">
        <f>HYPERLINK("https://klasma.github.io/Logging_0188/klagomålsmail/A 14365-2025 FSC-klagomål mail.docx", "A 14365-2025")</f>
        <v/>
      </c>
      <c r="X371">
        <f>HYPERLINK("https://klasma.github.io/Logging_0188/tillsyn/A 14365-2025 tillsynsbegäran.docx", "A 14365-2025")</f>
        <v/>
      </c>
      <c r="Y371">
        <f>HYPERLINK("https://klasma.github.io/Logging_0188/tillsynsmail/A 14365-2025 tillsynsbegäran mail.docx", "A 14365-2025")</f>
        <v/>
      </c>
    </row>
    <row r="372" ht="15" customHeight="1">
      <c r="A372" t="inlineStr">
        <is>
          <t>A 32111-2022</t>
        </is>
      </c>
      <c r="B372" s="1" t="n">
        <v>44778.92797453704</v>
      </c>
      <c r="C372" s="1" t="n">
        <v>46050</v>
      </c>
      <c r="D372" t="inlineStr">
        <is>
          <t>STOCKHOLMS LÄN</t>
        </is>
      </c>
      <c r="E372" t="inlineStr">
        <is>
          <t>NORRTÄLJE</t>
        </is>
      </c>
      <c r="G372" t="n">
        <v>3.1</v>
      </c>
      <c r="H372" t="n">
        <v>0</v>
      </c>
      <c r="I372" t="n">
        <v>0</v>
      </c>
      <c r="J372" t="n">
        <v>1</v>
      </c>
      <c r="K372" t="n">
        <v>0</v>
      </c>
      <c r="L372" t="n">
        <v>0</v>
      </c>
      <c r="M372" t="n">
        <v>0</v>
      </c>
      <c r="N372" t="n">
        <v>0</v>
      </c>
      <c r="O372" t="n">
        <v>1</v>
      </c>
      <c r="P372" t="n">
        <v>0</v>
      </c>
      <c r="Q372" t="n">
        <v>1</v>
      </c>
      <c r="R372" s="2" t="inlineStr">
        <is>
          <t>Orange taggsvamp</t>
        </is>
      </c>
      <c r="S372">
        <f>HYPERLINK("https://klasma.github.io/Logging_0188/artfynd/A 32111-2022 artfynd.xlsx", "A 32111-2022")</f>
        <v/>
      </c>
      <c r="T372">
        <f>HYPERLINK("https://klasma.github.io/Logging_0188/kartor/A 32111-2022 karta.png", "A 32111-2022")</f>
        <v/>
      </c>
      <c r="V372">
        <f>HYPERLINK("https://klasma.github.io/Logging_0188/klagomål/A 32111-2022 FSC-klagomål.docx", "A 32111-2022")</f>
        <v/>
      </c>
      <c r="W372">
        <f>HYPERLINK("https://klasma.github.io/Logging_0188/klagomålsmail/A 32111-2022 FSC-klagomål mail.docx", "A 32111-2022")</f>
        <v/>
      </c>
      <c r="X372">
        <f>HYPERLINK("https://klasma.github.io/Logging_0188/tillsyn/A 32111-2022 tillsynsbegäran.docx", "A 32111-2022")</f>
        <v/>
      </c>
      <c r="Y372">
        <f>HYPERLINK("https://klasma.github.io/Logging_0188/tillsynsmail/A 32111-2022 tillsynsbegäran mail.docx", "A 32111-2022")</f>
        <v/>
      </c>
    </row>
    <row r="373" ht="15" customHeight="1">
      <c r="A373" t="inlineStr">
        <is>
          <t>A 14092-2023</t>
        </is>
      </c>
      <c r="B373" s="1" t="n">
        <v>45009</v>
      </c>
      <c r="C373" s="1" t="n">
        <v>46050</v>
      </c>
      <c r="D373" t="inlineStr">
        <is>
          <t>STOCKHOLMS LÄN</t>
        </is>
      </c>
      <c r="E373" t="inlineStr">
        <is>
          <t>SÖDERTÄLJE</t>
        </is>
      </c>
      <c r="F373" t="inlineStr">
        <is>
          <t>Kyrkan</t>
        </is>
      </c>
      <c r="G373" t="n">
        <v>4.1</v>
      </c>
      <c r="H373" t="n">
        <v>1</v>
      </c>
      <c r="I373" t="n">
        <v>0</v>
      </c>
      <c r="J373" t="n">
        <v>0</v>
      </c>
      <c r="K373" t="n">
        <v>0</v>
      </c>
      <c r="L373" t="n">
        <v>0</v>
      </c>
      <c r="M373" t="n">
        <v>0</v>
      </c>
      <c r="N373" t="n">
        <v>0</v>
      </c>
      <c r="O373" t="n">
        <v>0</v>
      </c>
      <c r="P373" t="n">
        <v>0</v>
      </c>
      <c r="Q373" t="n">
        <v>1</v>
      </c>
      <c r="R373" s="2" t="inlineStr">
        <is>
          <t>Kungsfågel</t>
        </is>
      </c>
      <c r="S373">
        <f>HYPERLINK("https://klasma.github.io/Logging_0181/artfynd/A 14092-2023 artfynd.xlsx", "A 14092-2023")</f>
        <v/>
      </c>
      <c r="T373">
        <f>HYPERLINK("https://klasma.github.io/Logging_0181/kartor/A 14092-2023 karta.png", "A 14092-2023")</f>
        <v/>
      </c>
      <c r="V373">
        <f>HYPERLINK("https://klasma.github.io/Logging_0181/klagomål/A 14092-2023 FSC-klagomål.docx", "A 14092-2023")</f>
        <v/>
      </c>
      <c r="W373">
        <f>HYPERLINK("https://klasma.github.io/Logging_0181/klagomålsmail/A 14092-2023 FSC-klagomål mail.docx", "A 14092-2023")</f>
        <v/>
      </c>
      <c r="X373">
        <f>HYPERLINK("https://klasma.github.io/Logging_0181/tillsyn/A 14092-2023 tillsynsbegäran.docx", "A 14092-2023")</f>
        <v/>
      </c>
      <c r="Y373">
        <f>HYPERLINK("https://klasma.github.io/Logging_0181/tillsynsmail/A 14092-2023 tillsynsbegäran mail.docx", "A 14092-2023")</f>
        <v/>
      </c>
      <c r="Z373">
        <f>HYPERLINK("https://klasma.github.io/Logging_0181/fåglar/A 14092-2023 prioriterade fågelarter.docx", "A 14092-2023")</f>
        <v/>
      </c>
    </row>
    <row r="374" ht="15" customHeight="1">
      <c r="A374" t="inlineStr">
        <is>
          <t>A 16478-2025</t>
        </is>
      </c>
      <c r="B374" s="1" t="n">
        <v>45751.57346064815</v>
      </c>
      <c r="C374" s="1" t="n">
        <v>46050</v>
      </c>
      <c r="D374" t="inlineStr">
        <is>
          <t>STOCKHOLMS LÄN</t>
        </is>
      </c>
      <c r="E374" t="inlineStr">
        <is>
          <t>SÖDERTÄLJE</t>
        </is>
      </c>
      <c r="G374" t="n">
        <v>2.1</v>
      </c>
      <c r="H374" t="n">
        <v>0</v>
      </c>
      <c r="I374" t="n">
        <v>1</v>
      </c>
      <c r="J374" t="n">
        <v>0</v>
      </c>
      <c r="K374" t="n">
        <v>0</v>
      </c>
      <c r="L374" t="n">
        <v>0</v>
      </c>
      <c r="M374" t="n">
        <v>0</v>
      </c>
      <c r="N374" t="n">
        <v>0</v>
      </c>
      <c r="O374" t="n">
        <v>0</v>
      </c>
      <c r="P374" t="n">
        <v>0</v>
      </c>
      <c r="Q374" t="n">
        <v>1</v>
      </c>
      <c r="R374" s="2" t="inlineStr">
        <is>
          <t>Tibast</t>
        </is>
      </c>
      <c r="S374">
        <f>HYPERLINK("https://klasma.github.io/Logging_0181/artfynd/A 16478-2025 artfynd.xlsx", "A 16478-2025")</f>
        <v/>
      </c>
      <c r="T374">
        <f>HYPERLINK("https://klasma.github.io/Logging_0181/kartor/A 16478-2025 karta.png", "A 16478-2025")</f>
        <v/>
      </c>
      <c r="V374">
        <f>HYPERLINK("https://klasma.github.io/Logging_0181/klagomål/A 16478-2025 FSC-klagomål.docx", "A 16478-2025")</f>
        <v/>
      </c>
      <c r="W374">
        <f>HYPERLINK("https://klasma.github.io/Logging_0181/klagomålsmail/A 16478-2025 FSC-klagomål mail.docx", "A 16478-2025")</f>
        <v/>
      </c>
      <c r="X374">
        <f>HYPERLINK("https://klasma.github.io/Logging_0181/tillsyn/A 16478-2025 tillsynsbegäran.docx", "A 16478-2025")</f>
        <v/>
      </c>
      <c r="Y374">
        <f>HYPERLINK("https://klasma.github.io/Logging_0181/tillsynsmail/A 16478-2025 tillsynsbegäran mail.docx", "A 16478-2025")</f>
        <v/>
      </c>
    </row>
    <row r="375" ht="15" customHeight="1">
      <c r="A375" t="inlineStr">
        <is>
          <t>A 4385-2023</t>
        </is>
      </c>
      <c r="B375" s="1" t="n">
        <v>44955.71322916666</v>
      </c>
      <c r="C375" s="1" t="n">
        <v>46050</v>
      </c>
      <c r="D375" t="inlineStr">
        <is>
          <t>STOCKHOLMS LÄN</t>
        </is>
      </c>
      <c r="E375" t="inlineStr">
        <is>
          <t>NORRTÄLJE</t>
        </is>
      </c>
      <c r="G375" t="n">
        <v>7.8</v>
      </c>
      <c r="H375" t="n">
        <v>1</v>
      </c>
      <c r="I375" t="n">
        <v>1</v>
      </c>
      <c r="J375" t="n">
        <v>0</v>
      </c>
      <c r="K375" t="n">
        <v>0</v>
      </c>
      <c r="L375" t="n">
        <v>0</v>
      </c>
      <c r="M375" t="n">
        <v>0</v>
      </c>
      <c r="N375" t="n">
        <v>0</v>
      </c>
      <c r="O375" t="n">
        <v>0</v>
      </c>
      <c r="P375" t="n">
        <v>0</v>
      </c>
      <c r="Q375" t="n">
        <v>1</v>
      </c>
      <c r="R375" s="2" t="inlineStr">
        <is>
          <t>Skogsknipprot</t>
        </is>
      </c>
      <c r="S375">
        <f>HYPERLINK("https://klasma.github.io/Logging_0188/artfynd/A 4385-2023 artfynd.xlsx", "A 4385-2023")</f>
        <v/>
      </c>
      <c r="T375">
        <f>HYPERLINK("https://klasma.github.io/Logging_0188/kartor/A 4385-2023 karta.png", "A 4385-2023")</f>
        <v/>
      </c>
      <c r="V375">
        <f>HYPERLINK("https://klasma.github.io/Logging_0188/klagomål/A 4385-2023 FSC-klagomål.docx", "A 4385-2023")</f>
        <v/>
      </c>
      <c r="W375">
        <f>HYPERLINK("https://klasma.github.io/Logging_0188/klagomålsmail/A 4385-2023 FSC-klagomål mail.docx", "A 4385-2023")</f>
        <v/>
      </c>
      <c r="X375">
        <f>HYPERLINK("https://klasma.github.io/Logging_0188/tillsyn/A 4385-2023 tillsynsbegäran.docx", "A 4385-2023")</f>
        <v/>
      </c>
      <c r="Y375">
        <f>HYPERLINK("https://klasma.github.io/Logging_0188/tillsynsmail/A 4385-2023 tillsynsbegäran mail.docx", "A 4385-2023")</f>
        <v/>
      </c>
    </row>
    <row r="376" ht="15" customHeight="1">
      <c r="A376" t="inlineStr">
        <is>
          <t>A 26902-2024</t>
        </is>
      </c>
      <c r="B376" s="1" t="n">
        <v>45470</v>
      </c>
      <c r="C376" s="1" t="n">
        <v>46050</v>
      </c>
      <c r="D376" t="inlineStr">
        <is>
          <t>STOCKHOLMS LÄN</t>
        </is>
      </c>
      <c r="E376" t="inlineStr">
        <is>
          <t>SÖDERTÄLJE</t>
        </is>
      </c>
      <c r="F376" t="inlineStr">
        <is>
          <t>Kommuner</t>
        </is>
      </c>
      <c r="G376" t="n">
        <v>3.5</v>
      </c>
      <c r="H376" t="n">
        <v>0</v>
      </c>
      <c r="I376" t="n">
        <v>0</v>
      </c>
      <c r="J376" t="n">
        <v>1</v>
      </c>
      <c r="K376" t="n">
        <v>0</v>
      </c>
      <c r="L376" t="n">
        <v>0</v>
      </c>
      <c r="M376" t="n">
        <v>0</v>
      </c>
      <c r="N376" t="n">
        <v>0</v>
      </c>
      <c r="O376" t="n">
        <v>1</v>
      </c>
      <c r="P376" t="n">
        <v>0</v>
      </c>
      <c r="Q376" t="n">
        <v>1</v>
      </c>
      <c r="R376" s="2" t="inlineStr">
        <is>
          <t>Persiljespindling</t>
        </is>
      </c>
      <c r="S376">
        <f>HYPERLINK("https://klasma.github.io/Logging_0181/artfynd/A 26902-2024 artfynd.xlsx", "A 26902-2024")</f>
        <v/>
      </c>
      <c r="T376">
        <f>HYPERLINK("https://klasma.github.io/Logging_0181/kartor/A 26902-2024 karta.png", "A 26902-2024")</f>
        <v/>
      </c>
      <c r="V376">
        <f>HYPERLINK("https://klasma.github.io/Logging_0181/klagomål/A 26902-2024 FSC-klagomål.docx", "A 26902-2024")</f>
        <v/>
      </c>
      <c r="W376">
        <f>HYPERLINK("https://klasma.github.io/Logging_0181/klagomålsmail/A 26902-2024 FSC-klagomål mail.docx", "A 26902-2024")</f>
        <v/>
      </c>
      <c r="X376">
        <f>HYPERLINK("https://klasma.github.io/Logging_0181/tillsyn/A 26902-2024 tillsynsbegäran.docx", "A 26902-2024")</f>
        <v/>
      </c>
      <c r="Y376">
        <f>HYPERLINK("https://klasma.github.io/Logging_0181/tillsynsmail/A 26902-2024 tillsynsbegäran mail.docx", "A 26902-2024")</f>
        <v/>
      </c>
    </row>
    <row r="377" ht="15" customHeight="1">
      <c r="A377" t="inlineStr">
        <is>
          <t>A 60369-2023</t>
        </is>
      </c>
      <c r="B377" s="1" t="n">
        <v>45259</v>
      </c>
      <c r="C377" s="1" t="n">
        <v>46050</v>
      </c>
      <c r="D377" t="inlineStr">
        <is>
          <t>STOCKHOLMS LÄN</t>
        </is>
      </c>
      <c r="E377" t="inlineStr">
        <is>
          <t>HANINGE</t>
        </is>
      </c>
      <c r="G377" t="n">
        <v>2.9</v>
      </c>
      <c r="H377" t="n">
        <v>1</v>
      </c>
      <c r="I377" t="n">
        <v>0</v>
      </c>
      <c r="J377" t="n">
        <v>0</v>
      </c>
      <c r="K377" t="n">
        <v>0</v>
      </c>
      <c r="L377" t="n">
        <v>0</v>
      </c>
      <c r="M377" t="n">
        <v>0</v>
      </c>
      <c r="N377" t="n">
        <v>0</v>
      </c>
      <c r="O377" t="n">
        <v>0</v>
      </c>
      <c r="P377" t="n">
        <v>0</v>
      </c>
      <c r="Q377" t="n">
        <v>1</v>
      </c>
      <c r="R377" s="2" t="inlineStr">
        <is>
          <t>Mattlummer</t>
        </is>
      </c>
      <c r="S377">
        <f>HYPERLINK("https://klasma.github.io/Logging_0136/artfynd/A 60369-2023 artfynd.xlsx", "A 60369-2023")</f>
        <v/>
      </c>
      <c r="T377">
        <f>HYPERLINK("https://klasma.github.io/Logging_0136/kartor/A 60369-2023 karta.png", "A 60369-2023")</f>
        <v/>
      </c>
      <c r="V377">
        <f>HYPERLINK("https://klasma.github.io/Logging_0136/klagomål/A 60369-2023 FSC-klagomål.docx", "A 60369-2023")</f>
        <v/>
      </c>
      <c r="W377">
        <f>HYPERLINK("https://klasma.github.io/Logging_0136/klagomålsmail/A 60369-2023 FSC-klagomål mail.docx", "A 60369-2023")</f>
        <v/>
      </c>
      <c r="X377">
        <f>HYPERLINK("https://klasma.github.io/Logging_0136/tillsyn/A 60369-2023 tillsynsbegäran.docx", "A 60369-2023")</f>
        <v/>
      </c>
      <c r="Y377">
        <f>HYPERLINK("https://klasma.github.io/Logging_0136/tillsynsmail/A 60369-2023 tillsynsbegäran mail.docx", "A 60369-2023")</f>
        <v/>
      </c>
    </row>
    <row r="378" ht="15" customHeight="1">
      <c r="A378" t="inlineStr">
        <is>
          <t>A 4860-2022</t>
        </is>
      </c>
      <c r="B378" s="1" t="n">
        <v>44592</v>
      </c>
      <c r="C378" s="1" t="n">
        <v>46050</v>
      </c>
      <c r="D378" t="inlineStr">
        <is>
          <t>STOCKHOLMS LÄN</t>
        </is>
      </c>
      <c r="E378" t="inlineStr">
        <is>
          <t>NORRTÄLJE</t>
        </is>
      </c>
      <c r="G378" t="n">
        <v>22.3</v>
      </c>
      <c r="H378" t="n">
        <v>0</v>
      </c>
      <c r="I378" t="n">
        <v>0</v>
      </c>
      <c r="J378" t="n">
        <v>1</v>
      </c>
      <c r="K378" t="n">
        <v>0</v>
      </c>
      <c r="L378" t="n">
        <v>0</v>
      </c>
      <c r="M378" t="n">
        <v>0</v>
      </c>
      <c r="N378" t="n">
        <v>0</v>
      </c>
      <c r="O378" t="n">
        <v>1</v>
      </c>
      <c r="P378" t="n">
        <v>0</v>
      </c>
      <c r="Q378" t="n">
        <v>1</v>
      </c>
      <c r="R378" s="2" t="inlineStr">
        <is>
          <t>Igelkott</t>
        </is>
      </c>
      <c r="S378">
        <f>HYPERLINK("https://klasma.github.io/Logging_0188/artfynd/A 4860-2022 artfynd.xlsx", "A 4860-2022")</f>
        <v/>
      </c>
      <c r="T378">
        <f>HYPERLINK("https://klasma.github.io/Logging_0188/kartor/A 4860-2022 karta.png", "A 4860-2022")</f>
        <v/>
      </c>
      <c r="V378">
        <f>HYPERLINK("https://klasma.github.io/Logging_0188/klagomål/A 4860-2022 FSC-klagomål.docx", "A 4860-2022")</f>
        <v/>
      </c>
      <c r="W378">
        <f>HYPERLINK("https://klasma.github.io/Logging_0188/klagomålsmail/A 4860-2022 FSC-klagomål mail.docx", "A 4860-2022")</f>
        <v/>
      </c>
      <c r="X378">
        <f>HYPERLINK("https://klasma.github.io/Logging_0188/tillsyn/A 4860-2022 tillsynsbegäran.docx", "A 4860-2022")</f>
        <v/>
      </c>
      <c r="Y378">
        <f>HYPERLINK("https://klasma.github.io/Logging_0188/tillsynsmail/A 4860-2022 tillsynsbegäran mail.docx", "A 4860-2022")</f>
        <v/>
      </c>
    </row>
    <row r="379" ht="15" customHeight="1">
      <c r="A379" t="inlineStr">
        <is>
          <t>A 13942-2021</t>
        </is>
      </c>
      <c r="B379" s="1" t="n">
        <v>44277</v>
      </c>
      <c r="C379" s="1" t="n">
        <v>46050</v>
      </c>
      <c r="D379" t="inlineStr">
        <is>
          <t>STOCKHOLMS LÄN</t>
        </is>
      </c>
      <c r="E379" t="inlineStr">
        <is>
          <t>ÖSTERÅKER</t>
        </is>
      </c>
      <c r="G379" t="n">
        <v>5.2</v>
      </c>
      <c r="H379" t="n">
        <v>0</v>
      </c>
      <c r="I379" t="n">
        <v>1</v>
      </c>
      <c r="J379" t="n">
        <v>0</v>
      </c>
      <c r="K379" t="n">
        <v>0</v>
      </c>
      <c r="L379" t="n">
        <v>0</v>
      </c>
      <c r="M379" t="n">
        <v>0</v>
      </c>
      <c r="N379" t="n">
        <v>0</v>
      </c>
      <c r="O379" t="n">
        <v>0</v>
      </c>
      <c r="P379" t="n">
        <v>0</v>
      </c>
      <c r="Q379" t="n">
        <v>1</v>
      </c>
      <c r="R379" s="2" t="inlineStr">
        <is>
          <t>Skogsbräsma</t>
        </is>
      </c>
      <c r="S379">
        <f>HYPERLINK("https://klasma.github.io/Logging_0117/artfynd/A 13942-2021 artfynd.xlsx", "A 13942-2021")</f>
        <v/>
      </c>
      <c r="T379">
        <f>HYPERLINK("https://klasma.github.io/Logging_0117/kartor/A 13942-2021 karta.png", "A 13942-2021")</f>
        <v/>
      </c>
      <c r="V379">
        <f>HYPERLINK("https://klasma.github.io/Logging_0117/klagomål/A 13942-2021 FSC-klagomål.docx", "A 13942-2021")</f>
        <v/>
      </c>
      <c r="W379">
        <f>HYPERLINK("https://klasma.github.io/Logging_0117/klagomålsmail/A 13942-2021 FSC-klagomål mail.docx", "A 13942-2021")</f>
        <v/>
      </c>
      <c r="X379">
        <f>HYPERLINK("https://klasma.github.io/Logging_0117/tillsyn/A 13942-2021 tillsynsbegäran.docx", "A 13942-2021")</f>
        <v/>
      </c>
      <c r="Y379">
        <f>HYPERLINK("https://klasma.github.io/Logging_0117/tillsynsmail/A 13942-2021 tillsynsbegäran mail.docx", "A 13942-2021")</f>
        <v/>
      </c>
    </row>
    <row r="380" ht="15" customHeight="1">
      <c r="A380" t="inlineStr">
        <is>
          <t>A 3726-2022</t>
        </is>
      </c>
      <c r="B380" s="1" t="n">
        <v>44586</v>
      </c>
      <c r="C380" s="1" t="n">
        <v>46050</v>
      </c>
      <c r="D380" t="inlineStr">
        <is>
          <t>STOCKHOLMS LÄN</t>
        </is>
      </c>
      <c r="E380" t="inlineStr">
        <is>
          <t>BOTKYRKA</t>
        </is>
      </c>
      <c r="G380" t="n">
        <v>17.1</v>
      </c>
      <c r="H380" t="n">
        <v>0</v>
      </c>
      <c r="I380" t="n">
        <v>1</v>
      </c>
      <c r="J380" t="n">
        <v>0</v>
      </c>
      <c r="K380" t="n">
        <v>0</v>
      </c>
      <c r="L380" t="n">
        <v>0</v>
      </c>
      <c r="M380" t="n">
        <v>0</v>
      </c>
      <c r="N380" t="n">
        <v>0</v>
      </c>
      <c r="O380" t="n">
        <v>0</v>
      </c>
      <c r="P380" t="n">
        <v>0</v>
      </c>
      <c r="Q380" t="n">
        <v>1</v>
      </c>
      <c r="R380" s="2" t="inlineStr">
        <is>
          <t>Blomkålssvamp</t>
        </is>
      </c>
      <c r="S380">
        <f>HYPERLINK("https://klasma.github.io/Logging_0127/artfynd/A 3726-2022 artfynd.xlsx", "A 3726-2022")</f>
        <v/>
      </c>
      <c r="T380">
        <f>HYPERLINK("https://klasma.github.io/Logging_0127/kartor/A 3726-2022 karta.png", "A 3726-2022")</f>
        <v/>
      </c>
      <c r="V380">
        <f>HYPERLINK("https://klasma.github.io/Logging_0127/klagomål/A 3726-2022 FSC-klagomål.docx", "A 3726-2022")</f>
        <v/>
      </c>
      <c r="W380">
        <f>HYPERLINK("https://klasma.github.io/Logging_0127/klagomålsmail/A 3726-2022 FSC-klagomål mail.docx", "A 3726-2022")</f>
        <v/>
      </c>
      <c r="X380">
        <f>HYPERLINK("https://klasma.github.io/Logging_0127/tillsyn/A 3726-2022 tillsynsbegäran.docx", "A 3726-2022")</f>
        <v/>
      </c>
      <c r="Y380">
        <f>HYPERLINK("https://klasma.github.io/Logging_0127/tillsynsmail/A 3726-2022 tillsynsbegäran mail.docx", "A 3726-2022")</f>
        <v/>
      </c>
    </row>
    <row r="381" ht="15" customHeight="1">
      <c r="A381" t="inlineStr">
        <is>
          <t>A 19829-2022</t>
        </is>
      </c>
      <c r="B381" s="1" t="n">
        <v>44695.43527777777</v>
      </c>
      <c r="C381" s="1" t="n">
        <v>46050</v>
      </c>
      <c r="D381" t="inlineStr">
        <is>
          <t>STOCKHOLMS LÄN</t>
        </is>
      </c>
      <c r="E381" t="inlineStr">
        <is>
          <t>NORRTÄLJE</t>
        </is>
      </c>
      <c r="G381" t="n">
        <v>2</v>
      </c>
      <c r="H381" t="n">
        <v>1</v>
      </c>
      <c r="I381" t="n">
        <v>1</v>
      </c>
      <c r="J381" t="n">
        <v>0</v>
      </c>
      <c r="K381" t="n">
        <v>0</v>
      </c>
      <c r="L381" t="n">
        <v>0</v>
      </c>
      <c r="M381" t="n">
        <v>0</v>
      </c>
      <c r="N381" t="n">
        <v>0</v>
      </c>
      <c r="O381" t="n">
        <v>0</v>
      </c>
      <c r="P381" t="n">
        <v>0</v>
      </c>
      <c r="Q381" t="n">
        <v>1</v>
      </c>
      <c r="R381" s="2" t="inlineStr">
        <is>
          <t>Guckusko</t>
        </is>
      </c>
      <c r="S381">
        <f>HYPERLINK("https://klasma.github.io/Logging_0188/artfynd/A 19829-2022 artfynd.xlsx", "A 19829-2022")</f>
        <v/>
      </c>
      <c r="T381">
        <f>HYPERLINK("https://klasma.github.io/Logging_0188/kartor/A 19829-2022 karta.png", "A 19829-2022")</f>
        <v/>
      </c>
      <c r="V381">
        <f>HYPERLINK("https://klasma.github.io/Logging_0188/klagomål/A 19829-2022 FSC-klagomål.docx", "A 19829-2022")</f>
        <v/>
      </c>
      <c r="W381">
        <f>HYPERLINK("https://klasma.github.io/Logging_0188/klagomålsmail/A 19829-2022 FSC-klagomål mail.docx", "A 19829-2022")</f>
        <v/>
      </c>
      <c r="X381">
        <f>HYPERLINK("https://klasma.github.io/Logging_0188/tillsyn/A 19829-2022 tillsynsbegäran.docx", "A 19829-2022")</f>
        <v/>
      </c>
      <c r="Y381">
        <f>HYPERLINK("https://klasma.github.io/Logging_0188/tillsynsmail/A 19829-2022 tillsynsbegäran mail.docx", "A 19829-2022")</f>
        <v/>
      </c>
    </row>
    <row r="382" ht="15" customHeight="1">
      <c r="A382" t="inlineStr">
        <is>
          <t>A 54056-2022</t>
        </is>
      </c>
      <c r="B382" s="1" t="n">
        <v>44876</v>
      </c>
      <c r="C382" s="1" t="n">
        <v>46050</v>
      </c>
      <c r="D382" t="inlineStr">
        <is>
          <t>STOCKHOLMS LÄN</t>
        </is>
      </c>
      <c r="E382" t="inlineStr">
        <is>
          <t>VÄRMDÖ</t>
        </is>
      </c>
      <c r="F382" t="inlineStr">
        <is>
          <t>Kommuner</t>
        </is>
      </c>
      <c r="G382" t="n">
        <v>2</v>
      </c>
      <c r="H382" t="n">
        <v>0</v>
      </c>
      <c r="I382" t="n">
        <v>0</v>
      </c>
      <c r="J382" t="n">
        <v>1</v>
      </c>
      <c r="K382" t="n">
        <v>0</v>
      </c>
      <c r="L382" t="n">
        <v>0</v>
      </c>
      <c r="M382" t="n">
        <v>0</v>
      </c>
      <c r="N382" t="n">
        <v>0</v>
      </c>
      <c r="O382" t="n">
        <v>1</v>
      </c>
      <c r="P382" t="n">
        <v>0</v>
      </c>
      <c r="Q382" t="n">
        <v>1</v>
      </c>
      <c r="R382" s="2" t="inlineStr">
        <is>
          <t>Tallticka</t>
        </is>
      </c>
      <c r="S382">
        <f>HYPERLINK("https://klasma.github.io/Logging_0120/artfynd/A 54056-2022 artfynd.xlsx", "A 54056-2022")</f>
        <v/>
      </c>
      <c r="T382">
        <f>HYPERLINK("https://klasma.github.io/Logging_0120/kartor/A 54056-2022 karta.png", "A 54056-2022")</f>
        <v/>
      </c>
      <c r="V382">
        <f>HYPERLINK("https://klasma.github.io/Logging_0120/klagomål/A 54056-2022 FSC-klagomål.docx", "A 54056-2022")</f>
        <v/>
      </c>
      <c r="W382">
        <f>HYPERLINK("https://klasma.github.io/Logging_0120/klagomålsmail/A 54056-2022 FSC-klagomål mail.docx", "A 54056-2022")</f>
        <v/>
      </c>
      <c r="X382">
        <f>HYPERLINK("https://klasma.github.io/Logging_0120/tillsyn/A 54056-2022 tillsynsbegäran.docx", "A 54056-2022")</f>
        <v/>
      </c>
      <c r="Y382">
        <f>HYPERLINK("https://klasma.github.io/Logging_0120/tillsynsmail/A 54056-2022 tillsynsbegäran mail.docx", "A 54056-2022")</f>
        <v/>
      </c>
    </row>
    <row r="383" ht="15" customHeight="1">
      <c r="A383" t="inlineStr">
        <is>
          <t>A 7955-2023</t>
        </is>
      </c>
      <c r="B383" s="1" t="n">
        <v>44973</v>
      </c>
      <c r="C383" s="1" t="n">
        <v>46050</v>
      </c>
      <c r="D383" t="inlineStr">
        <is>
          <t>STOCKHOLMS LÄN</t>
        </is>
      </c>
      <c r="E383" t="inlineStr">
        <is>
          <t>UPPLANDS-BRO</t>
        </is>
      </c>
      <c r="G383" t="n">
        <v>2.9</v>
      </c>
      <c r="H383" t="n">
        <v>1</v>
      </c>
      <c r="I383" t="n">
        <v>0</v>
      </c>
      <c r="J383" t="n">
        <v>0</v>
      </c>
      <c r="K383" t="n">
        <v>1</v>
      </c>
      <c r="L383" t="n">
        <v>0</v>
      </c>
      <c r="M383" t="n">
        <v>0</v>
      </c>
      <c r="N383" t="n">
        <v>0</v>
      </c>
      <c r="O383" t="n">
        <v>1</v>
      </c>
      <c r="P383" t="n">
        <v>1</v>
      </c>
      <c r="Q383" t="n">
        <v>1</v>
      </c>
      <c r="R383" s="2" t="inlineStr">
        <is>
          <t>Bombmurkla</t>
        </is>
      </c>
      <c r="S383">
        <f>HYPERLINK("https://klasma.github.io/Logging_0139/artfynd/A 7955-2023 artfynd.xlsx", "A 7955-2023")</f>
        <v/>
      </c>
      <c r="T383">
        <f>HYPERLINK("https://klasma.github.io/Logging_0139/kartor/A 7955-2023 karta.png", "A 7955-2023")</f>
        <v/>
      </c>
      <c r="V383">
        <f>HYPERLINK("https://klasma.github.io/Logging_0139/klagomål/A 7955-2023 FSC-klagomål.docx", "A 7955-2023")</f>
        <v/>
      </c>
      <c r="W383">
        <f>HYPERLINK("https://klasma.github.io/Logging_0139/klagomålsmail/A 7955-2023 FSC-klagomål mail.docx", "A 7955-2023")</f>
        <v/>
      </c>
      <c r="X383">
        <f>HYPERLINK("https://klasma.github.io/Logging_0139/tillsyn/A 7955-2023 tillsynsbegäran.docx", "A 7955-2023")</f>
        <v/>
      </c>
      <c r="Y383">
        <f>HYPERLINK("https://klasma.github.io/Logging_0139/tillsynsmail/A 7955-2023 tillsynsbegäran mail.docx", "A 7955-2023")</f>
        <v/>
      </c>
    </row>
    <row r="384" ht="15" customHeight="1">
      <c r="A384" t="inlineStr">
        <is>
          <t>A 34458-2023</t>
        </is>
      </c>
      <c r="B384" s="1" t="n">
        <v>45139</v>
      </c>
      <c r="C384" s="1" t="n">
        <v>46050</v>
      </c>
      <c r="D384" t="inlineStr">
        <is>
          <t>STOCKHOLMS LÄN</t>
        </is>
      </c>
      <c r="E384" t="inlineStr">
        <is>
          <t>VALLENTUNA</t>
        </is>
      </c>
      <c r="G384" t="n">
        <v>2.5</v>
      </c>
      <c r="H384" t="n">
        <v>0</v>
      </c>
      <c r="I384" t="n">
        <v>0</v>
      </c>
      <c r="J384" t="n">
        <v>1</v>
      </c>
      <c r="K384" t="n">
        <v>0</v>
      </c>
      <c r="L384" t="n">
        <v>0</v>
      </c>
      <c r="M384" t="n">
        <v>0</v>
      </c>
      <c r="N384" t="n">
        <v>0</v>
      </c>
      <c r="O384" t="n">
        <v>1</v>
      </c>
      <c r="P384" t="n">
        <v>0</v>
      </c>
      <c r="Q384" t="n">
        <v>1</v>
      </c>
      <c r="R384" s="2" t="inlineStr">
        <is>
          <t>Motaggsvamp</t>
        </is>
      </c>
      <c r="S384">
        <f>HYPERLINK("https://klasma.github.io/Logging_0115/artfynd/A 34458-2023 artfynd.xlsx", "A 34458-2023")</f>
        <v/>
      </c>
      <c r="T384">
        <f>HYPERLINK("https://klasma.github.io/Logging_0115/kartor/A 34458-2023 karta.png", "A 34458-2023")</f>
        <v/>
      </c>
      <c r="V384">
        <f>HYPERLINK("https://klasma.github.io/Logging_0115/klagomål/A 34458-2023 FSC-klagomål.docx", "A 34458-2023")</f>
        <v/>
      </c>
      <c r="W384">
        <f>HYPERLINK("https://klasma.github.io/Logging_0115/klagomålsmail/A 34458-2023 FSC-klagomål mail.docx", "A 34458-2023")</f>
        <v/>
      </c>
      <c r="X384">
        <f>HYPERLINK("https://klasma.github.io/Logging_0115/tillsyn/A 34458-2023 tillsynsbegäran.docx", "A 34458-2023")</f>
        <v/>
      </c>
      <c r="Y384">
        <f>HYPERLINK("https://klasma.github.io/Logging_0115/tillsynsmail/A 34458-2023 tillsynsbegäran mail.docx", "A 34458-2023")</f>
        <v/>
      </c>
    </row>
    <row r="385" ht="15" customHeight="1">
      <c r="A385" t="inlineStr">
        <is>
          <t>A 28816-2023</t>
        </is>
      </c>
      <c r="B385" s="1" t="n">
        <v>45104</v>
      </c>
      <c r="C385" s="1" t="n">
        <v>46050</v>
      </c>
      <c r="D385" t="inlineStr">
        <is>
          <t>STOCKHOLMS LÄN</t>
        </is>
      </c>
      <c r="E385" t="inlineStr">
        <is>
          <t>NORRTÄLJE</t>
        </is>
      </c>
      <c r="F385" t="inlineStr">
        <is>
          <t>Kommuner</t>
        </is>
      </c>
      <c r="G385" t="n">
        <v>0.5</v>
      </c>
      <c r="H385" t="n">
        <v>1</v>
      </c>
      <c r="I385" t="n">
        <v>0</v>
      </c>
      <c r="J385" t="n">
        <v>0</v>
      </c>
      <c r="K385" t="n">
        <v>0</v>
      </c>
      <c r="L385" t="n">
        <v>0</v>
      </c>
      <c r="M385" t="n">
        <v>0</v>
      </c>
      <c r="N385" t="n">
        <v>0</v>
      </c>
      <c r="O385" t="n">
        <v>0</v>
      </c>
      <c r="P385" t="n">
        <v>0</v>
      </c>
      <c r="Q385" t="n">
        <v>1</v>
      </c>
      <c r="R385" s="2" t="inlineStr">
        <is>
          <t>Kungsfågel</t>
        </is>
      </c>
      <c r="S385">
        <f>HYPERLINK("https://klasma.github.io/Logging_0188/artfynd/A 28816-2023 artfynd.xlsx", "A 28816-2023")</f>
        <v/>
      </c>
      <c r="T385">
        <f>HYPERLINK("https://klasma.github.io/Logging_0188/kartor/A 28816-2023 karta.png", "A 28816-2023")</f>
        <v/>
      </c>
      <c r="V385">
        <f>HYPERLINK("https://klasma.github.io/Logging_0188/klagomål/A 28816-2023 FSC-klagomål.docx", "A 28816-2023")</f>
        <v/>
      </c>
      <c r="W385">
        <f>HYPERLINK("https://klasma.github.io/Logging_0188/klagomålsmail/A 28816-2023 FSC-klagomål mail.docx", "A 28816-2023")</f>
        <v/>
      </c>
      <c r="X385">
        <f>HYPERLINK("https://klasma.github.io/Logging_0188/tillsyn/A 28816-2023 tillsynsbegäran.docx", "A 28816-2023")</f>
        <v/>
      </c>
      <c r="Y385">
        <f>HYPERLINK("https://klasma.github.io/Logging_0188/tillsynsmail/A 28816-2023 tillsynsbegäran mail.docx", "A 28816-2023")</f>
        <v/>
      </c>
      <c r="Z385">
        <f>HYPERLINK("https://klasma.github.io/Logging_0188/fåglar/A 28816-2023 prioriterade fågelarter.docx", "A 28816-2023")</f>
        <v/>
      </c>
    </row>
    <row r="386" ht="15" customHeight="1">
      <c r="A386" t="inlineStr">
        <is>
          <t>A 2987-2023</t>
        </is>
      </c>
      <c r="B386" s="1" t="n">
        <v>44945</v>
      </c>
      <c r="C386" s="1" t="n">
        <v>46050</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1946-2022</t>
        </is>
      </c>
      <c r="B387" s="1" t="n">
        <v>44575</v>
      </c>
      <c r="C387" s="1" t="n">
        <v>46050</v>
      </c>
      <c r="D387" t="inlineStr">
        <is>
          <t>STOCKHOLMS LÄN</t>
        </is>
      </c>
      <c r="E387" t="inlineStr">
        <is>
          <t>SÖDERTÄLJE</t>
        </is>
      </c>
      <c r="G387" t="n">
        <v>6.7</v>
      </c>
      <c r="H387" t="n">
        <v>1</v>
      </c>
      <c r="I387" t="n">
        <v>0</v>
      </c>
      <c r="J387" t="n">
        <v>0</v>
      </c>
      <c r="K387" t="n">
        <v>0</v>
      </c>
      <c r="L387" t="n">
        <v>0</v>
      </c>
      <c r="M387" t="n">
        <v>0</v>
      </c>
      <c r="N387" t="n">
        <v>0</v>
      </c>
      <c r="O387" t="n">
        <v>0</v>
      </c>
      <c r="P387" t="n">
        <v>0</v>
      </c>
      <c r="Q387" t="n">
        <v>1</v>
      </c>
      <c r="R387" s="2" t="inlineStr">
        <is>
          <t>Större vattensalamander</t>
        </is>
      </c>
      <c r="S387">
        <f>HYPERLINK("https://klasma.github.io/Logging_0181/artfynd/A 1946-2022 artfynd.xlsx", "A 1946-2022")</f>
        <v/>
      </c>
      <c r="T387">
        <f>HYPERLINK("https://klasma.github.io/Logging_0181/kartor/A 1946-2022 karta.png", "A 1946-2022")</f>
        <v/>
      </c>
      <c r="V387">
        <f>HYPERLINK("https://klasma.github.io/Logging_0181/klagomål/A 1946-2022 FSC-klagomål.docx", "A 1946-2022")</f>
        <v/>
      </c>
      <c r="W387">
        <f>HYPERLINK("https://klasma.github.io/Logging_0181/klagomålsmail/A 1946-2022 FSC-klagomål mail.docx", "A 1946-2022")</f>
        <v/>
      </c>
      <c r="X387">
        <f>HYPERLINK("https://klasma.github.io/Logging_0181/tillsyn/A 1946-2022 tillsynsbegäran.docx", "A 1946-2022")</f>
        <v/>
      </c>
      <c r="Y387">
        <f>HYPERLINK("https://klasma.github.io/Logging_0181/tillsynsmail/A 1946-2022 tillsynsbegäran mail.docx", "A 1946-2022")</f>
        <v/>
      </c>
    </row>
    <row r="388" ht="15" customHeight="1">
      <c r="A388" t="inlineStr">
        <is>
          <t>A 37597-2024</t>
        </is>
      </c>
      <c r="B388" s="1" t="n">
        <v>45541.47459490741</v>
      </c>
      <c r="C388" s="1" t="n">
        <v>46050</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21-2022</t>
        </is>
      </c>
      <c r="B389" s="1" t="n">
        <v>44560</v>
      </c>
      <c r="C389" s="1" t="n">
        <v>46050</v>
      </c>
      <c r="D389" t="inlineStr">
        <is>
          <t>STOCKHOLMS LÄN</t>
        </is>
      </c>
      <c r="E389" t="inlineStr">
        <is>
          <t>VALLENTUNA</t>
        </is>
      </c>
      <c r="F389" t="inlineStr">
        <is>
          <t>Övriga Aktiebolag</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HYPERLINK("https://klasma.github.io/Logging_0115/artfynd/A 21-2022 artfynd.xlsx", "A 21-2022")</f>
        <v/>
      </c>
      <c r="T389">
        <f>HYPERLINK("https://klasma.github.io/Logging_0115/kartor/A 21-2022 karta.png", "A 21-2022")</f>
        <v/>
      </c>
      <c r="V389">
        <f>HYPERLINK("https://klasma.github.io/Logging_0115/klagomål/A 21-2022 FSC-klagomål.docx", "A 21-2022")</f>
        <v/>
      </c>
      <c r="W389">
        <f>HYPERLINK("https://klasma.github.io/Logging_0115/klagomålsmail/A 21-2022 FSC-klagomål mail.docx", "A 21-2022")</f>
        <v/>
      </c>
      <c r="X389">
        <f>HYPERLINK("https://klasma.github.io/Logging_0115/tillsyn/A 21-2022 tillsynsbegäran.docx", "A 21-2022")</f>
        <v/>
      </c>
      <c r="Y389">
        <f>HYPERLINK("https://klasma.github.io/Logging_0115/tillsynsmail/A 21-2022 tillsynsbegäran mail.docx", "A 21-2022")</f>
        <v/>
      </c>
    </row>
    <row r="390" ht="15" customHeight="1">
      <c r="A390" t="inlineStr">
        <is>
          <t>A 8285-2022</t>
        </is>
      </c>
      <c r="B390" s="1" t="n">
        <v>44610</v>
      </c>
      <c r="C390" s="1" t="n">
        <v>46050</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49421-2023</t>
        </is>
      </c>
      <c r="B391" s="1" t="n">
        <v>45211</v>
      </c>
      <c r="C391" s="1" t="n">
        <v>46050</v>
      </c>
      <c r="D391" t="inlineStr">
        <is>
          <t>STOCKHOLMS LÄN</t>
        </is>
      </c>
      <c r="E391" t="inlineStr">
        <is>
          <t>HUDDINGE</t>
        </is>
      </c>
      <c r="F391" t="inlineStr">
        <is>
          <t>Kommuner</t>
        </is>
      </c>
      <c r="G391" t="n">
        <v>1.4</v>
      </c>
      <c r="H391" t="n">
        <v>1</v>
      </c>
      <c r="I391" t="n">
        <v>0</v>
      </c>
      <c r="J391" t="n">
        <v>0</v>
      </c>
      <c r="K391" t="n">
        <v>0</v>
      </c>
      <c r="L391" t="n">
        <v>1</v>
      </c>
      <c r="M391" t="n">
        <v>0</v>
      </c>
      <c r="N391" t="n">
        <v>0</v>
      </c>
      <c r="O391" t="n">
        <v>1</v>
      </c>
      <c r="P391" t="n">
        <v>1</v>
      </c>
      <c r="Q391" t="n">
        <v>1</v>
      </c>
      <c r="R391" s="2" t="inlineStr">
        <is>
          <t>Grönfink</t>
        </is>
      </c>
      <c r="S391">
        <f>HYPERLINK("https://klasma.github.io/Logging_0126/artfynd/A 49421-2023 artfynd.xlsx", "A 49421-2023")</f>
        <v/>
      </c>
      <c r="T391">
        <f>HYPERLINK("https://klasma.github.io/Logging_0126/kartor/A 49421-2023 karta.png", "A 49421-2023")</f>
        <v/>
      </c>
      <c r="V391">
        <f>HYPERLINK("https://klasma.github.io/Logging_0126/klagomål/A 49421-2023 FSC-klagomål.docx", "A 49421-2023")</f>
        <v/>
      </c>
      <c r="W391">
        <f>HYPERLINK("https://klasma.github.io/Logging_0126/klagomålsmail/A 49421-2023 FSC-klagomål mail.docx", "A 49421-2023")</f>
        <v/>
      </c>
      <c r="X391">
        <f>HYPERLINK("https://klasma.github.io/Logging_0126/tillsyn/A 49421-2023 tillsynsbegäran.docx", "A 49421-2023")</f>
        <v/>
      </c>
      <c r="Y391">
        <f>HYPERLINK("https://klasma.github.io/Logging_0126/tillsynsmail/A 49421-2023 tillsynsbegäran mail.docx", "A 49421-2023")</f>
        <v/>
      </c>
      <c r="Z391">
        <f>HYPERLINK("https://klasma.github.io/Logging_0126/fåglar/A 49421-2023 prioriterade fågelarter.docx", "A 49421-2023")</f>
        <v/>
      </c>
    </row>
    <row r="392" ht="15" customHeight="1">
      <c r="A392" t="inlineStr">
        <is>
          <t>A 64345-2023</t>
        </is>
      </c>
      <c r="B392" s="1" t="n">
        <v>45280</v>
      </c>
      <c r="C392" s="1" t="n">
        <v>46050</v>
      </c>
      <c r="D392" t="inlineStr">
        <is>
          <t>STOCKHOLMS LÄN</t>
        </is>
      </c>
      <c r="E392" t="inlineStr">
        <is>
          <t>SIGTUNA</t>
        </is>
      </c>
      <c r="G392" t="n">
        <v>2.7</v>
      </c>
      <c r="H392" t="n">
        <v>1</v>
      </c>
      <c r="I392" t="n">
        <v>0</v>
      </c>
      <c r="J392" t="n">
        <v>0</v>
      </c>
      <c r="K392" t="n">
        <v>0</v>
      </c>
      <c r="L392" t="n">
        <v>0</v>
      </c>
      <c r="M392" t="n">
        <v>0</v>
      </c>
      <c r="N392" t="n">
        <v>0</v>
      </c>
      <c r="O392" t="n">
        <v>0</v>
      </c>
      <c r="P392" t="n">
        <v>0</v>
      </c>
      <c r="Q392" t="n">
        <v>1</v>
      </c>
      <c r="R392" s="2" t="inlineStr">
        <is>
          <t>Kungsfågel</t>
        </is>
      </c>
      <c r="S392">
        <f>HYPERLINK("https://klasma.github.io/Logging_0191/artfynd/A 64345-2023 artfynd.xlsx", "A 64345-2023")</f>
        <v/>
      </c>
      <c r="T392">
        <f>HYPERLINK("https://klasma.github.io/Logging_0191/kartor/A 64345-2023 karta.png", "A 64345-2023")</f>
        <v/>
      </c>
      <c r="V392">
        <f>HYPERLINK("https://klasma.github.io/Logging_0191/klagomål/A 64345-2023 FSC-klagomål.docx", "A 64345-2023")</f>
        <v/>
      </c>
      <c r="W392">
        <f>HYPERLINK("https://klasma.github.io/Logging_0191/klagomålsmail/A 64345-2023 FSC-klagomål mail.docx", "A 64345-2023")</f>
        <v/>
      </c>
      <c r="X392">
        <f>HYPERLINK("https://klasma.github.io/Logging_0191/tillsyn/A 64345-2023 tillsynsbegäran.docx", "A 64345-2023")</f>
        <v/>
      </c>
      <c r="Y392">
        <f>HYPERLINK("https://klasma.github.io/Logging_0191/tillsynsmail/A 64345-2023 tillsynsbegäran mail.docx", "A 64345-2023")</f>
        <v/>
      </c>
      <c r="Z392">
        <f>HYPERLINK("https://klasma.github.io/Logging_0191/fåglar/A 64345-2023 prioriterade fågelarter.docx", "A 64345-2023")</f>
        <v/>
      </c>
    </row>
    <row r="393" ht="15" customHeight="1">
      <c r="A393" t="inlineStr">
        <is>
          <t>A 52508-2023</t>
        </is>
      </c>
      <c r="B393" s="1" t="n">
        <v>45225</v>
      </c>
      <c r="C393" s="1" t="n">
        <v>46050</v>
      </c>
      <c r="D393" t="inlineStr">
        <is>
          <t>STOCKHOLMS LÄN</t>
        </is>
      </c>
      <c r="E393" t="inlineStr">
        <is>
          <t>NORRTÄLJE</t>
        </is>
      </c>
      <c r="G393" t="n">
        <v>19.7</v>
      </c>
      <c r="H393" t="n">
        <v>1</v>
      </c>
      <c r="I393" t="n">
        <v>0</v>
      </c>
      <c r="J393" t="n">
        <v>0</v>
      </c>
      <c r="K393" t="n">
        <v>1</v>
      </c>
      <c r="L393" t="n">
        <v>0</v>
      </c>
      <c r="M393" t="n">
        <v>0</v>
      </c>
      <c r="N393" t="n">
        <v>0</v>
      </c>
      <c r="O393" t="n">
        <v>1</v>
      </c>
      <c r="P393" t="n">
        <v>1</v>
      </c>
      <c r="Q393" t="n">
        <v>1</v>
      </c>
      <c r="R393" s="2" t="inlineStr">
        <is>
          <t>Svärta</t>
        </is>
      </c>
      <c r="S393">
        <f>HYPERLINK("https://klasma.github.io/Logging_0188/artfynd/A 52508-2023 artfynd.xlsx", "A 52508-2023")</f>
        <v/>
      </c>
      <c r="T393">
        <f>HYPERLINK("https://klasma.github.io/Logging_0188/kartor/A 52508-2023 karta.png", "A 52508-2023")</f>
        <v/>
      </c>
      <c r="V393">
        <f>HYPERLINK("https://klasma.github.io/Logging_0188/klagomål/A 52508-2023 FSC-klagomål.docx", "A 52508-2023")</f>
        <v/>
      </c>
      <c r="W393">
        <f>HYPERLINK("https://klasma.github.io/Logging_0188/klagomålsmail/A 52508-2023 FSC-klagomål mail.docx", "A 52508-2023")</f>
        <v/>
      </c>
      <c r="X393">
        <f>HYPERLINK("https://klasma.github.io/Logging_0188/tillsyn/A 52508-2023 tillsynsbegäran.docx", "A 52508-2023")</f>
        <v/>
      </c>
      <c r="Y393">
        <f>HYPERLINK("https://klasma.github.io/Logging_0188/tillsynsmail/A 52508-2023 tillsynsbegäran mail.docx", "A 52508-2023")</f>
        <v/>
      </c>
    </row>
    <row r="394" ht="15" customHeight="1">
      <c r="A394" t="inlineStr">
        <is>
          <t>A 52046-2022</t>
        </is>
      </c>
      <c r="B394" s="1" t="n">
        <v>44868</v>
      </c>
      <c r="C394" s="1" t="n">
        <v>46050</v>
      </c>
      <c r="D394" t="inlineStr">
        <is>
          <t>STOCKHOLMS LÄN</t>
        </is>
      </c>
      <c r="E394" t="inlineStr">
        <is>
          <t>SÖDERTÄLJE</t>
        </is>
      </c>
      <c r="F394" t="inlineStr">
        <is>
          <t>Kommuner</t>
        </is>
      </c>
      <c r="G394" t="n">
        <v>14.4</v>
      </c>
      <c r="H394" t="n">
        <v>1</v>
      </c>
      <c r="I394" t="n">
        <v>0</v>
      </c>
      <c r="J394" t="n">
        <v>0</v>
      </c>
      <c r="K394" t="n">
        <v>0</v>
      </c>
      <c r="L394" t="n">
        <v>0</v>
      </c>
      <c r="M394" t="n">
        <v>0</v>
      </c>
      <c r="N394" t="n">
        <v>0</v>
      </c>
      <c r="O394" t="n">
        <v>0</v>
      </c>
      <c r="P394" t="n">
        <v>0</v>
      </c>
      <c r="Q394" t="n">
        <v>1</v>
      </c>
      <c r="R394" s="2" t="inlineStr">
        <is>
          <t>Nattviol</t>
        </is>
      </c>
      <c r="S394">
        <f>HYPERLINK("https://klasma.github.io/Logging_0181/artfynd/A 52046-2022 artfynd.xlsx", "A 52046-2022")</f>
        <v/>
      </c>
      <c r="T394">
        <f>HYPERLINK("https://klasma.github.io/Logging_0181/kartor/A 52046-2022 karta.png", "A 52046-2022")</f>
        <v/>
      </c>
      <c r="V394">
        <f>HYPERLINK("https://klasma.github.io/Logging_0181/klagomål/A 52046-2022 FSC-klagomål.docx", "A 52046-2022")</f>
        <v/>
      </c>
      <c r="W394">
        <f>HYPERLINK("https://klasma.github.io/Logging_0181/klagomålsmail/A 52046-2022 FSC-klagomål mail.docx", "A 52046-2022")</f>
        <v/>
      </c>
      <c r="X394">
        <f>HYPERLINK("https://klasma.github.io/Logging_0181/tillsyn/A 52046-2022 tillsynsbegäran.docx", "A 52046-2022")</f>
        <v/>
      </c>
      <c r="Y394">
        <f>HYPERLINK("https://klasma.github.io/Logging_0181/tillsynsmail/A 52046-2022 tillsynsbegäran mail.docx", "A 52046-2022")</f>
        <v/>
      </c>
    </row>
    <row r="395" ht="15" customHeight="1">
      <c r="A395" t="inlineStr">
        <is>
          <t>A 31828-2023</t>
        </is>
      </c>
      <c r="B395" s="1" t="n">
        <v>45118</v>
      </c>
      <c r="C395" s="1" t="n">
        <v>46050</v>
      </c>
      <c r="D395" t="inlineStr">
        <is>
          <t>STOCKHOLMS LÄN</t>
        </is>
      </c>
      <c r="E395" t="inlineStr">
        <is>
          <t>NYNÄSHAMN</t>
        </is>
      </c>
      <c r="F395" t="inlineStr">
        <is>
          <t>Kommuner</t>
        </is>
      </c>
      <c r="G395" t="n">
        <v>2.7</v>
      </c>
      <c r="H395" t="n">
        <v>0</v>
      </c>
      <c r="I395" t="n">
        <v>1</v>
      </c>
      <c r="J395" t="n">
        <v>0</v>
      </c>
      <c r="K395" t="n">
        <v>0</v>
      </c>
      <c r="L395" t="n">
        <v>0</v>
      </c>
      <c r="M395" t="n">
        <v>0</v>
      </c>
      <c r="N395" t="n">
        <v>0</v>
      </c>
      <c r="O395" t="n">
        <v>0</v>
      </c>
      <c r="P395" t="n">
        <v>0</v>
      </c>
      <c r="Q395" t="n">
        <v>1</v>
      </c>
      <c r="R395" s="2" t="inlineStr">
        <is>
          <t>Björksplintborre</t>
        </is>
      </c>
      <c r="S395">
        <f>HYPERLINK("https://klasma.github.io/Logging_0192/artfynd/A 31828-2023 artfynd.xlsx", "A 31828-2023")</f>
        <v/>
      </c>
      <c r="T395">
        <f>HYPERLINK("https://klasma.github.io/Logging_0192/kartor/A 31828-2023 karta.png", "A 31828-2023")</f>
        <v/>
      </c>
      <c r="V395">
        <f>HYPERLINK("https://klasma.github.io/Logging_0192/klagomål/A 31828-2023 FSC-klagomål.docx", "A 31828-2023")</f>
        <v/>
      </c>
      <c r="W395">
        <f>HYPERLINK("https://klasma.github.io/Logging_0192/klagomålsmail/A 31828-2023 FSC-klagomål mail.docx", "A 31828-2023")</f>
        <v/>
      </c>
      <c r="X395">
        <f>HYPERLINK("https://klasma.github.io/Logging_0192/tillsyn/A 31828-2023 tillsynsbegäran.docx", "A 31828-2023")</f>
        <v/>
      </c>
      <c r="Y395">
        <f>HYPERLINK("https://klasma.github.io/Logging_0192/tillsynsmail/A 31828-2023 tillsynsbegäran mail.docx", "A 31828-2023")</f>
        <v/>
      </c>
    </row>
    <row r="396" ht="15" customHeight="1">
      <c r="A396" t="inlineStr">
        <is>
          <t>A 19793-2024</t>
        </is>
      </c>
      <c r="B396" s="1" t="n">
        <v>45432</v>
      </c>
      <c r="C396" s="1" t="n">
        <v>46050</v>
      </c>
      <c r="D396" t="inlineStr">
        <is>
          <t>STOCKHOLMS LÄN</t>
        </is>
      </c>
      <c r="E396" t="inlineStr">
        <is>
          <t>SÖDERTÄLJE</t>
        </is>
      </c>
      <c r="F396" t="inlineStr">
        <is>
          <t>Övriga Aktiebolag</t>
        </is>
      </c>
      <c r="G396" t="n">
        <v>4.1</v>
      </c>
      <c r="H396" t="n">
        <v>0</v>
      </c>
      <c r="I396" t="n">
        <v>1</v>
      </c>
      <c r="J396" t="n">
        <v>0</v>
      </c>
      <c r="K396" t="n">
        <v>0</v>
      </c>
      <c r="L396" t="n">
        <v>0</v>
      </c>
      <c r="M396" t="n">
        <v>0</v>
      </c>
      <c r="N396" t="n">
        <v>0</v>
      </c>
      <c r="O396" t="n">
        <v>0</v>
      </c>
      <c r="P396" t="n">
        <v>0</v>
      </c>
      <c r="Q396" t="n">
        <v>1</v>
      </c>
      <c r="R396" s="2" t="inlineStr">
        <is>
          <t>Fjällig taggsvamp s.str.</t>
        </is>
      </c>
      <c r="S396">
        <f>HYPERLINK("https://klasma.github.io/Logging_0181/artfynd/A 19793-2024 artfynd.xlsx", "A 19793-2024")</f>
        <v/>
      </c>
      <c r="T396">
        <f>HYPERLINK("https://klasma.github.io/Logging_0181/kartor/A 19793-2024 karta.png", "A 19793-2024")</f>
        <v/>
      </c>
      <c r="V396">
        <f>HYPERLINK("https://klasma.github.io/Logging_0181/klagomål/A 19793-2024 FSC-klagomål.docx", "A 19793-2024")</f>
        <v/>
      </c>
      <c r="W396">
        <f>HYPERLINK("https://klasma.github.io/Logging_0181/klagomålsmail/A 19793-2024 FSC-klagomål mail.docx", "A 19793-2024")</f>
        <v/>
      </c>
      <c r="X396">
        <f>HYPERLINK("https://klasma.github.io/Logging_0181/tillsyn/A 19793-2024 tillsynsbegäran.docx", "A 19793-2024")</f>
        <v/>
      </c>
      <c r="Y396">
        <f>HYPERLINK("https://klasma.github.io/Logging_0181/tillsynsmail/A 19793-2024 tillsynsbegäran mail.docx", "A 19793-2024")</f>
        <v/>
      </c>
    </row>
    <row r="397" ht="15" customHeight="1">
      <c r="A397" t="inlineStr">
        <is>
          <t>A 1691-2023</t>
        </is>
      </c>
      <c r="B397" s="1" t="n">
        <v>44938</v>
      </c>
      <c r="C397" s="1" t="n">
        <v>46050</v>
      </c>
      <c r="D397" t="inlineStr">
        <is>
          <t>STOCKHOLMS LÄN</t>
        </is>
      </c>
      <c r="E397" t="inlineStr">
        <is>
          <t>BOTKYRKA</t>
        </is>
      </c>
      <c r="G397" t="n">
        <v>1.7</v>
      </c>
      <c r="H397" t="n">
        <v>0</v>
      </c>
      <c r="I397" t="n">
        <v>1</v>
      </c>
      <c r="J397" t="n">
        <v>0</v>
      </c>
      <c r="K397" t="n">
        <v>0</v>
      </c>
      <c r="L397" t="n">
        <v>0</v>
      </c>
      <c r="M397" t="n">
        <v>0</v>
      </c>
      <c r="N397" t="n">
        <v>0</v>
      </c>
      <c r="O397" t="n">
        <v>0</v>
      </c>
      <c r="P397" t="n">
        <v>0</v>
      </c>
      <c r="Q397" t="n">
        <v>1</v>
      </c>
      <c r="R397" s="2" t="inlineStr">
        <is>
          <t>Tibast</t>
        </is>
      </c>
      <c r="S397">
        <f>HYPERLINK("https://klasma.github.io/Logging_0127/artfynd/A 1691-2023 artfynd.xlsx", "A 1691-2023")</f>
        <v/>
      </c>
      <c r="T397">
        <f>HYPERLINK("https://klasma.github.io/Logging_0127/kartor/A 1691-2023 karta.png", "A 1691-2023")</f>
        <v/>
      </c>
      <c r="V397">
        <f>HYPERLINK("https://klasma.github.io/Logging_0127/klagomål/A 1691-2023 FSC-klagomål.docx", "A 1691-2023")</f>
        <v/>
      </c>
      <c r="W397">
        <f>HYPERLINK("https://klasma.github.io/Logging_0127/klagomålsmail/A 1691-2023 FSC-klagomål mail.docx", "A 1691-2023")</f>
        <v/>
      </c>
      <c r="X397">
        <f>HYPERLINK("https://klasma.github.io/Logging_0127/tillsyn/A 1691-2023 tillsynsbegäran.docx", "A 1691-2023")</f>
        <v/>
      </c>
      <c r="Y397">
        <f>HYPERLINK("https://klasma.github.io/Logging_0127/tillsynsmail/A 1691-2023 tillsynsbegäran mail.docx", "A 1691-2023")</f>
        <v/>
      </c>
    </row>
    <row r="398" ht="15" customHeight="1">
      <c r="A398" t="inlineStr">
        <is>
          <t>A 6435-2023</t>
        </is>
      </c>
      <c r="B398" s="1" t="n">
        <v>44965</v>
      </c>
      <c r="C398" s="1" t="n">
        <v>46050</v>
      </c>
      <c r="D398" t="inlineStr">
        <is>
          <t>STOCKHOLMS LÄN</t>
        </is>
      </c>
      <c r="E398" t="inlineStr">
        <is>
          <t>NYNÄSHAMN</t>
        </is>
      </c>
      <c r="G398" t="n">
        <v>1.8</v>
      </c>
      <c r="H398" t="n">
        <v>0</v>
      </c>
      <c r="I398" t="n">
        <v>0</v>
      </c>
      <c r="J398" t="n">
        <v>1</v>
      </c>
      <c r="K398" t="n">
        <v>0</v>
      </c>
      <c r="L398" t="n">
        <v>0</v>
      </c>
      <c r="M398" t="n">
        <v>0</v>
      </c>
      <c r="N398" t="n">
        <v>0</v>
      </c>
      <c r="O398" t="n">
        <v>1</v>
      </c>
      <c r="P398" t="n">
        <v>0</v>
      </c>
      <c r="Q398" t="n">
        <v>1</v>
      </c>
      <c r="R398" s="2" t="inlineStr">
        <is>
          <t>Tallticka</t>
        </is>
      </c>
      <c r="S398">
        <f>HYPERLINK("https://klasma.github.io/Logging_0192/artfynd/A 6435-2023 artfynd.xlsx", "A 6435-2023")</f>
        <v/>
      </c>
      <c r="T398">
        <f>HYPERLINK("https://klasma.github.io/Logging_0192/kartor/A 6435-2023 karta.png", "A 6435-2023")</f>
        <v/>
      </c>
      <c r="V398">
        <f>HYPERLINK("https://klasma.github.io/Logging_0192/klagomål/A 6435-2023 FSC-klagomål.docx", "A 6435-2023")</f>
        <v/>
      </c>
      <c r="W398">
        <f>HYPERLINK("https://klasma.github.io/Logging_0192/klagomålsmail/A 6435-2023 FSC-klagomål mail.docx", "A 6435-2023")</f>
        <v/>
      </c>
      <c r="X398">
        <f>HYPERLINK("https://klasma.github.io/Logging_0192/tillsyn/A 6435-2023 tillsynsbegäran.docx", "A 6435-2023")</f>
        <v/>
      </c>
      <c r="Y398">
        <f>HYPERLINK("https://klasma.github.io/Logging_0192/tillsynsmail/A 6435-2023 tillsynsbegäran mail.docx", "A 6435-2023")</f>
        <v/>
      </c>
    </row>
    <row r="399" ht="15" customHeight="1">
      <c r="A399" t="inlineStr">
        <is>
          <t>A 27827-2022</t>
        </is>
      </c>
      <c r="B399" s="1" t="n">
        <v>44743.59504629629</v>
      </c>
      <c r="C399" s="1" t="n">
        <v>46050</v>
      </c>
      <c r="D399" t="inlineStr">
        <is>
          <t>STOCKHOLMS LÄN</t>
        </is>
      </c>
      <c r="E399" t="inlineStr">
        <is>
          <t>NORRTÄLJE</t>
        </is>
      </c>
      <c r="F399" t="inlineStr">
        <is>
          <t>Holmen skog AB</t>
        </is>
      </c>
      <c r="G399" t="n">
        <v>4.7</v>
      </c>
      <c r="H399" t="n">
        <v>1</v>
      </c>
      <c r="I399" t="n">
        <v>0</v>
      </c>
      <c r="J399" t="n">
        <v>1</v>
      </c>
      <c r="K399" t="n">
        <v>0</v>
      </c>
      <c r="L399" t="n">
        <v>0</v>
      </c>
      <c r="M399" t="n">
        <v>0</v>
      </c>
      <c r="N399" t="n">
        <v>0</v>
      </c>
      <c r="O399" t="n">
        <v>1</v>
      </c>
      <c r="P399" t="n">
        <v>0</v>
      </c>
      <c r="Q399" t="n">
        <v>1</v>
      </c>
      <c r="R399" s="2" t="inlineStr">
        <is>
          <t>Nordfladdermus</t>
        </is>
      </c>
      <c r="S399">
        <f>HYPERLINK("https://klasma.github.io/Logging_0188/artfynd/A 27827-2022 artfynd.xlsx", "A 27827-2022")</f>
        <v/>
      </c>
      <c r="T399">
        <f>HYPERLINK("https://klasma.github.io/Logging_0188/kartor/A 27827-2022 karta.png", "A 27827-2022")</f>
        <v/>
      </c>
      <c r="V399">
        <f>HYPERLINK("https://klasma.github.io/Logging_0188/klagomål/A 27827-2022 FSC-klagomål.docx", "A 27827-2022")</f>
        <v/>
      </c>
      <c r="W399">
        <f>HYPERLINK("https://klasma.github.io/Logging_0188/klagomålsmail/A 27827-2022 FSC-klagomål mail.docx", "A 27827-2022")</f>
        <v/>
      </c>
      <c r="X399">
        <f>HYPERLINK("https://klasma.github.io/Logging_0188/tillsyn/A 27827-2022 tillsynsbegäran.docx", "A 27827-2022")</f>
        <v/>
      </c>
      <c r="Y399">
        <f>HYPERLINK("https://klasma.github.io/Logging_0188/tillsynsmail/A 27827-2022 tillsynsbegäran mail.docx", "A 27827-2022")</f>
        <v/>
      </c>
    </row>
    <row r="400" ht="15" customHeight="1">
      <c r="A400" t="inlineStr">
        <is>
          <t>A 18100-2022</t>
        </is>
      </c>
      <c r="B400" s="1" t="n">
        <v>44684</v>
      </c>
      <c r="C400" s="1" t="n">
        <v>46050</v>
      </c>
      <c r="D400" t="inlineStr">
        <is>
          <t>STOCKHOLMS LÄN</t>
        </is>
      </c>
      <c r="E400" t="inlineStr">
        <is>
          <t>BOTKYRKA</t>
        </is>
      </c>
      <c r="G400" t="n">
        <v>3.1</v>
      </c>
      <c r="H400" t="n">
        <v>1</v>
      </c>
      <c r="I400" t="n">
        <v>0</v>
      </c>
      <c r="J400" t="n">
        <v>0</v>
      </c>
      <c r="K400" t="n">
        <v>0</v>
      </c>
      <c r="L400" t="n">
        <v>0</v>
      </c>
      <c r="M400" t="n">
        <v>0</v>
      </c>
      <c r="N400" t="n">
        <v>0</v>
      </c>
      <c r="O400" t="n">
        <v>0</v>
      </c>
      <c r="P400" t="n">
        <v>0</v>
      </c>
      <c r="Q400" t="n">
        <v>1</v>
      </c>
      <c r="R400" s="2" t="inlineStr">
        <is>
          <t>Gullviva</t>
        </is>
      </c>
      <c r="S400">
        <f>HYPERLINK("https://klasma.github.io/Logging_0127/artfynd/A 18100-2022 artfynd.xlsx", "A 18100-2022")</f>
        <v/>
      </c>
      <c r="T400">
        <f>HYPERLINK("https://klasma.github.io/Logging_0127/kartor/A 18100-2022 karta.png", "A 18100-2022")</f>
        <v/>
      </c>
      <c r="V400">
        <f>HYPERLINK("https://klasma.github.io/Logging_0127/klagomål/A 18100-2022 FSC-klagomål.docx", "A 18100-2022")</f>
        <v/>
      </c>
      <c r="W400">
        <f>HYPERLINK("https://klasma.github.io/Logging_0127/klagomålsmail/A 18100-2022 FSC-klagomål mail.docx", "A 18100-2022")</f>
        <v/>
      </c>
      <c r="X400">
        <f>HYPERLINK("https://klasma.github.io/Logging_0127/tillsyn/A 18100-2022 tillsynsbegäran.docx", "A 18100-2022")</f>
        <v/>
      </c>
      <c r="Y400">
        <f>HYPERLINK("https://klasma.github.io/Logging_0127/tillsynsmail/A 18100-2022 tillsynsbegäran mail.docx", "A 18100-2022")</f>
        <v/>
      </c>
    </row>
    <row r="401" ht="15" customHeight="1">
      <c r="A401" t="inlineStr">
        <is>
          <t>A 23146-2024</t>
        </is>
      </c>
      <c r="B401" s="1" t="n">
        <v>45450.63958333333</v>
      </c>
      <c r="C401" s="1" t="n">
        <v>46050</v>
      </c>
      <c r="D401" t="inlineStr">
        <is>
          <t>STOCKHOLMS LÄN</t>
        </is>
      </c>
      <c r="E401" t="inlineStr">
        <is>
          <t>NORRTÄLJE</t>
        </is>
      </c>
      <c r="F401" t="inlineStr">
        <is>
          <t>Kommuner</t>
        </is>
      </c>
      <c r="G401" t="n">
        <v>6</v>
      </c>
      <c r="H401" t="n">
        <v>0</v>
      </c>
      <c r="I401" t="n">
        <v>0</v>
      </c>
      <c r="J401" t="n">
        <v>1</v>
      </c>
      <c r="K401" t="n">
        <v>0</v>
      </c>
      <c r="L401" t="n">
        <v>0</v>
      </c>
      <c r="M401" t="n">
        <v>0</v>
      </c>
      <c r="N401" t="n">
        <v>0</v>
      </c>
      <c r="O401" t="n">
        <v>1</v>
      </c>
      <c r="P401" t="n">
        <v>0</v>
      </c>
      <c r="Q401" t="n">
        <v>1</v>
      </c>
      <c r="R401" s="2" t="inlineStr">
        <is>
          <t>Motaggsvamp</t>
        </is>
      </c>
      <c r="S401">
        <f>HYPERLINK("https://klasma.github.io/Logging_0188/artfynd/A 23146-2024 artfynd.xlsx", "A 23146-2024")</f>
        <v/>
      </c>
      <c r="T401">
        <f>HYPERLINK("https://klasma.github.io/Logging_0188/kartor/A 23146-2024 karta.png", "A 23146-2024")</f>
        <v/>
      </c>
      <c r="V401">
        <f>HYPERLINK("https://klasma.github.io/Logging_0188/klagomål/A 23146-2024 FSC-klagomål.docx", "A 23146-2024")</f>
        <v/>
      </c>
      <c r="W401">
        <f>HYPERLINK("https://klasma.github.io/Logging_0188/klagomålsmail/A 23146-2024 FSC-klagomål mail.docx", "A 23146-2024")</f>
        <v/>
      </c>
      <c r="X401">
        <f>HYPERLINK("https://klasma.github.io/Logging_0188/tillsyn/A 23146-2024 tillsynsbegäran.docx", "A 23146-2024")</f>
        <v/>
      </c>
      <c r="Y401">
        <f>HYPERLINK("https://klasma.github.io/Logging_0188/tillsynsmail/A 23146-2024 tillsynsbegäran mail.docx", "A 23146-2024")</f>
        <v/>
      </c>
    </row>
    <row r="402" ht="15" customHeight="1">
      <c r="A402" t="inlineStr">
        <is>
          <t>A 24233-2023</t>
        </is>
      </c>
      <c r="B402" s="1" t="n">
        <v>45076</v>
      </c>
      <c r="C402" s="1" t="n">
        <v>46050</v>
      </c>
      <c r="D402" t="inlineStr">
        <is>
          <t>STOCKHOLMS LÄN</t>
        </is>
      </c>
      <c r="E402" t="inlineStr">
        <is>
          <t>HUDDINGE</t>
        </is>
      </c>
      <c r="G402" t="n">
        <v>3.7</v>
      </c>
      <c r="H402" t="n">
        <v>0</v>
      </c>
      <c r="I402" t="n">
        <v>0</v>
      </c>
      <c r="J402" t="n">
        <v>1</v>
      </c>
      <c r="K402" t="n">
        <v>0</v>
      </c>
      <c r="L402" t="n">
        <v>0</v>
      </c>
      <c r="M402" t="n">
        <v>0</v>
      </c>
      <c r="N402" t="n">
        <v>0</v>
      </c>
      <c r="O402" t="n">
        <v>1</v>
      </c>
      <c r="P402" t="n">
        <v>0</v>
      </c>
      <c r="Q402" t="n">
        <v>1</v>
      </c>
      <c r="R402" s="2" t="inlineStr">
        <is>
          <t>Svartvit taggsvamp</t>
        </is>
      </c>
      <c r="S402">
        <f>HYPERLINK("https://klasma.github.io/Logging_0126/artfynd/A 24233-2023 artfynd.xlsx", "A 24233-2023")</f>
        <v/>
      </c>
      <c r="T402">
        <f>HYPERLINK("https://klasma.github.io/Logging_0126/kartor/A 24233-2023 karta.png", "A 24233-2023")</f>
        <v/>
      </c>
      <c r="V402">
        <f>HYPERLINK("https://klasma.github.io/Logging_0126/klagomål/A 24233-2023 FSC-klagomål.docx", "A 24233-2023")</f>
        <v/>
      </c>
      <c r="W402">
        <f>HYPERLINK("https://klasma.github.io/Logging_0126/klagomålsmail/A 24233-2023 FSC-klagomål mail.docx", "A 24233-2023")</f>
        <v/>
      </c>
      <c r="X402">
        <f>HYPERLINK("https://klasma.github.io/Logging_0126/tillsyn/A 24233-2023 tillsynsbegäran.docx", "A 24233-2023")</f>
        <v/>
      </c>
      <c r="Y402">
        <f>HYPERLINK("https://klasma.github.io/Logging_0126/tillsynsmail/A 24233-2023 tillsynsbegäran mail.docx", "A 24233-2023")</f>
        <v/>
      </c>
    </row>
    <row r="403" ht="15" customHeight="1">
      <c r="A403" t="inlineStr">
        <is>
          <t>A 17341-2025</t>
        </is>
      </c>
      <c r="B403" s="1" t="n">
        <v>45756</v>
      </c>
      <c r="C403" s="1" t="n">
        <v>46050</v>
      </c>
      <c r="D403" t="inlineStr">
        <is>
          <t>STOCKHOLMS LÄN</t>
        </is>
      </c>
      <c r="E403" t="inlineStr">
        <is>
          <t>VALLENTUNA</t>
        </is>
      </c>
      <c r="F403" t="inlineStr">
        <is>
          <t>Övriga Aktiebolag</t>
        </is>
      </c>
      <c r="G403" t="n">
        <v>5.2</v>
      </c>
      <c r="H403" t="n">
        <v>0</v>
      </c>
      <c r="I403" t="n">
        <v>1</v>
      </c>
      <c r="J403" t="n">
        <v>0</v>
      </c>
      <c r="K403" t="n">
        <v>0</v>
      </c>
      <c r="L403" t="n">
        <v>0</v>
      </c>
      <c r="M403" t="n">
        <v>0</v>
      </c>
      <c r="N403" t="n">
        <v>0</v>
      </c>
      <c r="O403" t="n">
        <v>0</v>
      </c>
      <c r="P403" t="n">
        <v>0</v>
      </c>
      <c r="Q403" t="n">
        <v>1</v>
      </c>
      <c r="R403" s="2" t="inlineStr">
        <is>
          <t>Björksplintborre</t>
        </is>
      </c>
      <c r="S403">
        <f>HYPERLINK("https://klasma.github.io/Logging_0115/artfynd/A 17341-2025 artfynd.xlsx", "A 17341-2025")</f>
        <v/>
      </c>
      <c r="T403">
        <f>HYPERLINK("https://klasma.github.io/Logging_0115/kartor/A 17341-2025 karta.png", "A 17341-2025")</f>
        <v/>
      </c>
      <c r="V403">
        <f>HYPERLINK("https://klasma.github.io/Logging_0115/klagomål/A 17341-2025 FSC-klagomål.docx", "A 17341-2025")</f>
        <v/>
      </c>
      <c r="W403">
        <f>HYPERLINK("https://klasma.github.io/Logging_0115/klagomålsmail/A 17341-2025 FSC-klagomål mail.docx", "A 17341-2025")</f>
        <v/>
      </c>
      <c r="X403">
        <f>HYPERLINK("https://klasma.github.io/Logging_0115/tillsyn/A 17341-2025 tillsynsbegäran.docx", "A 17341-2025")</f>
        <v/>
      </c>
      <c r="Y403">
        <f>HYPERLINK("https://klasma.github.io/Logging_0115/tillsynsmail/A 17341-2025 tillsynsbegäran mail.docx", "A 17341-2025")</f>
        <v/>
      </c>
    </row>
    <row r="404" ht="15" customHeight="1">
      <c r="A404" t="inlineStr">
        <is>
          <t>A 11393-2022</t>
        </is>
      </c>
      <c r="B404" s="1" t="n">
        <v>44630</v>
      </c>
      <c r="C404" s="1" t="n">
        <v>46050</v>
      </c>
      <c r="D404" t="inlineStr">
        <is>
          <t>STOCKHOLMS LÄN</t>
        </is>
      </c>
      <c r="E404" t="inlineStr">
        <is>
          <t>NYKVARN</t>
        </is>
      </c>
      <c r="G404" t="n">
        <v>3.8</v>
      </c>
      <c r="H404" t="n">
        <v>0</v>
      </c>
      <c r="I404" t="n">
        <v>1</v>
      </c>
      <c r="J404" t="n">
        <v>0</v>
      </c>
      <c r="K404" t="n">
        <v>0</v>
      </c>
      <c r="L404" t="n">
        <v>0</v>
      </c>
      <c r="M404" t="n">
        <v>0</v>
      </c>
      <c r="N404" t="n">
        <v>0</v>
      </c>
      <c r="O404" t="n">
        <v>0</v>
      </c>
      <c r="P404" t="n">
        <v>0</v>
      </c>
      <c r="Q404" t="n">
        <v>1</v>
      </c>
      <c r="R404" s="2" t="inlineStr">
        <is>
          <t>Björksplintborre</t>
        </is>
      </c>
      <c r="S404">
        <f>HYPERLINK("https://klasma.github.io/Logging_0140/artfynd/A 11393-2022 artfynd.xlsx", "A 11393-2022")</f>
        <v/>
      </c>
      <c r="T404">
        <f>HYPERLINK("https://klasma.github.io/Logging_0140/kartor/A 11393-2022 karta.png", "A 11393-2022")</f>
        <v/>
      </c>
      <c r="V404">
        <f>HYPERLINK("https://klasma.github.io/Logging_0140/klagomål/A 11393-2022 FSC-klagomål.docx", "A 11393-2022")</f>
        <v/>
      </c>
      <c r="W404">
        <f>HYPERLINK("https://klasma.github.io/Logging_0140/klagomålsmail/A 11393-2022 FSC-klagomål mail.docx", "A 11393-2022")</f>
        <v/>
      </c>
      <c r="X404">
        <f>HYPERLINK("https://klasma.github.io/Logging_0140/tillsyn/A 11393-2022 tillsynsbegäran.docx", "A 11393-2022")</f>
        <v/>
      </c>
      <c r="Y404">
        <f>HYPERLINK("https://klasma.github.io/Logging_0140/tillsynsmail/A 11393-2022 tillsynsbegäran mail.docx", "A 11393-2022")</f>
        <v/>
      </c>
    </row>
    <row r="405" ht="15" customHeight="1">
      <c r="A405" t="inlineStr">
        <is>
          <t>A 52545-2024</t>
        </is>
      </c>
      <c r="B405" s="1" t="n">
        <v>45609.63619212963</v>
      </c>
      <c r="C405" s="1" t="n">
        <v>46050</v>
      </c>
      <c r="D405" t="inlineStr">
        <is>
          <t>STOCKHOLMS LÄN</t>
        </is>
      </c>
      <c r="E405" t="inlineStr">
        <is>
          <t>EKERÖ</t>
        </is>
      </c>
      <c r="G405" t="n">
        <v>2.8</v>
      </c>
      <c r="H405" t="n">
        <v>1</v>
      </c>
      <c r="I405" t="n">
        <v>1</v>
      </c>
      <c r="J405" t="n">
        <v>0</v>
      </c>
      <c r="K405" t="n">
        <v>0</v>
      </c>
      <c r="L405" t="n">
        <v>0</v>
      </c>
      <c r="M405" t="n">
        <v>0</v>
      </c>
      <c r="N405" t="n">
        <v>0</v>
      </c>
      <c r="O405" t="n">
        <v>0</v>
      </c>
      <c r="P405" t="n">
        <v>0</v>
      </c>
      <c r="Q405" t="n">
        <v>1</v>
      </c>
      <c r="R405" s="2" t="inlineStr">
        <is>
          <t>Grön sköldmossa</t>
        </is>
      </c>
      <c r="S405">
        <f>HYPERLINK("https://klasma.github.io/Logging_0125/artfynd/A 52545-2024 artfynd.xlsx", "A 52545-2024")</f>
        <v/>
      </c>
      <c r="T405">
        <f>HYPERLINK("https://klasma.github.io/Logging_0125/kartor/A 52545-2024 karta.png", "A 52545-2024")</f>
        <v/>
      </c>
      <c r="V405">
        <f>HYPERLINK("https://klasma.github.io/Logging_0125/klagomål/A 52545-2024 FSC-klagomål.docx", "A 52545-2024")</f>
        <v/>
      </c>
      <c r="W405">
        <f>HYPERLINK("https://klasma.github.io/Logging_0125/klagomålsmail/A 52545-2024 FSC-klagomål mail.docx", "A 52545-2024")</f>
        <v/>
      </c>
      <c r="X405">
        <f>HYPERLINK("https://klasma.github.io/Logging_0125/tillsyn/A 52545-2024 tillsynsbegäran.docx", "A 52545-2024")</f>
        <v/>
      </c>
      <c r="Y405">
        <f>HYPERLINK("https://klasma.github.io/Logging_0125/tillsynsmail/A 52545-2024 tillsynsbegäran mail.docx", "A 52545-2024")</f>
        <v/>
      </c>
    </row>
    <row r="406" ht="15" customHeight="1">
      <c r="A406" t="inlineStr">
        <is>
          <t>A 27538-2024</t>
        </is>
      </c>
      <c r="B406" s="1" t="n">
        <v>45474</v>
      </c>
      <c r="C406" s="1" t="n">
        <v>46050</v>
      </c>
      <c r="D406" t="inlineStr">
        <is>
          <t>STOCKHOLMS LÄN</t>
        </is>
      </c>
      <c r="E406" t="inlineStr">
        <is>
          <t>NORRTÄLJE</t>
        </is>
      </c>
      <c r="G406" t="n">
        <v>1.5</v>
      </c>
      <c r="H406" t="n">
        <v>1</v>
      </c>
      <c r="I406" t="n">
        <v>1</v>
      </c>
      <c r="J406" t="n">
        <v>0</v>
      </c>
      <c r="K406" t="n">
        <v>0</v>
      </c>
      <c r="L406" t="n">
        <v>0</v>
      </c>
      <c r="M406" t="n">
        <v>0</v>
      </c>
      <c r="N406" t="n">
        <v>0</v>
      </c>
      <c r="O406" t="n">
        <v>0</v>
      </c>
      <c r="P406" t="n">
        <v>0</v>
      </c>
      <c r="Q406" t="n">
        <v>1</v>
      </c>
      <c r="R406" s="2" t="inlineStr">
        <is>
          <t>Skogsknipprot</t>
        </is>
      </c>
      <c r="S406">
        <f>HYPERLINK("https://klasma.github.io/Logging_0188/artfynd/A 27538-2024 artfynd.xlsx", "A 27538-2024")</f>
        <v/>
      </c>
      <c r="T406">
        <f>HYPERLINK("https://klasma.github.io/Logging_0188/kartor/A 27538-2024 karta.png", "A 27538-2024")</f>
        <v/>
      </c>
      <c r="V406">
        <f>HYPERLINK("https://klasma.github.io/Logging_0188/klagomål/A 27538-2024 FSC-klagomål.docx", "A 27538-2024")</f>
        <v/>
      </c>
      <c r="W406">
        <f>HYPERLINK("https://klasma.github.io/Logging_0188/klagomålsmail/A 27538-2024 FSC-klagomål mail.docx", "A 27538-2024")</f>
        <v/>
      </c>
      <c r="X406">
        <f>HYPERLINK("https://klasma.github.io/Logging_0188/tillsyn/A 27538-2024 tillsynsbegäran.docx", "A 27538-2024")</f>
        <v/>
      </c>
      <c r="Y406">
        <f>HYPERLINK("https://klasma.github.io/Logging_0188/tillsynsmail/A 27538-2024 tillsynsbegäran mail.docx", "A 27538-2024")</f>
        <v/>
      </c>
    </row>
    <row r="407" ht="15" customHeight="1">
      <c r="A407" t="inlineStr">
        <is>
          <t>A 39716-2023</t>
        </is>
      </c>
      <c r="B407" s="1" t="n">
        <v>45166</v>
      </c>
      <c r="C407" s="1" t="n">
        <v>46050</v>
      </c>
      <c r="D407" t="inlineStr">
        <is>
          <t>STOCKHOLMS LÄN</t>
        </is>
      </c>
      <c r="E407" t="inlineStr">
        <is>
          <t>SIGTUNA</t>
        </is>
      </c>
      <c r="G407" t="n">
        <v>3.5</v>
      </c>
      <c r="H407" t="n">
        <v>1</v>
      </c>
      <c r="I407" t="n">
        <v>0</v>
      </c>
      <c r="J407" t="n">
        <v>1</v>
      </c>
      <c r="K407" t="n">
        <v>0</v>
      </c>
      <c r="L407" t="n">
        <v>0</v>
      </c>
      <c r="M407" t="n">
        <v>0</v>
      </c>
      <c r="N407" t="n">
        <v>0</v>
      </c>
      <c r="O407" t="n">
        <v>1</v>
      </c>
      <c r="P407" t="n">
        <v>0</v>
      </c>
      <c r="Q407" t="n">
        <v>1</v>
      </c>
      <c r="R407" s="2" t="inlineStr">
        <is>
          <t>Hornuggla</t>
        </is>
      </c>
      <c r="S407">
        <f>HYPERLINK("https://klasma.github.io/Logging_0191/artfynd/A 39716-2023 artfynd.xlsx", "A 39716-2023")</f>
        <v/>
      </c>
      <c r="T407">
        <f>HYPERLINK("https://klasma.github.io/Logging_0191/kartor/A 39716-2023 karta.png", "A 39716-2023")</f>
        <v/>
      </c>
      <c r="V407">
        <f>HYPERLINK("https://klasma.github.io/Logging_0191/klagomål/A 39716-2023 FSC-klagomål.docx", "A 39716-2023")</f>
        <v/>
      </c>
      <c r="W407">
        <f>HYPERLINK("https://klasma.github.io/Logging_0191/klagomålsmail/A 39716-2023 FSC-klagomål mail.docx", "A 39716-2023")</f>
        <v/>
      </c>
      <c r="X407">
        <f>HYPERLINK("https://klasma.github.io/Logging_0191/tillsyn/A 39716-2023 tillsynsbegäran.docx", "A 39716-2023")</f>
        <v/>
      </c>
      <c r="Y407">
        <f>HYPERLINK("https://klasma.github.io/Logging_0191/tillsynsmail/A 39716-2023 tillsynsbegäran mail.docx", "A 39716-2023")</f>
        <v/>
      </c>
      <c r="Z407">
        <f>HYPERLINK("https://klasma.github.io/Logging_0191/fåglar/A 39716-2023 prioriterade fågelarter.docx", "A 39716-2023")</f>
        <v/>
      </c>
    </row>
    <row r="408" ht="15" customHeight="1">
      <c r="A408" t="inlineStr">
        <is>
          <t>A 3919-2023</t>
        </is>
      </c>
      <c r="B408" s="1" t="n">
        <v>44952</v>
      </c>
      <c r="C408" s="1" t="n">
        <v>46050</v>
      </c>
      <c r="D408" t="inlineStr">
        <is>
          <t>STOCKHOLMS LÄN</t>
        </is>
      </c>
      <c r="E408" t="inlineStr">
        <is>
          <t>ÖSTERÅKER</t>
        </is>
      </c>
      <c r="F408" t="inlineStr">
        <is>
          <t>Kommuner</t>
        </is>
      </c>
      <c r="G408" t="n">
        <v>4.9</v>
      </c>
      <c r="H408" t="n">
        <v>0</v>
      </c>
      <c r="I408" t="n">
        <v>0</v>
      </c>
      <c r="J408" t="n">
        <v>1</v>
      </c>
      <c r="K408" t="n">
        <v>0</v>
      </c>
      <c r="L408" t="n">
        <v>0</v>
      </c>
      <c r="M408" t="n">
        <v>0</v>
      </c>
      <c r="N408" t="n">
        <v>0</v>
      </c>
      <c r="O408" t="n">
        <v>1</v>
      </c>
      <c r="P408" t="n">
        <v>0</v>
      </c>
      <c r="Q408" t="n">
        <v>1</v>
      </c>
      <c r="R408" s="2" t="inlineStr">
        <is>
          <t>Tallticka</t>
        </is>
      </c>
      <c r="S408">
        <f>HYPERLINK("https://klasma.github.io/Logging_0117/artfynd/A 3919-2023 artfynd.xlsx", "A 3919-2023")</f>
        <v/>
      </c>
      <c r="T408">
        <f>HYPERLINK("https://klasma.github.io/Logging_0117/kartor/A 3919-2023 karta.png", "A 3919-2023")</f>
        <v/>
      </c>
      <c r="V408">
        <f>HYPERLINK("https://klasma.github.io/Logging_0117/klagomål/A 3919-2023 FSC-klagomål.docx", "A 3919-2023")</f>
        <v/>
      </c>
      <c r="W408">
        <f>HYPERLINK("https://klasma.github.io/Logging_0117/klagomålsmail/A 3919-2023 FSC-klagomål mail.docx", "A 3919-2023")</f>
        <v/>
      </c>
      <c r="X408">
        <f>HYPERLINK("https://klasma.github.io/Logging_0117/tillsyn/A 3919-2023 tillsynsbegäran.docx", "A 3919-2023")</f>
        <v/>
      </c>
      <c r="Y408">
        <f>HYPERLINK("https://klasma.github.io/Logging_0117/tillsynsmail/A 3919-2023 tillsynsbegäran mail.docx", "A 3919-2023")</f>
        <v/>
      </c>
    </row>
    <row r="409" ht="15" customHeight="1">
      <c r="A409" t="inlineStr">
        <is>
          <t>A 48131-2023</t>
        </is>
      </c>
      <c r="B409" s="1" t="n">
        <v>45205</v>
      </c>
      <c r="C409" s="1" t="n">
        <v>46050</v>
      </c>
      <c r="D409" t="inlineStr">
        <is>
          <t>STOCKHOLMS LÄN</t>
        </is>
      </c>
      <c r="E409" t="inlineStr">
        <is>
          <t>NORRTÄLJE</t>
        </is>
      </c>
      <c r="G409" t="n">
        <v>2.3</v>
      </c>
      <c r="H409" t="n">
        <v>0</v>
      </c>
      <c r="I409" t="n">
        <v>0</v>
      </c>
      <c r="J409" t="n">
        <v>1</v>
      </c>
      <c r="K409" t="n">
        <v>0</v>
      </c>
      <c r="L409" t="n">
        <v>0</v>
      </c>
      <c r="M409" t="n">
        <v>0</v>
      </c>
      <c r="N409" t="n">
        <v>0</v>
      </c>
      <c r="O409" t="n">
        <v>1</v>
      </c>
      <c r="P409" t="n">
        <v>0</v>
      </c>
      <c r="Q409" t="n">
        <v>1</v>
      </c>
      <c r="R409" s="2" t="inlineStr">
        <is>
          <t>Slåtterfibbla</t>
        </is>
      </c>
      <c r="S409">
        <f>HYPERLINK("https://klasma.github.io/Logging_0188/artfynd/A 48131-2023 artfynd.xlsx", "A 48131-2023")</f>
        <v/>
      </c>
      <c r="T409">
        <f>HYPERLINK("https://klasma.github.io/Logging_0188/kartor/A 48131-2023 karta.png", "A 48131-2023")</f>
        <v/>
      </c>
      <c r="V409">
        <f>HYPERLINK("https://klasma.github.io/Logging_0188/klagomål/A 48131-2023 FSC-klagomål.docx", "A 48131-2023")</f>
        <v/>
      </c>
      <c r="W409">
        <f>HYPERLINK("https://klasma.github.io/Logging_0188/klagomålsmail/A 48131-2023 FSC-klagomål mail.docx", "A 48131-2023")</f>
        <v/>
      </c>
      <c r="X409">
        <f>HYPERLINK("https://klasma.github.io/Logging_0188/tillsyn/A 48131-2023 tillsynsbegäran.docx", "A 48131-2023")</f>
        <v/>
      </c>
      <c r="Y409">
        <f>HYPERLINK("https://klasma.github.io/Logging_0188/tillsynsmail/A 48131-2023 tillsynsbegäran mail.docx", "A 48131-2023")</f>
        <v/>
      </c>
    </row>
    <row r="410" ht="15" customHeight="1">
      <c r="A410" t="inlineStr">
        <is>
          <t>A 52046-2022</t>
        </is>
      </c>
      <c r="B410" s="1" t="n">
        <v>44868</v>
      </c>
      <c r="C410" s="1" t="n">
        <v>46050</v>
      </c>
      <c r="D410" t="inlineStr">
        <is>
          <t>STOCKHOLMS LÄN</t>
        </is>
      </c>
      <c r="E410" t="inlineStr">
        <is>
          <t>SÖDERTÄLJE</t>
        </is>
      </c>
      <c r="F410" t="inlineStr">
        <is>
          <t>Kommuner</t>
        </is>
      </c>
      <c r="G410" t="n">
        <v>8.4</v>
      </c>
      <c r="H410" t="n">
        <v>0</v>
      </c>
      <c r="I410" t="n">
        <v>1</v>
      </c>
      <c r="J410" t="n">
        <v>0</v>
      </c>
      <c r="K410" t="n">
        <v>0</v>
      </c>
      <c r="L410" t="n">
        <v>0</v>
      </c>
      <c r="M410" t="n">
        <v>0</v>
      </c>
      <c r="N410" t="n">
        <v>0</v>
      </c>
      <c r="O410" t="n">
        <v>0</v>
      </c>
      <c r="P410" t="n">
        <v>0</v>
      </c>
      <c r="Q410" t="n">
        <v>1</v>
      </c>
      <c r="R410" s="2" t="inlineStr">
        <is>
          <t>Tjockfotad fingersvamp</t>
        </is>
      </c>
      <c r="S410">
        <f>HYPERLINK("https://klasma.github.io/Logging_0181/artfynd/A 52046-2022 artfynd.xlsx", "A 52046-2022")</f>
        <v/>
      </c>
      <c r="T410">
        <f>HYPERLINK("https://klasma.github.io/Logging_0181/kartor/A 52046-2022 karta.png", "A 52046-2022")</f>
        <v/>
      </c>
      <c r="V410">
        <f>HYPERLINK("https://klasma.github.io/Logging_0181/klagomål/A 52046-2022 FSC-klagomål.docx", "A 52046-2022")</f>
        <v/>
      </c>
      <c r="W410">
        <f>HYPERLINK("https://klasma.github.io/Logging_0181/klagomålsmail/A 52046-2022 FSC-klagomål mail.docx", "A 52046-2022")</f>
        <v/>
      </c>
      <c r="X410">
        <f>HYPERLINK("https://klasma.github.io/Logging_0181/tillsyn/A 52046-2022 tillsynsbegäran.docx", "A 52046-2022")</f>
        <v/>
      </c>
      <c r="Y410">
        <f>HYPERLINK("https://klasma.github.io/Logging_0181/tillsynsmail/A 52046-2022 tillsynsbegäran mail.docx", "A 52046-2022")</f>
        <v/>
      </c>
    </row>
    <row r="411" ht="15" customHeight="1">
      <c r="A411" t="inlineStr">
        <is>
          <t>A 30154-2022</t>
        </is>
      </c>
      <c r="B411" s="1" t="n">
        <v>44757</v>
      </c>
      <c r="C411" s="1" t="n">
        <v>46050</v>
      </c>
      <c r="D411" t="inlineStr">
        <is>
          <t>STOCKHOLMS LÄN</t>
        </is>
      </c>
      <c r="E411" t="inlineStr">
        <is>
          <t>VÄRMDÖ</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HYPERLINK("https://klasma.github.io/Logging_0120/artfynd/A 30154-2022 artfynd.xlsx", "A 30154-2022")</f>
        <v/>
      </c>
      <c r="T411">
        <f>HYPERLINK("https://klasma.github.io/Logging_0120/kartor/A 30154-2022 karta.png", "A 30154-2022")</f>
        <v/>
      </c>
      <c r="V411">
        <f>HYPERLINK("https://klasma.github.io/Logging_0120/klagomål/A 30154-2022 FSC-klagomål.docx", "A 30154-2022")</f>
        <v/>
      </c>
      <c r="W411">
        <f>HYPERLINK("https://klasma.github.io/Logging_0120/klagomålsmail/A 30154-2022 FSC-klagomål mail.docx", "A 30154-2022")</f>
        <v/>
      </c>
      <c r="X411">
        <f>HYPERLINK("https://klasma.github.io/Logging_0120/tillsyn/A 30154-2022 tillsynsbegäran.docx", "A 30154-2022")</f>
        <v/>
      </c>
      <c r="Y411">
        <f>HYPERLINK("https://klasma.github.io/Logging_0120/tillsynsmail/A 30154-2022 tillsynsbegäran mail.docx", "A 30154-2022")</f>
        <v/>
      </c>
    </row>
    <row r="412" ht="15" customHeight="1">
      <c r="A412" t="inlineStr">
        <is>
          <t>A 16309-2022</t>
        </is>
      </c>
      <c r="B412" s="1" t="n">
        <v>44670</v>
      </c>
      <c r="C412" s="1" t="n">
        <v>46050</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64098-2023</t>
        </is>
      </c>
      <c r="B413" s="1" t="n">
        <v>45279</v>
      </c>
      <c r="C413" s="1" t="n">
        <v>46050</v>
      </c>
      <c r="D413" t="inlineStr">
        <is>
          <t>STOCKHOLMS LÄN</t>
        </is>
      </c>
      <c r="E413" t="inlineStr">
        <is>
          <t>UPPLANDS-BRO</t>
        </is>
      </c>
      <c r="G413" t="n">
        <v>0.3</v>
      </c>
      <c r="H413" t="n">
        <v>0</v>
      </c>
      <c r="I413" t="n">
        <v>0</v>
      </c>
      <c r="J413" t="n">
        <v>1</v>
      </c>
      <c r="K413" t="n">
        <v>0</v>
      </c>
      <c r="L413" t="n">
        <v>0</v>
      </c>
      <c r="M413" t="n">
        <v>0</v>
      </c>
      <c r="N413" t="n">
        <v>0</v>
      </c>
      <c r="O413" t="n">
        <v>1</v>
      </c>
      <c r="P413" t="n">
        <v>0</v>
      </c>
      <c r="Q413" t="n">
        <v>1</v>
      </c>
      <c r="R413" s="2" t="inlineStr">
        <is>
          <t>Skogsalmsdvärgmal</t>
        </is>
      </c>
      <c r="S413">
        <f>HYPERLINK("https://klasma.github.io/Logging_0139/artfynd/A 64098-2023 artfynd.xlsx", "A 64098-2023")</f>
        <v/>
      </c>
      <c r="T413">
        <f>HYPERLINK("https://klasma.github.io/Logging_0139/kartor/A 64098-2023 karta.png", "A 64098-2023")</f>
        <v/>
      </c>
      <c r="V413">
        <f>HYPERLINK("https://klasma.github.io/Logging_0139/klagomål/A 64098-2023 FSC-klagomål.docx", "A 64098-2023")</f>
        <v/>
      </c>
      <c r="W413">
        <f>HYPERLINK("https://klasma.github.io/Logging_0139/klagomålsmail/A 64098-2023 FSC-klagomål mail.docx", "A 64098-2023")</f>
        <v/>
      </c>
      <c r="X413">
        <f>HYPERLINK("https://klasma.github.io/Logging_0139/tillsyn/A 64098-2023 tillsynsbegäran.docx", "A 64098-2023")</f>
        <v/>
      </c>
      <c r="Y413">
        <f>HYPERLINK("https://klasma.github.io/Logging_0139/tillsynsmail/A 64098-2023 tillsynsbegäran mail.docx", "A 64098-2023")</f>
        <v/>
      </c>
    </row>
    <row r="414" ht="15" customHeight="1">
      <c r="A414" t="inlineStr">
        <is>
          <t>A 21150-2022</t>
        </is>
      </c>
      <c r="B414" s="1" t="n">
        <v>44704</v>
      </c>
      <c r="C414" s="1" t="n">
        <v>46050</v>
      </c>
      <c r="D414" t="inlineStr">
        <is>
          <t>STOCKHOLMS LÄN</t>
        </is>
      </c>
      <c r="E414" t="inlineStr">
        <is>
          <t>NORRTÄLJE</t>
        </is>
      </c>
      <c r="G414" t="n">
        <v>12.5</v>
      </c>
      <c r="H414" t="n">
        <v>1</v>
      </c>
      <c r="I414" t="n">
        <v>0</v>
      </c>
      <c r="J414" t="n">
        <v>0</v>
      </c>
      <c r="K414" t="n">
        <v>0</v>
      </c>
      <c r="L414" t="n">
        <v>1</v>
      </c>
      <c r="M414" t="n">
        <v>0</v>
      </c>
      <c r="N414" t="n">
        <v>0</v>
      </c>
      <c r="O414" t="n">
        <v>1</v>
      </c>
      <c r="P414" t="n">
        <v>1</v>
      </c>
      <c r="Q414" t="n">
        <v>1</v>
      </c>
      <c r="R414" s="2" t="inlineStr">
        <is>
          <t>Asknätfjäril</t>
        </is>
      </c>
      <c r="S414">
        <f>HYPERLINK("https://klasma.github.io/Logging_0188/artfynd/A 21150-2022 artfynd.xlsx", "A 21150-2022")</f>
        <v/>
      </c>
      <c r="T414">
        <f>HYPERLINK("https://klasma.github.io/Logging_0188/kartor/A 21150-2022 karta.png", "A 21150-2022")</f>
        <v/>
      </c>
      <c r="V414">
        <f>HYPERLINK("https://klasma.github.io/Logging_0188/klagomål/A 21150-2022 FSC-klagomål.docx", "A 21150-2022")</f>
        <v/>
      </c>
      <c r="W414">
        <f>HYPERLINK("https://klasma.github.io/Logging_0188/klagomålsmail/A 21150-2022 FSC-klagomål mail.docx", "A 21150-2022")</f>
        <v/>
      </c>
      <c r="X414">
        <f>HYPERLINK("https://klasma.github.io/Logging_0188/tillsyn/A 21150-2022 tillsynsbegäran.docx", "A 21150-2022")</f>
        <v/>
      </c>
      <c r="Y414">
        <f>HYPERLINK("https://klasma.github.io/Logging_0188/tillsynsmail/A 21150-2022 tillsynsbegäran mail.docx", "A 21150-2022")</f>
        <v/>
      </c>
    </row>
    <row r="415" ht="15" customHeight="1">
      <c r="A415" t="inlineStr">
        <is>
          <t>A 33751-2024</t>
        </is>
      </c>
      <c r="B415" s="1" t="n">
        <v>45520</v>
      </c>
      <c r="C415" s="1" t="n">
        <v>46050</v>
      </c>
      <c r="D415" t="inlineStr">
        <is>
          <t>STOCKHOLMS LÄN</t>
        </is>
      </c>
      <c r="E415" t="inlineStr">
        <is>
          <t>SIGTUNA</t>
        </is>
      </c>
      <c r="F415" t="inlineStr">
        <is>
          <t>Allmännings- och besparingsskogar</t>
        </is>
      </c>
      <c r="G415" t="n">
        <v>1.5</v>
      </c>
      <c r="H415" t="n">
        <v>1</v>
      </c>
      <c r="I415" t="n">
        <v>0</v>
      </c>
      <c r="J415" t="n">
        <v>0</v>
      </c>
      <c r="K415" t="n">
        <v>0</v>
      </c>
      <c r="L415" t="n">
        <v>1</v>
      </c>
      <c r="M415" t="n">
        <v>0</v>
      </c>
      <c r="N415" t="n">
        <v>0</v>
      </c>
      <c r="O415" t="n">
        <v>1</v>
      </c>
      <c r="P415" t="n">
        <v>1</v>
      </c>
      <c r="Q415" t="n">
        <v>1</v>
      </c>
      <c r="R415" s="2" t="inlineStr">
        <is>
          <t>Grönfink</t>
        </is>
      </c>
      <c r="S415">
        <f>HYPERLINK("https://klasma.github.io/Logging_0191/artfynd/A 33751-2024 artfynd.xlsx", "A 33751-2024")</f>
        <v/>
      </c>
      <c r="T415">
        <f>HYPERLINK("https://klasma.github.io/Logging_0191/kartor/A 33751-2024 karta.png", "A 33751-2024")</f>
        <v/>
      </c>
      <c r="V415">
        <f>HYPERLINK("https://klasma.github.io/Logging_0191/klagomål/A 33751-2024 FSC-klagomål.docx", "A 33751-2024")</f>
        <v/>
      </c>
      <c r="W415">
        <f>HYPERLINK("https://klasma.github.io/Logging_0191/klagomålsmail/A 33751-2024 FSC-klagomål mail.docx", "A 33751-2024")</f>
        <v/>
      </c>
      <c r="X415">
        <f>HYPERLINK("https://klasma.github.io/Logging_0191/tillsyn/A 33751-2024 tillsynsbegäran.docx", "A 33751-2024")</f>
        <v/>
      </c>
      <c r="Y415">
        <f>HYPERLINK("https://klasma.github.io/Logging_0191/tillsynsmail/A 33751-2024 tillsynsbegäran mail.docx", "A 33751-2024")</f>
        <v/>
      </c>
      <c r="Z415">
        <f>HYPERLINK("https://klasma.github.io/Logging_0191/fåglar/A 33751-2024 prioriterade fågelarter.docx", "A 33751-2024")</f>
        <v/>
      </c>
    </row>
    <row r="416" ht="15" customHeight="1">
      <c r="A416" t="inlineStr">
        <is>
          <t>A 14508-2024</t>
        </is>
      </c>
      <c r="B416" s="1" t="n">
        <v>45394.61583333334</v>
      </c>
      <c r="C416" s="1" t="n">
        <v>46050</v>
      </c>
      <c r="D416" t="inlineStr">
        <is>
          <t>STOCKHOLMS LÄN</t>
        </is>
      </c>
      <c r="E416" t="inlineStr">
        <is>
          <t>VALLENTUNA</t>
        </is>
      </c>
      <c r="G416" t="n">
        <v>1.7</v>
      </c>
      <c r="H416" t="n">
        <v>1</v>
      </c>
      <c r="I416" t="n">
        <v>0</v>
      </c>
      <c r="J416" t="n">
        <v>1</v>
      </c>
      <c r="K416" t="n">
        <v>0</v>
      </c>
      <c r="L416" t="n">
        <v>0</v>
      </c>
      <c r="M416" t="n">
        <v>0</v>
      </c>
      <c r="N416" t="n">
        <v>0</v>
      </c>
      <c r="O416" t="n">
        <v>1</v>
      </c>
      <c r="P416" t="n">
        <v>0</v>
      </c>
      <c r="Q416" t="n">
        <v>1</v>
      </c>
      <c r="R416" s="2" t="inlineStr">
        <is>
          <t>Mindre hackspett</t>
        </is>
      </c>
      <c r="S416">
        <f>HYPERLINK("https://klasma.github.io/Logging_0115/artfynd/A 14508-2024 artfynd.xlsx", "A 14508-2024")</f>
        <v/>
      </c>
      <c r="T416">
        <f>HYPERLINK("https://klasma.github.io/Logging_0115/kartor/A 14508-2024 karta.png", "A 14508-2024")</f>
        <v/>
      </c>
      <c r="V416">
        <f>HYPERLINK("https://klasma.github.io/Logging_0115/klagomål/A 14508-2024 FSC-klagomål.docx", "A 14508-2024")</f>
        <v/>
      </c>
      <c r="W416">
        <f>HYPERLINK("https://klasma.github.io/Logging_0115/klagomålsmail/A 14508-2024 FSC-klagomål mail.docx", "A 14508-2024")</f>
        <v/>
      </c>
      <c r="X416">
        <f>HYPERLINK("https://klasma.github.io/Logging_0115/tillsyn/A 14508-2024 tillsynsbegäran.docx", "A 14508-2024")</f>
        <v/>
      </c>
      <c r="Y416">
        <f>HYPERLINK("https://klasma.github.io/Logging_0115/tillsynsmail/A 14508-2024 tillsynsbegäran mail.docx", "A 14508-2024")</f>
        <v/>
      </c>
      <c r="Z416">
        <f>HYPERLINK("https://klasma.github.io/Logging_0115/fåglar/A 14508-2024 prioriterade fågelarter.docx", "A 14508-2024")</f>
        <v/>
      </c>
    </row>
    <row r="417" ht="15" customHeight="1">
      <c r="A417" t="inlineStr">
        <is>
          <t>A 6412-2024</t>
        </is>
      </c>
      <c r="B417" s="1" t="n">
        <v>45338</v>
      </c>
      <c r="C417" s="1" t="n">
        <v>46050</v>
      </c>
      <c r="D417" t="inlineStr">
        <is>
          <t>STOCKHOLMS LÄN</t>
        </is>
      </c>
      <c r="E417" t="inlineStr">
        <is>
          <t>VÄRMDÖ</t>
        </is>
      </c>
      <c r="G417" t="n">
        <v>2.4</v>
      </c>
      <c r="H417" t="n">
        <v>1</v>
      </c>
      <c r="I417" t="n">
        <v>1</v>
      </c>
      <c r="J417" t="n">
        <v>0</v>
      </c>
      <c r="K417" t="n">
        <v>0</v>
      </c>
      <c r="L417" t="n">
        <v>0</v>
      </c>
      <c r="M417" t="n">
        <v>0</v>
      </c>
      <c r="N417" t="n">
        <v>0</v>
      </c>
      <c r="O417" t="n">
        <v>0</v>
      </c>
      <c r="P417" t="n">
        <v>0</v>
      </c>
      <c r="Q417" t="n">
        <v>1</v>
      </c>
      <c r="R417" s="2" t="inlineStr">
        <is>
          <t>Skogsknipprot</t>
        </is>
      </c>
      <c r="S417">
        <f>HYPERLINK("https://klasma.github.io/Logging_0120/artfynd/A 6412-2024 artfynd.xlsx", "A 6412-2024")</f>
        <v/>
      </c>
      <c r="T417">
        <f>HYPERLINK("https://klasma.github.io/Logging_0120/kartor/A 6412-2024 karta.png", "A 6412-2024")</f>
        <v/>
      </c>
      <c r="V417">
        <f>HYPERLINK("https://klasma.github.io/Logging_0120/klagomål/A 6412-2024 FSC-klagomål.docx", "A 6412-2024")</f>
        <v/>
      </c>
      <c r="W417">
        <f>HYPERLINK("https://klasma.github.io/Logging_0120/klagomålsmail/A 6412-2024 FSC-klagomål mail.docx", "A 6412-2024")</f>
        <v/>
      </c>
      <c r="X417">
        <f>HYPERLINK("https://klasma.github.io/Logging_0120/tillsyn/A 6412-2024 tillsynsbegäran.docx", "A 6412-2024")</f>
        <v/>
      </c>
      <c r="Y417">
        <f>HYPERLINK("https://klasma.github.io/Logging_0120/tillsynsmail/A 6412-2024 tillsynsbegäran mail.docx", "A 6412-2024")</f>
        <v/>
      </c>
    </row>
    <row r="418" ht="15" customHeight="1">
      <c r="A418" t="inlineStr">
        <is>
          <t>A 58888-2021</t>
        </is>
      </c>
      <c r="B418" s="1" t="n">
        <v>44489</v>
      </c>
      <c r="C418" s="1" t="n">
        <v>46050</v>
      </c>
      <c r="D418" t="inlineStr">
        <is>
          <t>STOCKHOLMS LÄN</t>
        </is>
      </c>
      <c r="E418" t="inlineStr">
        <is>
          <t>NORRTÄLJE</t>
        </is>
      </c>
      <c r="F418" t="inlineStr">
        <is>
          <t>Holmen skog AB</t>
        </is>
      </c>
      <c r="G418" t="n">
        <v>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58888-2021 artfynd.xlsx", "A 58888-2021")</f>
        <v/>
      </c>
      <c r="T418">
        <f>HYPERLINK("https://klasma.github.io/Logging_0188/kartor/A 58888-2021 karta.png", "A 58888-2021")</f>
        <v/>
      </c>
      <c r="V418">
        <f>HYPERLINK("https://klasma.github.io/Logging_0188/klagomål/A 58888-2021 FSC-klagomål.docx", "A 58888-2021")</f>
        <v/>
      </c>
      <c r="W418">
        <f>HYPERLINK("https://klasma.github.io/Logging_0188/klagomålsmail/A 58888-2021 FSC-klagomål mail.docx", "A 58888-2021")</f>
        <v/>
      </c>
      <c r="X418">
        <f>HYPERLINK("https://klasma.github.io/Logging_0188/tillsyn/A 58888-2021 tillsynsbegäran.docx", "A 58888-2021")</f>
        <v/>
      </c>
      <c r="Y418">
        <f>HYPERLINK("https://klasma.github.io/Logging_0188/tillsynsmail/A 58888-2021 tillsynsbegäran mail.docx", "A 58888-2021")</f>
        <v/>
      </c>
    </row>
    <row r="419" ht="15" customHeight="1">
      <c r="A419" t="inlineStr">
        <is>
          <t>A 21439-2025</t>
        </is>
      </c>
      <c r="B419" s="1" t="n">
        <v>45782.52939814814</v>
      </c>
      <c r="C419" s="1" t="n">
        <v>46050</v>
      </c>
      <c r="D419" t="inlineStr">
        <is>
          <t>STOCKHOLMS LÄN</t>
        </is>
      </c>
      <c r="E419" t="inlineStr">
        <is>
          <t>VALLENTUNA</t>
        </is>
      </c>
      <c r="G419" t="n">
        <v>2.1</v>
      </c>
      <c r="H419" t="n">
        <v>0</v>
      </c>
      <c r="I419" t="n">
        <v>1</v>
      </c>
      <c r="J419" t="n">
        <v>0</v>
      </c>
      <c r="K419" t="n">
        <v>0</v>
      </c>
      <c r="L419" t="n">
        <v>0</v>
      </c>
      <c r="M419" t="n">
        <v>0</v>
      </c>
      <c r="N419" t="n">
        <v>0</v>
      </c>
      <c r="O419" t="n">
        <v>0</v>
      </c>
      <c r="P419" t="n">
        <v>0</v>
      </c>
      <c r="Q419" t="n">
        <v>1</v>
      </c>
      <c r="R419" s="2" t="inlineStr">
        <is>
          <t>Mindre märgborre</t>
        </is>
      </c>
      <c r="S419">
        <f>HYPERLINK("https://klasma.github.io/Logging_0115/artfynd/A 21439-2025 artfynd.xlsx", "A 21439-2025")</f>
        <v/>
      </c>
      <c r="T419">
        <f>HYPERLINK("https://klasma.github.io/Logging_0115/kartor/A 21439-2025 karta.png", "A 21439-2025")</f>
        <v/>
      </c>
      <c r="V419">
        <f>HYPERLINK("https://klasma.github.io/Logging_0115/klagomål/A 21439-2025 FSC-klagomål.docx", "A 21439-2025")</f>
        <v/>
      </c>
      <c r="W419">
        <f>HYPERLINK("https://klasma.github.io/Logging_0115/klagomålsmail/A 21439-2025 FSC-klagomål mail.docx", "A 21439-2025")</f>
        <v/>
      </c>
      <c r="X419">
        <f>HYPERLINK("https://klasma.github.io/Logging_0115/tillsyn/A 21439-2025 tillsynsbegäran.docx", "A 21439-2025")</f>
        <v/>
      </c>
      <c r="Y419">
        <f>HYPERLINK("https://klasma.github.io/Logging_0115/tillsynsmail/A 21439-2025 tillsynsbegäran mail.docx", "A 21439-2025")</f>
        <v/>
      </c>
    </row>
    <row r="420" ht="15" customHeight="1">
      <c r="A420" t="inlineStr">
        <is>
          <t>A 21726-2025</t>
        </is>
      </c>
      <c r="B420" s="1" t="n">
        <v>45783.56921296296</v>
      </c>
      <c r="C420" s="1" t="n">
        <v>46050</v>
      </c>
      <c r="D420" t="inlineStr">
        <is>
          <t>STOCKHOLMS LÄN</t>
        </is>
      </c>
      <c r="E420" t="inlineStr">
        <is>
          <t>SÖDERTÄLJE</t>
        </is>
      </c>
      <c r="G420" t="n">
        <v>0.9</v>
      </c>
      <c r="H420" t="n">
        <v>0</v>
      </c>
      <c r="I420" t="n">
        <v>0</v>
      </c>
      <c r="J420" t="n">
        <v>1</v>
      </c>
      <c r="K420" t="n">
        <v>0</v>
      </c>
      <c r="L420" t="n">
        <v>0</v>
      </c>
      <c r="M420" t="n">
        <v>0</v>
      </c>
      <c r="N420" t="n">
        <v>0</v>
      </c>
      <c r="O420" t="n">
        <v>1</v>
      </c>
      <c r="P420" t="n">
        <v>0</v>
      </c>
      <c r="Q420" t="n">
        <v>1</v>
      </c>
      <c r="R420" s="2" t="inlineStr">
        <is>
          <t>Druvfingersvamp</t>
        </is>
      </c>
      <c r="S420">
        <f>HYPERLINK("https://klasma.github.io/Logging_0181/artfynd/A 21726-2025 artfynd.xlsx", "A 21726-2025")</f>
        <v/>
      </c>
      <c r="T420">
        <f>HYPERLINK("https://klasma.github.io/Logging_0181/kartor/A 21726-2025 karta.png", "A 21726-2025")</f>
        <v/>
      </c>
      <c r="V420">
        <f>HYPERLINK("https://klasma.github.io/Logging_0181/klagomål/A 21726-2025 FSC-klagomål.docx", "A 21726-2025")</f>
        <v/>
      </c>
      <c r="W420">
        <f>HYPERLINK("https://klasma.github.io/Logging_0181/klagomålsmail/A 21726-2025 FSC-klagomål mail.docx", "A 21726-2025")</f>
        <v/>
      </c>
      <c r="X420">
        <f>HYPERLINK("https://klasma.github.io/Logging_0181/tillsyn/A 21726-2025 tillsynsbegäran.docx", "A 21726-2025")</f>
        <v/>
      </c>
      <c r="Y420">
        <f>HYPERLINK("https://klasma.github.io/Logging_0181/tillsynsmail/A 21726-2025 tillsynsbegäran mail.docx", "A 21726-2025")</f>
        <v/>
      </c>
    </row>
    <row r="421" ht="15" customHeight="1">
      <c r="A421" t="inlineStr">
        <is>
          <t>A 1793-2025</t>
        </is>
      </c>
      <c r="B421" s="1" t="n">
        <v>45671</v>
      </c>
      <c r="C421" s="1" t="n">
        <v>46050</v>
      </c>
      <c r="D421" t="inlineStr">
        <is>
          <t>STOCKHOLMS LÄN</t>
        </is>
      </c>
      <c r="E421" t="inlineStr">
        <is>
          <t>EKERÖ</t>
        </is>
      </c>
      <c r="G421" t="n">
        <v>1.7</v>
      </c>
      <c r="H421" t="n">
        <v>1</v>
      </c>
      <c r="I421" t="n">
        <v>0</v>
      </c>
      <c r="J421" t="n">
        <v>0</v>
      </c>
      <c r="K421" t="n">
        <v>0</v>
      </c>
      <c r="L421" t="n">
        <v>0</v>
      </c>
      <c r="M421" t="n">
        <v>0</v>
      </c>
      <c r="N421" t="n">
        <v>0</v>
      </c>
      <c r="O421" t="n">
        <v>0</v>
      </c>
      <c r="P421" t="n">
        <v>0</v>
      </c>
      <c r="Q421" t="n">
        <v>1</v>
      </c>
      <c r="R421" s="2" t="inlineStr">
        <is>
          <t>Mistel</t>
        </is>
      </c>
      <c r="S421">
        <f>HYPERLINK("https://klasma.github.io/Logging_0125/artfynd/A 1793-2025 artfynd.xlsx", "A 1793-2025")</f>
        <v/>
      </c>
      <c r="T421">
        <f>HYPERLINK("https://klasma.github.io/Logging_0125/kartor/A 1793-2025 karta.png", "A 1793-2025")</f>
        <v/>
      </c>
      <c r="V421">
        <f>HYPERLINK("https://klasma.github.io/Logging_0125/klagomål/A 1793-2025 FSC-klagomål.docx", "A 1793-2025")</f>
        <v/>
      </c>
      <c r="W421">
        <f>HYPERLINK("https://klasma.github.io/Logging_0125/klagomålsmail/A 1793-2025 FSC-klagomål mail.docx", "A 1793-2025")</f>
        <v/>
      </c>
      <c r="X421">
        <f>HYPERLINK("https://klasma.github.io/Logging_0125/tillsyn/A 1793-2025 tillsynsbegäran.docx", "A 1793-2025")</f>
        <v/>
      </c>
      <c r="Y421">
        <f>HYPERLINK("https://klasma.github.io/Logging_0125/tillsynsmail/A 1793-2025 tillsynsbegäran mail.docx", "A 1793-2025")</f>
        <v/>
      </c>
    </row>
    <row r="422" ht="15" customHeight="1">
      <c r="A422" t="inlineStr">
        <is>
          <t>A 9955-2022</t>
        </is>
      </c>
      <c r="B422" s="1" t="n">
        <v>44620</v>
      </c>
      <c r="C422" s="1" t="n">
        <v>46050</v>
      </c>
      <c r="D422" t="inlineStr">
        <is>
          <t>STOCKHOLMS LÄN</t>
        </is>
      </c>
      <c r="E422" t="inlineStr">
        <is>
          <t>NORRTÄLJE</t>
        </is>
      </c>
      <c r="G422" t="n">
        <v>7.8</v>
      </c>
      <c r="H422" t="n">
        <v>1</v>
      </c>
      <c r="I422" t="n">
        <v>0</v>
      </c>
      <c r="J422" t="n">
        <v>0</v>
      </c>
      <c r="K422" t="n">
        <v>0</v>
      </c>
      <c r="L422" t="n">
        <v>0</v>
      </c>
      <c r="M422" t="n">
        <v>0</v>
      </c>
      <c r="N422" t="n">
        <v>0</v>
      </c>
      <c r="O422" t="n">
        <v>0</v>
      </c>
      <c r="P422" t="n">
        <v>0</v>
      </c>
      <c r="Q422" t="n">
        <v>1</v>
      </c>
      <c r="R422" s="2" t="inlineStr">
        <is>
          <t>Åkergroda</t>
        </is>
      </c>
      <c r="S422">
        <f>HYPERLINK("https://klasma.github.io/Logging_0188/artfynd/A 9955-2022 artfynd.xlsx", "A 9955-2022")</f>
        <v/>
      </c>
      <c r="T422">
        <f>HYPERLINK("https://klasma.github.io/Logging_0188/kartor/A 9955-2022 karta.png", "A 9955-2022")</f>
        <v/>
      </c>
      <c r="V422">
        <f>HYPERLINK("https://klasma.github.io/Logging_0188/klagomål/A 9955-2022 FSC-klagomål.docx", "A 9955-2022")</f>
        <v/>
      </c>
      <c r="W422">
        <f>HYPERLINK("https://klasma.github.io/Logging_0188/klagomålsmail/A 9955-2022 FSC-klagomål mail.docx", "A 9955-2022")</f>
        <v/>
      </c>
      <c r="X422">
        <f>HYPERLINK("https://klasma.github.io/Logging_0188/tillsyn/A 9955-2022 tillsynsbegäran.docx", "A 9955-2022")</f>
        <v/>
      </c>
      <c r="Y422">
        <f>HYPERLINK("https://klasma.github.io/Logging_0188/tillsynsmail/A 9955-2022 tillsynsbegäran mail.docx", "A 9955-2022")</f>
        <v/>
      </c>
    </row>
    <row r="423" ht="15" customHeight="1">
      <c r="A423" t="inlineStr">
        <is>
          <t>A 23279-2025</t>
        </is>
      </c>
      <c r="B423" s="1" t="n">
        <v>45791</v>
      </c>
      <c r="C423" s="1" t="n">
        <v>46050</v>
      </c>
      <c r="D423" t="inlineStr">
        <is>
          <t>STOCKHOLMS LÄN</t>
        </is>
      </c>
      <c r="E423" t="inlineStr">
        <is>
          <t>NYKVARN</t>
        </is>
      </c>
      <c r="F423" t="inlineStr">
        <is>
          <t>Sveaskog</t>
        </is>
      </c>
      <c r="G423" t="n">
        <v>0.5</v>
      </c>
      <c r="H423" t="n">
        <v>1</v>
      </c>
      <c r="I423" t="n">
        <v>0</v>
      </c>
      <c r="J423" t="n">
        <v>0</v>
      </c>
      <c r="K423" t="n">
        <v>0</v>
      </c>
      <c r="L423" t="n">
        <v>0</v>
      </c>
      <c r="M423" t="n">
        <v>0</v>
      </c>
      <c r="N423" t="n">
        <v>0</v>
      </c>
      <c r="O423" t="n">
        <v>0</v>
      </c>
      <c r="P423" t="n">
        <v>0</v>
      </c>
      <c r="Q423" t="n">
        <v>1</v>
      </c>
      <c r="R423" s="2" t="inlineStr">
        <is>
          <t>Blåsippa</t>
        </is>
      </c>
      <c r="S423">
        <f>HYPERLINK("https://klasma.github.io/Logging_0140/artfynd/A 23279-2025 artfynd.xlsx", "A 23279-2025")</f>
        <v/>
      </c>
      <c r="T423">
        <f>HYPERLINK("https://klasma.github.io/Logging_0140/kartor/A 23279-2025 karta.png", "A 23279-2025")</f>
        <v/>
      </c>
      <c r="V423">
        <f>HYPERLINK("https://klasma.github.io/Logging_0140/klagomål/A 23279-2025 FSC-klagomål.docx", "A 23279-2025")</f>
        <v/>
      </c>
      <c r="W423">
        <f>HYPERLINK("https://klasma.github.io/Logging_0140/klagomålsmail/A 23279-2025 FSC-klagomål mail.docx", "A 23279-2025")</f>
        <v/>
      </c>
      <c r="X423">
        <f>HYPERLINK("https://klasma.github.io/Logging_0140/tillsyn/A 23279-2025 tillsynsbegäran.docx", "A 23279-2025")</f>
        <v/>
      </c>
      <c r="Y423">
        <f>HYPERLINK("https://klasma.github.io/Logging_0140/tillsynsmail/A 23279-2025 tillsynsbegäran mail.docx", "A 23279-2025")</f>
        <v/>
      </c>
    </row>
    <row r="424" ht="15" customHeight="1">
      <c r="A424" t="inlineStr">
        <is>
          <t>A 22936-2025</t>
        </is>
      </c>
      <c r="B424" s="1" t="n">
        <v>45790.45738425926</v>
      </c>
      <c r="C424" s="1" t="n">
        <v>46050</v>
      </c>
      <c r="D424" t="inlineStr">
        <is>
          <t>STOCKHOLMS LÄN</t>
        </is>
      </c>
      <c r="E424" t="inlineStr">
        <is>
          <t>VALLENTUNA</t>
        </is>
      </c>
      <c r="G424" t="n">
        <v>2.7</v>
      </c>
      <c r="H424" t="n">
        <v>0</v>
      </c>
      <c r="I424" t="n">
        <v>1</v>
      </c>
      <c r="J424" t="n">
        <v>0</v>
      </c>
      <c r="K424" t="n">
        <v>0</v>
      </c>
      <c r="L424" t="n">
        <v>0</v>
      </c>
      <c r="M424" t="n">
        <v>0</v>
      </c>
      <c r="N424" t="n">
        <v>0</v>
      </c>
      <c r="O424" t="n">
        <v>0</v>
      </c>
      <c r="P424" t="n">
        <v>0</v>
      </c>
      <c r="Q424" t="n">
        <v>1</v>
      </c>
      <c r="R424" s="2" t="inlineStr">
        <is>
          <t>Björksplintborre</t>
        </is>
      </c>
      <c r="S424">
        <f>HYPERLINK("https://klasma.github.io/Logging_0115/artfynd/A 22936-2025 artfynd.xlsx", "A 22936-2025")</f>
        <v/>
      </c>
      <c r="T424">
        <f>HYPERLINK("https://klasma.github.io/Logging_0115/kartor/A 22936-2025 karta.png", "A 22936-2025")</f>
        <v/>
      </c>
      <c r="V424">
        <f>HYPERLINK("https://klasma.github.io/Logging_0115/klagomål/A 22936-2025 FSC-klagomål.docx", "A 22936-2025")</f>
        <v/>
      </c>
      <c r="W424">
        <f>HYPERLINK("https://klasma.github.io/Logging_0115/klagomålsmail/A 22936-2025 FSC-klagomål mail.docx", "A 22936-2025")</f>
        <v/>
      </c>
      <c r="X424">
        <f>HYPERLINK("https://klasma.github.io/Logging_0115/tillsyn/A 22936-2025 tillsynsbegäran.docx", "A 22936-2025")</f>
        <v/>
      </c>
      <c r="Y424">
        <f>HYPERLINK("https://klasma.github.io/Logging_0115/tillsynsmail/A 22936-2025 tillsynsbegäran mail.docx", "A 22936-2025")</f>
        <v/>
      </c>
    </row>
    <row r="425" ht="15" customHeight="1">
      <c r="A425" t="inlineStr">
        <is>
          <t>A 23772-2025</t>
        </is>
      </c>
      <c r="B425" s="1" t="n">
        <v>45793.48637731482</v>
      </c>
      <c r="C425" s="1" t="n">
        <v>46050</v>
      </c>
      <c r="D425" t="inlineStr">
        <is>
          <t>STOCKHOLMS LÄN</t>
        </is>
      </c>
      <c r="E425" t="inlineStr">
        <is>
          <t>SÖDERTÄLJE</t>
        </is>
      </c>
      <c r="G425" t="n">
        <v>1.2</v>
      </c>
      <c r="H425" t="n">
        <v>1</v>
      </c>
      <c r="I425" t="n">
        <v>0</v>
      </c>
      <c r="J425" t="n">
        <v>1</v>
      </c>
      <c r="K425" t="n">
        <v>0</v>
      </c>
      <c r="L425" t="n">
        <v>0</v>
      </c>
      <c r="M425" t="n">
        <v>0</v>
      </c>
      <c r="N425" t="n">
        <v>0</v>
      </c>
      <c r="O425" t="n">
        <v>1</v>
      </c>
      <c r="P425" t="n">
        <v>0</v>
      </c>
      <c r="Q425" t="n">
        <v>1</v>
      </c>
      <c r="R425" s="2" t="inlineStr">
        <is>
          <t>Rödvingetrast</t>
        </is>
      </c>
      <c r="S425">
        <f>HYPERLINK("https://klasma.github.io/Logging_0181/artfynd/A 23772-2025 artfynd.xlsx", "A 23772-2025")</f>
        <v/>
      </c>
      <c r="T425">
        <f>HYPERLINK("https://klasma.github.io/Logging_0181/kartor/A 23772-2025 karta.png", "A 23772-2025")</f>
        <v/>
      </c>
      <c r="V425">
        <f>HYPERLINK("https://klasma.github.io/Logging_0181/klagomål/A 23772-2025 FSC-klagomål.docx", "A 23772-2025")</f>
        <v/>
      </c>
      <c r="W425">
        <f>HYPERLINK("https://klasma.github.io/Logging_0181/klagomålsmail/A 23772-2025 FSC-klagomål mail.docx", "A 23772-2025")</f>
        <v/>
      </c>
      <c r="X425">
        <f>HYPERLINK("https://klasma.github.io/Logging_0181/tillsyn/A 23772-2025 tillsynsbegäran.docx", "A 23772-2025")</f>
        <v/>
      </c>
      <c r="Y425">
        <f>HYPERLINK("https://klasma.github.io/Logging_0181/tillsynsmail/A 23772-2025 tillsynsbegäran mail.docx", "A 23772-2025")</f>
        <v/>
      </c>
      <c r="Z425">
        <f>HYPERLINK("https://klasma.github.io/Logging_0181/fåglar/A 23772-2025 prioriterade fågelarter.docx", "A 23772-2025")</f>
        <v/>
      </c>
    </row>
    <row r="426" ht="15" customHeight="1">
      <c r="A426" t="inlineStr">
        <is>
          <t>A 15452-2023</t>
        </is>
      </c>
      <c r="B426" s="1" t="n">
        <v>45020</v>
      </c>
      <c r="C426" s="1" t="n">
        <v>46050</v>
      </c>
      <c r="D426" t="inlineStr">
        <is>
          <t>STOCKHOLMS LÄN</t>
        </is>
      </c>
      <c r="E426" t="inlineStr">
        <is>
          <t>SIGTUNA</t>
        </is>
      </c>
      <c r="F426" t="inlineStr">
        <is>
          <t>Allmännings- och besparingsskogar</t>
        </is>
      </c>
      <c r="G426" t="n">
        <v>4.5</v>
      </c>
      <c r="H426" t="n">
        <v>1</v>
      </c>
      <c r="I426" t="n">
        <v>0</v>
      </c>
      <c r="J426" t="n">
        <v>0</v>
      </c>
      <c r="K426" t="n">
        <v>0</v>
      </c>
      <c r="L426" t="n">
        <v>0</v>
      </c>
      <c r="M426" t="n">
        <v>0</v>
      </c>
      <c r="N426" t="n">
        <v>0</v>
      </c>
      <c r="O426" t="n">
        <v>0</v>
      </c>
      <c r="P426" t="n">
        <v>0</v>
      </c>
      <c r="Q426" t="n">
        <v>1</v>
      </c>
      <c r="R426" s="2" t="inlineStr">
        <is>
          <t>Trana</t>
        </is>
      </c>
      <c r="S426">
        <f>HYPERLINK("https://klasma.github.io/Logging_0191/artfynd/A 15452-2023 artfynd.xlsx", "A 15452-2023")</f>
        <v/>
      </c>
      <c r="T426">
        <f>HYPERLINK("https://klasma.github.io/Logging_0191/kartor/A 15452-2023 karta.png", "A 15452-2023")</f>
        <v/>
      </c>
      <c r="V426">
        <f>HYPERLINK("https://klasma.github.io/Logging_0191/klagomål/A 15452-2023 FSC-klagomål.docx", "A 15452-2023")</f>
        <v/>
      </c>
      <c r="W426">
        <f>HYPERLINK("https://klasma.github.io/Logging_0191/klagomålsmail/A 15452-2023 FSC-klagomål mail.docx", "A 15452-2023")</f>
        <v/>
      </c>
      <c r="X426">
        <f>HYPERLINK("https://klasma.github.io/Logging_0191/tillsyn/A 15452-2023 tillsynsbegäran.docx", "A 15452-2023")</f>
        <v/>
      </c>
      <c r="Y426">
        <f>HYPERLINK("https://klasma.github.io/Logging_0191/tillsynsmail/A 15452-2023 tillsynsbegäran mail.docx", "A 15452-2023")</f>
        <v/>
      </c>
      <c r="Z426">
        <f>HYPERLINK("https://klasma.github.io/Logging_0191/fåglar/A 15452-2023 prioriterade fågelarter.docx", "A 15452-2023")</f>
        <v/>
      </c>
    </row>
    <row r="427" ht="15" customHeight="1">
      <c r="A427" t="inlineStr">
        <is>
          <t>A 31780-2021</t>
        </is>
      </c>
      <c r="B427" s="1" t="n">
        <v>44369</v>
      </c>
      <c r="C427" s="1" t="n">
        <v>46050</v>
      </c>
      <c r="D427" t="inlineStr">
        <is>
          <t>STOCKHOLMS LÄN</t>
        </is>
      </c>
      <c r="E427" t="inlineStr">
        <is>
          <t>HANINGE</t>
        </is>
      </c>
      <c r="G427" t="n">
        <v>11.5</v>
      </c>
      <c r="H427" t="n">
        <v>0</v>
      </c>
      <c r="I427" t="n">
        <v>0</v>
      </c>
      <c r="J427" t="n">
        <v>0</v>
      </c>
      <c r="K427" t="n">
        <v>0</v>
      </c>
      <c r="L427" t="n">
        <v>0</v>
      </c>
      <c r="M427" t="n">
        <v>0</v>
      </c>
      <c r="N427" t="n">
        <v>0</v>
      </c>
      <c r="O427" t="n">
        <v>0</v>
      </c>
      <c r="P427" t="n">
        <v>0</v>
      </c>
      <c r="Q427" t="n">
        <v>0</v>
      </c>
      <c r="R427" s="2" t="inlineStr"/>
    </row>
    <row r="428" ht="15" customHeight="1">
      <c r="A428" t="inlineStr">
        <is>
          <t>A 20612-2021</t>
        </is>
      </c>
      <c r="B428" s="1" t="n">
        <v>44315</v>
      </c>
      <c r="C428" s="1" t="n">
        <v>46050</v>
      </c>
      <c r="D428" t="inlineStr">
        <is>
          <t>STOCKHOLMS LÄN</t>
        </is>
      </c>
      <c r="E428" t="inlineStr">
        <is>
          <t>VALLENTUNA</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18580-2021</t>
        </is>
      </c>
      <c r="B429" s="1" t="n">
        <v>44306</v>
      </c>
      <c r="C429" s="1" t="n">
        <v>46050</v>
      </c>
      <c r="D429" t="inlineStr">
        <is>
          <t>STOCKHOLMS LÄN</t>
        </is>
      </c>
      <c r="E429" t="inlineStr">
        <is>
          <t>NORRTÄLJE</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38752-2021</t>
        </is>
      </c>
      <c r="B430" s="1" t="n">
        <v>44410.60496527778</v>
      </c>
      <c r="C430" s="1" t="n">
        <v>46050</v>
      </c>
      <c r="D430" t="inlineStr">
        <is>
          <t>STOCKHOLMS LÄN</t>
        </is>
      </c>
      <c r="E430" t="inlineStr">
        <is>
          <t>NYNÄSHAMN</t>
        </is>
      </c>
      <c r="G430" t="n">
        <v>4.3</v>
      </c>
      <c r="H430" t="n">
        <v>0</v>
      </c>
      <c r="I430" t="n">
        <v>0</v>
      </c>
      <c r="J430" t="n">
        <v>0</v>
      </c>
      <c r="K430" t="n">
        <v>0</v>
      </c>
      <c r="L430" t="n">
        <v>0</v>
      </c>
      <c r="M430" t="n">
        <v>0</v>
      </c>
      <c r="N430" t="n">
        <v>0</v>
      </c>
      <c r="O430" t="n">
        <v>0</v>
      </c>
      <c r="P430" t="n">
        <v>0</v>
      </c>
      <c r="Q430" t="n">
        <v>0</v>
      </c>
      <c r="R430" s="2" t="inlineStr"/>
    </row>
    <row r="431" ht="15" customHeight="1">
      <c r="A431" t="inlineStr">
        <is>
          <t>A 8089-2022</t>
        </is>
      </c>
      <c r="B431" s="1" t="n">
        <v>44609.53716435185</v>
      </c>
      <c r="C431" s="1" t="n">
        <v>46050</v>
      </c>
      <c r="D431" t="inlineStr">
        <is>
          <t>STOCKHOLMS LÄN</t>
        </is>
      </c>
      <c r="E431" t="inlineStr">
        <is>
          <t>VALLENTUNA</t>
        </is>
      </c>
      <c r="G431" t="n">
        <v>3.3</v>
      </c>
      <c r="H431" t="n">
        <v>0</v>
      </c>
      <c r="I431" t="n">
        <v>0</v>
      </c>
      <c r="J431" t="n">
        <v>0</v>
      </c>
      <c r="K431" t="n">
        <v>0</v>
      </c>
      <c r="L431" t="n">
        <v>0</v>
      </c>
      <c r="M431" t="n">
        <v>0</v>
      </c>
      <c r="N431" t="n">
        <v>0</v>
      </c>
      <c r="O431" t="n">
        <v>0</v>
      </c>
      <c r="P431" t="n">
        <v>0</v>
      </c>
      <c r="Q431" t="n">
        <v>0</v>
      </c>
      <c r="R431" s="2" t="inlineStr"/>
    </row>
    <row r="432" ht="15" customHeight="1">
      <c r="A432" t="inlineStr">
        <is>
          <t>A 12578-2022</t>
        </is>
      </c>
      <c r="B432" s="1" t="n">
        <v>44638</v>
      </c>
      <c r="C432" s="1" t="n">
        <v>46050</v>
      </c>
      <c r="D432" t="inlineStr">
        <is>
          <t>STOCKHOLMS LÄN</t>
        </is>
      </c>
      <c r="E432" t="inlineStr">
        <is>
          <t>NYKVARN</t>
        </is>
      </c>
      <c r="G432" t="n">
        <v>2.2</v>
      </c>
      <c r="H432" t="n">
        <v>0</v>
      </c>
      <c r="I432" t="n">
        <v>0</v>
      </c>
      <c r="J432" t="n">
        <v>0</v>
      </c>
      <c r="K432" t="n">
        <v>0</v>
      </c>
      <c r="L432" t="n">
        <v>0</v>
      </c>
      <c r="M432" t="n">
        <v>0</v>
      </c>
      <c r="N432" t="n">
        <v>0</v>
      </c>
      <c r="O432" t="n">
        <v>0</v>
      </c>
      <c r="P432" t="n">
        <v>0</v>
      </c>
      <c r="Q432" t="n">
        <v>0</v>
      </c>
      <c r="R432" s="2" t="inlineStr"/>
    </row>
    <row r="433" ht="15" customHeight="1">
      <c r="A433" t="inlineStr">
        <is>
          <t>A 12877-2022</t>
        </is>
      </c>
      <c r="B433" s="1" t="n">
        <v>44642</v>
      </c>
      <c r="C433" s="1" t="n">
        <v>46050</v>
      </c>
      <c r="D433" t="inlineStr">
        <is>
          <t>STOCKHOLMS LÄN</t>
        </is>
      </c>
      <c r="E433" t="inlineStr">
        <is>
          <t>NORRTÄLJE</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49123-2021</t>
        </is>
      </c>
      <c r="B434" s="1" t="n">
        <v>44453.86436342593</v>
      </c>
      <c r="C434" s="1" t="n">
        <v>46050</v>
      </c>
      <c r="D434" t="inlineStr">
        <is>
          <t>STOCKHOLMS LÄN</t>
        </is>
      </c>
      <c r="E434" t="inlineStr">
        <is>
          <t>VÄRMDÖ</t>
        </is>
      </c>
      <c r="G434" t="n">
        <v>3.2</v>
      </c>
      <c r="H434" t="n">
        <v>0</v>
      </c>
      <c r="I434" t="n">
        <v>0</v>
      </c>
      <c r="J434" t="n">
        <v>0</v>
      </c>
      <c r="K434" t="n">
        <v>0</v>
      </c>
      <c r="L434" t="n">
        <v>0</v>
      </c>
      <c r="M434" t="n">
        <v>0</v>
      </c>
      <c r="N434" t="n">
        <v>0</v>
      </c>
      <c r="O434" t="n">
        <v>0</v>
      </c>
      <c r="P434" t="n">
        <v>0</v>
      </c>
      <c r="Q434" t="n">
        <v>0</v>
      </c>
      <c r="R434" s="2" t="inlineStr"/>
    </row>
    <row r="435" ht="15" customHeight="1">
      <c r="A435" t="inlineStr">
        <is>
          <t>A 68904-2021</t>
        </is>
      </c>
      <c r="B435" s="1" t="n">
        <v>44526</v>
      </c>
      <c r="C435" s="1" t="n">
        <v>46050</v>
      </c>
      <c r="D435" t="inlineStr">
        <is>
          <t>STOCKHOLMS LÄN</t>
        </is>
      </c>
      <c r="E435" t="inlineStr">
        <is>
          <t>HANINGE</t>
        </is>
      </c>
      <c r="G435" t="n">
        <v>2.4</v>
      </c>
      <c r="H435" t="n">
        <v>0</v>
      </c>
      <c r="I435" t="n">
        <v>0</v>
      </c>
      <c r="J435" t="n">
        <v>0</v>
      </c>
      <c r="K435" t="n">
        <v>0</v>
      </c>
      <c r="L435" t="n">
        <v>0</v>
      </c>
      <c r="M435" t="n">
        <v>0</v>
      </c>
      <c r="N435" t="n">
        <v>0</v>
      </c>
      <c r="O435" t="n">
        <v>0</v>
      </c>
      <c r="P435" t="n">
        <v>0</v>
      </c>
      <c r="Q435" t="n">
        <v>0</v>
      </c>
      <c r="R435" s="2" t="inlineStr"/>
    </row>
    <row r="436" ht="15" customHeight="1">
      <c r="A436" t="inlineStr">
        <is>
          <t>A 71543-2021</t>
        </is>
      </c>
      <c r="B436" s="1" t="n">
        <v>44540</v>
      </c>
      <c r="C436" s="1" t="n">
        <v>46050</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37967-2021</t>
        </is>
      </c>
      <c r="B437" s="1" t="n">
        <v>44403</v>
      </c>
      <c r="C437" s="1" t="n">
        <v>46050</v>
      </c>
      <c r="D437" t="inlineStr">
        <is>
          <t>STOCKHOLMS LÄN</t>
        </is>
      </c>
      <c r="E437" t="inlineStr">
        <is>
          <t>NYKVARN</t>
        </is>
      </c>
      <c r="G437" t="n">
        <v>0.6</v>
      </c>
      <c r="H437" t="n">
        <v>0</v>
      </c>
      <c r="I437" t="n">
        <v>0</v>
      </c>
      <c r="J437" t="n">
        <v>0</v>
      </c>
      <c r="K437" t="n">
        <v>0</v>
      </c>
      <c r="L437" t="n">
        <v>0</v>
      </c>
      <c r="M437" t="n">
        <v>0</v>
      </c>
      <c r="N437" t="n">
        <v>0</v>
      </c>
      <c r="O437" t="n">
        <v>0</v>
      </c>
      <c r="P437" t="n">
        <v>0</v>
      </c>
      <c r="Q437" t="n">
        <v>0</v>
      </c>
      <c r="R437" s="2" t="inlineStr"/>
    </row>
    <row r="438" ht="15" customHeight="1">
      <c r="A438" t="inlineStr">
        <is>
          <t>A 14036-2022</t>
        </is>
      </c>
      <c r="B438" s="1" t="n">
        <v>44650.8699537037</v>
      </c>
      <c r="C438" s="1" t="n">
        <v>46050</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47344-2021</t>
        </is>
      </c>
      <c r="B439" s="1" t="n">
        <v>44447</v>
      </c>
      <c r="C439" s="1" t="n">
        <v>46050</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43036-2022</t>
        </is>
      </c>
      <c r="B440" s="1" t="n">
        <v>44833</v>
      </c>
      <c r="C440" s="1" t="n">
        <v>46050</v>
      </c>
      <c r="D440" t="inlineStr">
        <is>
          <t>STOCKHOLMS LÄN</t>
        </is>
      </c>
      <c r="E440" t="inlineStr">
        <is>
          <t>NORRTÄLJE</t>
        </is>
      </c>
      <c r="F440" t="inlineStr">
        <is>
          <t>Kyrkan</t>
        </is>
      </c>
      <c r="G440" t="n">
        <v>1.7</v>
      </c>
      <c r="H440" t="n">
        <v>0</v>
      </c>
      <c r="I440" t="n">
        <v>0</v>
      </c>
      <c r="J440" t="n">
        <v>0</v>
      </c>
      <c r="K440" t="n">
        <v>0</v>
      </c>
      <c r="L440" t="n">
        <v>0</v>
      </c>
      <c r="M440" t="n">
        <v>0</v>
      </c>
      <c r="N440" t="n">
        <v>0</v>
      </c>
      <c r="O440" t="n">
        <v>0</v>
      </c>
      <c r="P440" t="n">
        <v>0</v>
      </c>
      <c r="Q440" t="n">
        <v>0</v>
      </c>
      <c r="R440" s="2" t="inlineStr"/>
    </row>
    <row r="441" ht="15" customHeight="1">
      <c r="A441" t="inlineStr">
        <is>
          <t>A 39651-2021</t>
        </is>
      </c>
      <c r="B441" s="1" t="n">
        <v>44417</v>
      </c>
      <c r="C441" s="1" t="n">
        <v>46050</v>
      </c>
      <c r="D441" t="inlineStr">
        <is>
          <t>STOCKHOLMS LÄN</t>
        </is>
      </c>
      <c r="E441" t="inlineStr">
        <is>
          <t>HANINGE</t>
        </is>
      </c>
      <c r="G441" t="n">
        <v>3.6</v>
      </c>
      <c r="H441" t="n">
        <v>0</v>
      </c>
      <c r="I441" t="n">
        <v>0</v>
      </c>
      <c r="J441" t="n">
        <v>0</v>
      </c>
      <c r="K441" t="n">
        <v>0</v>
      </c>
      <c r="L441" t="n">
        <v>0</v>
      </c>
      <c r="M441" t="n">
        <v>0</v>
      </c>
      <c r="N441" t="n">
        <v>0</v>
      </c>
      <c r="O441" t="n">
        <v>0</v>
      </c>
      <c r="P441" t="n">
        <v>0</v>
      </c>
      <c r="Q441" t="n">
        <v>0</v>
      </c>
      <c r="R441" s="2" t="inlineStr"/>
    </row>
    <row r="442" ht="15" customHeight="1">
      <c r="A442" t="inlineStr">
        <is>
          <t>A 15289-2021</t>
        </is>
      </c>
      <c r="B442" s="1" t="n">
        <v>44284.59546296296</v>
      </c>
      <c r="C442" s="1" t="n">
        <v>46050</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848-2022</t>
        </is>
      </c>
      <c r="B443" s="1" t="n">
        <v>44569</v>
      </c>
      <c r="C443" s="1" t="n">
        <v>46050</v>
      </c>
      <c r="D443" t="inlineStr">
        <is>
          <t>STOCKHOLMS LÄN</t>
        </is>
      </c>
      <c r="E443" t="inlineStr">
        <is>
          <t>ÖSTERÅKER</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11126-2021</t>
        </is>
      </c>
      <c r="B444" s="1" t="n">
        <v>44260</v>
      </c>
      <c r="C444" s="1" t="n">
        <v>46050</v>
      </c>
      <c r="D444" t="inlineStr">
        <is>
          <t>STOCKHOLMS LÄN</t>
        </is>
      </c>
      <c r="E444" t="inlineStr">
        <is>
          <t>SÖDERTÄLJE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8791-2021</t>
        </is>
      </c>
      <c r="B445" s="1" t="n">
        <v>44246</v>
      </c>
      <c r="C445" s="1" t="n">
        <v>46050</v>
      </c>
      <c r="D445" t="inlineStr">
        <is>
          <t>STOCKHOLMS LÄN</t>
        </is>
      </c>
      <c r="E445" t="inlineStr">
        <is>
          <t>VALLENTUNA</t>
        </is>
      </c>
      <c r="G445" t="n">
        <v>0.8</v>
      </c>
      <c r="H445" t="n">
        <v>0</v>
      </c>
      <c r="I445" t="n">
        <v>0</v>
      </c>
      <c r="J445" t="n">
        <v>0</v>
      </c>
      <c r="K445" t="n">
        <v>0</v>
      </c>
      <c r="L445" t="n">
        <v>0</v>
      </c>
      <c r="M445" t="n">
        <v>0</v>
      </c>
      <c r="N445" t="n">
        <v>0</v>
      </c>
      <c r="O445" t="n">
        <v>0</v>
      </c>
      <c r="P445" t="n">
        <v>0</v>
      </c>
      <c r="Q445" t="n">
        <v>0</v>
      </c>
      <c r="R445" s="2" t="inlineStr"/>
    </row>
    <row r="446" ht="15" customHeight="1">
      <c r="A446" t="inlineStr">
        <is>
          <t>A 26757-2021</t>
        </is>
      </c>
      <c r="B446" s="1" t="n">
        <v>44349</v>
      </c>
      <c r="C446" s="1" t="n">
        <v>46050</v>
      </c>
      <c r="D446" t="inlineStr">
        <is>
          <t>STOCKHOLMS LÄN</t>
        </is>
      </c>
      <c r="E446" t="inlineStr">
        <is>
          <t>NYNÄSHAMN</t>
        </is>
      </c>
      <c r="G446" t="n">
        <v>4</v>
      </c>
      <c r="H446" t="n">
        <v>0</v>
      </c>
      <c r="I446" t="n">
        <v>0</v>
      </c>
      <c r="J446" t="n">
        <v>0</v>
      </c>
      <c r="K446" t="n">
        <v>0</v>
      </c>
      <c r="L446" t="n">
        <v>0</v>
      </c>
      <c r="M446" t="n">
        <v>0</v>
      </c>
      <c r="N446" t="n">
        <v>0</v>
      </c>
      <c r="O446" t="n">
        <v>0</v>
      </c>
      <c r="P446" t="n">
        <v>0</v>
      </c>
      <c r="Q446" t="n">
        <v>0</v>
      </c>
      <c r="R446" s="2" t="inlineStr"/>
    </row>
    <row r="447" ht="15" customHeight="1">
      <c r="A447" t="inlineStr">
        <is>
          <t>A 37421-2021</t>
        </is>
      </c>
      <c r="B447" s="1" t="n">
        <v>44397</v>
      </c>
      <c r="C447" s="1" t="n">
        <v>46050</v>
      </c>
      <c r="D447" t="inlineStr">
        <is>
          <t>STOCKHOLMS LÄN</t>
        </is>
      </c>
      <c r="E447" t="inlineStr">
        <is>
          <t>UPPLANDS-BRO</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37422-2021</t>
        </is>
      </c>
      <c r="B448" s="1" t="n">
        <v>44398</v>
      </c>
      <c r="C448" s="1" t="n">
        <v>46050</v>
      </c>
      <c r="D448" t="inlineStr">
        <is>
          <t>STOCKHOLMS LÄN</t>
        </is>
      </c>
      <c r="E448" t="inlineStr">
        <is>
          <t>NYNÄSHAMN</t>
        </is>
      </c>
      <c r="G448" t="n">
        <v>25.8</v>
      </c>
      <c r="H448" t="n">
        <v>0</v>
      </c>
      <c r="I448" t="n">
        <v>0</v>
      </c>
      <c r="J448" t="n">
        <v>0</v>
      </c>
      <c r="K448" t="n">
        <v>0</v>
      </c>
      <c r="L448" t="n">
        <v>0</v>
      </c>
      <c r="M448" t="n">
        <v>0</v>
      </c>
      <c r="N448" t="n">
        <v>0</v>
      </c>
      <c r="O448" t="n">
        <v>0</v>
      </c>
      <c r="P448" t="n">
        <v>0</v>
      </c>
      <c r="Q448" t="n">
        <v>0</v>
      </c>
      <c r="R448" s="2" t="inlineStr"/>
    </row>
    <row r="449" ht="15" customHeight="1">
      <c r="A449" t="inlineStr">
        <is>
          <t>A 29533-2021</t>
        </is>
      </c>
      <c r="B449" s="1" t="n">
        <v>44361</v>
      </c>
      <c r="C449" s="1" t="n">
        <v>46050</v>
      </c>
      <c r="D449" t="inlineStr">
        <is>
          <t>STOCKHOLMS LÄN</t>
        </is>
      </c>
      <c r="E449" t="inlineStr">
        <is>
          <t>EKERÖ</t>
        </is>
      </c>
      <c r="G449" t="n">
        <v>2.7</v>
      </c>
      <c r="H449" t="n">
        <v>0</v>
      </c>
      <c r="I449" t="n">
        <v>0</v>
      </c>
      <c r="J449" t="n">
        <v>0</v>
      </c>
      <c r="K449" t="n">
        <v>0</v>
      </c>
      <c r="L449" t="n">
        <v>0</v>
      </c>
      <c r="M449" t="n">
        <v>0</v>
      </c>
      <c r="N449" t="n">
        <v>0</v>
      </c>
      <c r="O449" t="n">
        <v>0</v>
      </c>
      <c r="P449" t="n">
        <v>0</v>
      </c>
      <c r="Q449" t="n">
        <v>0</v>
      </c>
      <c r="R449" s="2" t="inlineStr"/>
    </row>
    <row r="450" ht="15" customHeight="1">
      <c r="A450" t="inlineStr">
        <is>
          <t>A 16090-2021</t>
        </is>
      </c>
      <c r="B450" s="1" t="n">
        <v>44288</v>
      </c>
      <c r="C450" s="1" t="n">
        <v>46050</v>
      </c>
      <c r="D450" t="inlineStr">
        <is>
          <t>STOCKHOLMS LÄN</t>
        </is>
      </c>
      <c r="E450" t="inlineStr">
        <is>
          <t>VÄRMDÖ</t>
        </is>
      </c>
      <c r="G450" t="n">
        <v>1.4</v>
      </c>
      <c r="H450" t="n">
        <v>0</v>
      </c>
      <c r="I450" t="n">
        <v>0</v>
      </c>
      <c r="J450" t="n">
        <v>0</v>
      </c>
      <c r="K450" t="n">
        <v>0</v>
      </c>
      <c r="L450" t="n">
        <v>0</v>
      </c>
      <c r="M450" t="n">
        <v>0</v>
      </c>
      <c r="N450" t="n">
        <v>0</v>
      </c>
      <c r="O450" t="n">
        <v>0</v>
      </c>
      <c r="P450" t="n">
        <v>0</v>
      </c>
      <c r="Q450" t="n">
        <v>0</v>
      </c>
      <c r="R450" s="2" t="inlineStr"/>
    </row>
    <row r="451" ht="15" customHeight="1">
      <c r="A451" t="inlineStr">
        <is>
          <t>A 16091-2021</t>
        </is>
      </c>
      <c r="B451" s="1" t="n">
        <v>44288</v>
      </c>
      <c r="C451" s="1" t="n">
        <v>46050</v>
      </c>
      <c r="D451" t="inlineStr">
        <is>
          <t>STOCKHOLMS LÄN</t>
        </is>
      </c>
      <c r="E451" t="inlineStr">
        <is>
          <t>VÄRMDÖ</t>
        </is>
      </c>
      <c r="G451" t="n">
        <v>0.7</v>
      </c>
      <c r="H451" t="n">
        <v>0</v>
      </c>
      <c r="I451" t="n">
        <v>0</v>
      </c>
      <c r="J451" t="n">
        <v>0</v>
      </c>
      <c r="K451" t="n">
        <v>0</v>
      </c>
      <c r="L451" t="n">
        <v>0</v>
      </c>
      <c r="M451" t="n">
        <v>0</v>
      </c>
      <c r="N451" t="n">
        <v>0</v>
      </c>
      <c r="O451" t="n">
        <v>0</v>
      </c>
      <c r="P451" t="n">
        <v>0</v>
      </c>
      <c r="Q451" t="n">
        <v>0</v>
      </c>
      <c r="R451" s="2" t="inlineStr"/>
    </row>
    <row r="452" ht="15" customHeight="1">
      <c r="A452" t="inlineStr">
        <is>
          <t>A 27791-2021</t>
        </is>
      </c>
      <c r="B452" s="1" t="n">
        <v>44354</v>
      </c>
      <c r="C452" s="1" t="n">
        <v>46050</v>
      </c>
      <c r="D452" t="inlineStr">
        <is>
          <t>STOCKHOLMS LÄN</t>
        </is>
      </c>
      <c r="E452" t="inlineStr">
        <is>
          <t>BOTKYRKA</t>
        </is>
      </c>
      <c r="G452" t="n">
        <v>3.8</v>
      </c>
      <c r="H452" t="n">
        <v>0</v>
      </c>
      <c r="I452" t="n">
        <v>0</v>
      </c>
      <c r="J452" t="n">
        <v>0</v>
      </c>
      <c r="K452" t="n">
        <v>0</v>
      </c>
      <c r="L452" t="n">
        <v>0</v>
      </c>
      <c r="M452" t="n">
        <v>0</v>
      </c>
      <c r="N452" t="n">
        <v>0</v>
      </c>
      <c r="O452" t="n">
        <v>0</v>
      </c>
      <c r="P452" t="n">
        <v>0</v>
      </c>
      <c r="Q452" t="n">
        <v>0</v>
      </c>
      <c r="R452" s="2" t="inlineStr"/>
    </row>
    <row r="453" ht="15" customHeight="1">
      <c r="A453" t="inlineStr">
        <is>
          <t>A 22479-2021</t>
        </is>
      </c>
      <c r="B453" s="1" t="n">
        <v>44322</v>
      </c>
      <c r="C453" s="1" t="n">
        <v>46050</v>
      </c>
      <c r="D453" t="inlineStr">
        <is>
          <t>STOCKHOLMS LÄN</t>
        </is>
      </c>
      <c r="E453" t="inlineStr">
        <is>
          <t>VÄRMDÖ</t>
        </is>
      </c>
      <c r="G453" t="n">
        <v>0.5</v>
      </c>
      <c r="H453" t="n">
        <v>0</v>
      </c>
      <c r="I453" t="n">
        <v>0</v>
      </c>
      <c r="J453" t="n">
        <v>0</v>
      </c>
      <c r="K453" t="n">
        <v>0</v>
      </c>
      <c r="L453" t="n">
        <v>0</v>
      </c>
      <c r="M453" t="n">
        <v>0</v>
      </c>
      <c r="N453" t="n">
        <v>0</v>
      </c>
      <c r="O453" t="n">
        <v>0</v>
      </c>
      <c r="P453" t="n">
        <v>0</v>
      </c>
      <c r="Q453" t="n">
        <v>0</v>
      </c>
      <c r="R453" s="2" t="inlineStr"/>
    </row>
    <row r="454" ht="15" customHeight="1">
      <c r="A454" t="inlineStr">
        <is>
          <t>A 40751-2021</t>
        </is>
      </c>
      <c r="B454" s="1" t="n">
        <v>44420</v>
      </c>
      <c r="C454" s="1" t="n">
        <v>46050</v>
      </c>
      <c r="D454" t="inlineStr">
        <is>
          <t>STOCKHOLMS LÄN</t>
        </is>
      </c>
      <c r="E454" t="inlineStr">
        <is>
          <t>SÖDERTÄLJE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40753-2021</t>
        </is>
      </c>
      <c r="B455" s="1" t="n">
        <v>44420</v>
      </c>
      <c r="C455" s="1" t="n">
        <v>46050</v>
      </c>
      <c r="D455" t="inlineStr">
        <is>
          <t>STOCKHOLMS LÄN</t>
        </is>
      </c>
      <c r="E455" t="inlineStr">
        <is>
          <t>NYNÄSHAMN</t>
        </is>
      </c>
      <c r="F455" t="inlineStr">
        <is>
          <t>Kommuner</t>
        </is>
      </c>
      <c r="G455" t="n">
        <v>6.2</v>
      </c>
      <c r="H455" t="n">
        <v>0</v>
      </c>
      <c r="I455" t="n">
        <v>0</v>
      </c>
      <c r="J455" t="n">
        <v>0</v>
      </c>
      <c r="K455" t="n">
        <v>0</v>
      </c>
      <c r="L455" t="n">
        <v>0</v>
      </c>
      <c r="M455" t="n">
        <v>0</v>
      </c>
      <c r="N455" t="n">
        <v>0</v>
      </c>
      <c r="O455" t="n">
        <v>0</v>
      </c>
      <c r="P455" t="n">
        <v>0</v>
      </c>
      <c r="Q455" t="n">
        <v>0</v>
      </c>
      <c r="R455" s="2" t="inlineStr"/>
    </row>
    <row r="456" ht="15" customHeight="1">
      <c r="A456" t="inlineStr">
        <is>
          <t>A 23096-2021</t>
        </is>
      </c>
      <c r="B456" s="1" t="n">
        <v>44330</v>
      </c>
      <c r="C456" s="1" t="n">
        <v>46050</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26767-2021</t>
        </is>
      </c>
      <c r="B457" s="1" t="n">
        <v>44349</v>
      </c>
      <c r="C457" s="1" t="n">
        <v>46050</v>
      </c>
      <c r="D457" t="inlineStr">
        <is>
          <t>STOCKHOLMS LÄN</t>
        </is>
      </c>
      <c r="E457" t="inlineStr">
        <is>
          <t>NYNÄSHAMN</t>
        </is>
      </c>
      <c r="G457" t="n">
        <v>2.3</v>
      </c>
      <c r="H457" t="n">
        <v>0</v>
      </c>
      <c r="I457" t="n">
        <v>0</v>
      </c>
      <c r="J457" t="n">
        <v>0</v>
      </c>
      <c r="K457" t="n">
        <v>0</v>
      </c>
      <c r="L457" t="n">
        <v>0</v>
      </c>
      <c r="M457" t="n">
        <v>0</v>
      </c>
      <c r="N457" t="n">
        <v>0</v>
      </c>
      <c r="O457" t="n">
        <v>0</v>
      </c>
      <c r="P457" t="n">
        <v>0</v>
      </c>
      <c r="Q457" t="n">
        <v>0</v>
      </c>
      <c r="R457" s="2" t="inlineStr"/>
    </row>
    <row r="458" ht="15" customHeight="1">
      <c r="A458" t="inlineStr">
        <is>
          <t>A 40542-2021</t>
        </is>
      </c>
      <c r="B458" s="1" t="n">
        <v>44420</v>
      </c>
      <c r="C458" s="1" t="n">
        <v>46050</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40546-2021</t>
        </is>
      </c>
      <c r="B459" s="1" t="n">
        <v>44420</v>
      </c>
      <c r="C459" s="1" t="n">
        <v>46050</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67756-2021</t>
        </is>
      </c>
      <c r="B460" s="1" t="n">
        <v>44524</v>
      </c>
      <c r="C460" s="1" t="n">
        <v>46050</v>
      </c>
      <c r="D460" t="inlineStr">
        <is>
          <t>STOCKHOLMS LÄN</t>
        </is>
      </c>
      <c r="E460" t="inlineStr">
        <is>
          <t>VAXHOLM</t>
        </is>
      </c>
      <c r="F460" t="inlineStr">
        <is>
          <t>Övriga statliga verk och myndigheter</t>
        </is>
      </c>
      <c r="G460" t="n">
        <v>1.6</v>
      </c>
      <c r="H460" t="n">
        <v>0</v>
      </c>
      <c r="I460" t="n">
        <v>0</v>
      </c>
      <c r="J460" t="n">
        <v>0</v>
      </c>
      <c r="K460" t="n">
        <v>0</v>
      </c>
      <c r="L460" t="n">
        <v>0</v>
      </c>
      <c r="M460" t="n">
        <v>0</v>
      </c>
      <c r="N460" t="n">
        <v>0</v>
      </c>
      <c r="O460" t="n">
        <v>0</v>
      </c>
      <c r="P460" t="n">
        <v>0</v>
      </c>
      <c r="Q460" t="n">
        <v>0</v>
      </c>
      <c r="R460" s="2" t="inlineStr"/>
    </row>
    <row r="461" ht="15" customHeight="1">
      <c r="A461" t="inlineStr">
        <is>
          <t>A 9750-2022</t>
        </is>
      </c>
      <c r="B461" s="1" t="n">
        <v>44618.61763888889</v>
      </c>
      <c r="C461" s="1" t="n">
        <v>46050</v>
      </c>
      <c r="D461" t="inlineStr">
        <is>
          <t>STOCKHOLMS LÄN</t>
        </is>
      </c>
      <c r="E461" t="inlineStr">
        <is>
          <t>SIGTUNA</t>
        </is>
      </c>
      <c r="G461" t="n">
        <v>10.8</v>
      </c>
      <c r="H461" t="n">
        <v>0</v>
      </c>
      <c r="I461" t="n">
        <v>0</v>
      </c>
      <c r="J461" t="n">
        <v>0</v>
      </c>
      <c r="K461" t="n">
        <v>0</v>
      </c>
      <c r="L461" t="n">
        <v>0</v>
      </c>
      <c r="M461" t="n">
        <v>0</v>
      </c>
      <c r="N461" t="n">
        <v>0</v>
      </c>
      <c r="O461" t="n">
        <v>0</v>
      </c>
      <c r="P461" t="n">
        <v>0</v>
      </c>
      <c r="Q461" t="n">
        <v>0</v>
      </c>
      <c r="R461" s="2" t="inlineStr"/>
    </row>
    <row r="462" ht="15" customHeight="1">
      <c r="A462" t="inlineStr">
        <is>
          <t>A 24977-2022</t>
        </is>
      </c>
      <c r="B462" s="1" t="n">
        <v>44728.73465277778</v>
      </c>
      <c r="C462" s="1" t="n">
        <v>46050</v>
      </c>
      <c r="D462" t="inlineStr">
        <is>
          <t>STOCKHOLMS LÄN</t>
        </is>
      </c>
      <c r="E462" t="inlineStr">
        <is>
          <t>NORRTÄLJE</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46050</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37815-2022</t>
        </is>
      </c>
      <c r="B464" s="1" t="n">
        <v>44810.85092592592</v>
      </c>
      <c r="C464" s="1" t="n">
        <v>46050</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17825-2021</t>
        </is>
      </c>
      <c r="B465" s="1" t="n">
        <v>44300</v>
      </c>
      <c r="C465" s="1" t="n">
        <v>46050</v>
      </c>
      <c r="D465" t="inlineStr">
        <is>
          <t>STOCKHOLMS LÄN</t>
        </is>
      </c>
      <c r="E465" t="inlineStr">
        <is>
          <t>HANINGE</t>
        </is>
      </c>
      <c r="G465" t="n">
        <v>0.3</v>
      </c>
      <c r="H465" t="n">
        <v>0</v>
      </c>
      <c r="I465" t="n">
        <v>0</v>
      </c>
      <c r="J465" t="n">
        <v>0</v>
      </c>
      <c r="K465" t="n">
        <v>0</v>
      </c>
      <c r="L465" t="n">
        <v>0</v>
      </c>
      <c r="M465" t="n">
        <v>0</v>
      </c>
      <c r="N465" t="n">
        <v>0</v>
      </c>
      <c r="O465" t="n">
        <v>0</v>
      </c>
      <c r="P465" t="n">
        <v>0</v>
      </c>
      <c r="Q465" t="n">
        <v>0</v>
      </c>
      <c r="R465" s="2" t="inlineStr"/>
    </row>
    <row r="466" ht="15" customHeight="1">
      <c r="A466" t="inlineStr">
        <is>
          <t>A 41465-2021</t>
        </is>
      </c>
      <c r="B466" s="1" t="n">
        <v>44424</v>
      </c>
      <c r="C466" s="1" t="n">
        <v>46050</v>
      </c>
      <c r="D466" t="inlineStr">
        <is>
          <t>STOCKHOLMS LÄN</t>
        </is>
      </c>
      <c r="E466" t="inlineStr">
        <is>
          <t>UPPLANDS-BRO</t>
        </is>
      </c>
      <c r="G466" t="n">
        <v>2.2</v>
      </c>
      <c r="H466" t="n">
        <v>0</v>
      </c>
      <c r="I466" t="n">
        <v>0</v>
      </c>
      <c r="J466" t="n">
        <v>0</v>
      </c>
      <c r="K466" t="n">
        <v>0</v>
      </c>
      <c r="L466" t="n">
        <v>0</v>
      </c>
      <c r="M466" t="n">
        <v>0</v>
      </c>
      <c r="N466" t="n">
        <v>0</v>
      </c>
      <c r="O466" t="n">
        <v>0</v>
      </c>
      <c r="P466" t="n">
        <v>0</v>
      </c>
      <c r="Q466" t="n">
        <v>0</v>
      </c>
      <c r="R466" s="2" t="inlineStr"/>
    </row>
    <row r="467" ht="15" customHeight="1">
      <c r="A467" t="inlineStr">
        <is>
          <t>A 11360-2021</t>
        </is>
      </c>
      <c r="B467" s="1" t="n">
        <v>44263</v>
      </c>
      <c r="C467" s="1" t="n">
        <v>46050</v>
      </c>
      <c r="D467" t="inlineStr">
        <is>
          <t>STOCKHOLMS LÄN</t>
        </is>
      </c>
      <c r="E467" t="inlineStr">
        <is>
          <t>SÖDERTÄLJE</t>
        </is>
      </c>
      <c r="G467" t="n">
        <v>6</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46050</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11361-2021</t>
        </is>
      </c>
      <c r="B469" s="1" t="n">
        <v>44263</v>
      </c>
      <c r="C469" s="1" t="n">
        <v>46050</v>
      </c>
      <c r="D469" t="inlineStr">
        <is>
          <t>STOCKHOLMS LÄN</t>
        </is>
      </c>
      <c r="E469" t="inlineStr">
        <is>
          <t>SÖDERTÄLJE</t>
        </is>
      </c>
      <c r="G469" t="n">
        <v>3.9</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46050</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46050</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11821-2022</t>
        </is>
      </c>
      <c r="B472" s="1" t="n">
        <v>44634</v>
      </c>
      <c r="C472" s="1" t="n">
        <v>46050</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2977-2022</t>
        </is>
      </c>
      <c r="B473" s="1" t="n">
        <v>44581.75819444445</v>
      </c>
      <c r="C473" s="1" t="n">
        <v>46050</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74468-2021</t>
        </is>
      </c>
      <c r="B474" s="1" t="n">
        <v>44560</v>
      </c>
      <c r="C474" s="1" t="n">
        <v>46050</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46050</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46050</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46050</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46050</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46050</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8261-2022</t>
        </is>
      </c>
      <c r="B480" s="1" t="n">
        <v>44609</v>
      </c>
      <c r="C480" s="1" t="n">
        <v>46050</v>
      </c>
      <c r="D480" t="inlineStr">
        <is>
          <t>STOCKHOLMS LÄN</t>
        </is>
      </c>
      <c r="E480" t="inlineStr">
        <is>
          <t>UPPLANDS-BRO</t>
        </is>
      </c>
      <c r="G480" t="n">
        <v>0.8</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46050</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46050</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34436-2021</t>
        </is>
      </c>
      <c r="B483" s="1" t="n">
        <v>44380</v>
      </c>
      <c r="C483" s="1" t="n">
        <v>46050</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67525-2021</t>
        </is>
      </c>
      <c r="B484" s="1" t="n">
        <v>44524</v>
      </c>
      <c r="C484" s="1" t="n">
        <v>46050</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58663-2021</t>
        </is>
      </c>
      <c r="B485" s="1" t="n">
        <v>44489</v>
      </c>
      <c r="C485" s="1" t="n">
        <v>46050</v>
      </c>
      <c r="D485" t="inlineStr">
        <is>
          <t>STOCKHOLMS LÄN</t>
        </is>
      </c>
      <c r="E485" t="inlineStr">
        <is>
          <t>UPPLANDS-BRO</t>
        </is>
      </c>
      <c r="F485" t="inlineStr">
        <is>
          <t>Övriga statliga verk och myndigheter</t>
        </is>
      </c>
      <c r="G485" t="n">
        <v>4.3</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46050</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65737-2021</t>
        </is>
      </c>
      <c r="B487" s="1" t="n">
        <v>44516.72827546296</v>
      </c>
      <c r="C487" s="1" t="n">
        <v>46050</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52541-2022</t>
        </is>
      </c>
      <c r="B488" s="1" t="n">
        <v>44874</v>
      </c>
      <c r="C488" s="1" t="n">
        <v>46050</v>
      </c>
      <c r="D488" t="inlineStr">
        <is>
          <t>STOCKHOLMS LÄN</t>
        </is>
      </c>
      <c r="E488" t="inlineStr">
        <is>
          <t>SÖDERTÄLJE</t>
        </is>
      </c>
      <c r="G488" t="n">
        <v>0</v>
      </c>
      <c r="H488" t="n">
        <v>0</v>
      </c>
      <c r="I488" t="n">
        <v>0</v>
      </c>
      <c r="J488" t="n">
        <v>0</v>
      </c>
      <c r="K488" t="n">
        <v>0</v>
      </c>
      <c r="L488" t="n">
        <v>0</v>
      </c>
      <c r="M488" t="n">
        <v>0</v>
      </c>
      <c r="N488" t="n">
        <v>0</v>
      </c>
      <c r="O488" t="n">
        <v>0</v>
      </c>
      <c r="P488" t="n">
        <v>0</v>
      </c>
      <c r="Q488" t="n">
        <v>0</v>
      </c>
      <c r="R488" s="2" t="inlineStr"/>
    </row>
    <row r="489" ht="15" customHeight="1">
      <c r="A489" t="inlineStr">
        <is>
          <t>A 11477-2021</t>
        </is>
      </c>
      <c r="B489" s="1" t="n">
        <v>44264</v>
      </c>
      <c r="C489" s="1" t="n">
        <v>46050</v>
      </c>
      <c r="D489" t="inlineStr">
        <is>
          <t>STOCKHOLMS LÄN</t>
        </is>
      </c>
      <c r="E489" t="inlineStr">
        <is>
          <t>SIGTUNA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46050</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12126-2021</t>
        </is>
      </c>
      <c r="B491" s="1" t="n">
        <v>44266</v>
      </c>
      <c r="C491" s="1" t="n">
        <v>46050</v>
      </c>
      <c r="D491" t="inlineStr">
        <is>
          <t>STOCKHOLMS LÄN</t>
        </is>
      </c>
      <c r="E491" t="inlineStr">
        <is>
          <t>SÖDERTÄLJE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43374-2022</t>
        </is>
      </c>
      <c r="B492" s="1" t="n">
        <v>44834</v>
      </c>
      <c r="C492" s="1" t="n">
        <v>46050</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46050</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19283-2021</t>
        </is>
      </c>
      <c r="B494" s="1" t="n">
        <v>44309.47061342592</v>
      </c>
      <c r="C494" s="1" t="n">
        <v>46050</v>
      </c>
      <c r="D494" t="inlineStr">
        <is>
          <t>STOCKHOLMS LÄN</t>
        </is>
      </c>
      <c r="E494" t="inlineStr">
        <is>
          <t>NORRTÄLJE</t>
        </is>
      </c>
      <c r="F494" t="inlineStr">
        <is>
          <t>Holmen skog AB</t>
        </is>
      </c>
      <c r="G494" t="n">
        <v>0.6</v>
      </c>
      <c r="H494" t="n">
        <v>0</v>
      </c>
      <c r="I494" t="n">
        <v>0</v>
      </c>
      <c r="J494" t="n">
        <v>0</v>
      </c>
      <c r="K494" t="n">
        <v>0</v>
      </c>
      <c r="L494" t="n">
        <v>0</v>
      </c>
      <c r="M494" t="n">
        <v>0</v>
      </c>
      <c r="N494" t="n">
        <v>0</v>
      </c>
      <c r="O494" t="n">
        <v>0</v>
      </c>
      <c r="P494" t="n">
        <v>0</v>
      </c>
      <c r="Q494" t="n">
        <v>0</v>
      </c>
      <c r="R494" s="2" t="inlineStr"/>
    </row>
    <row r="495" ht="15" customHeight="1">
      <c r="A495" t="inlineStr">
        <is>
          <t>A 37712-2021</t>
        </is>
      </c>
      <c r="B495" s="1" t="n">
        <v>44400</v>
      </c>
      <c r="C495" s="1" t="n">
        <v>46050</v>
      </c>
      <c r="D495" t="inlineStr">
        <is>
          <t>STOCKHOLMS LÄN</t>
        </is>
      </c>
      <c r="E495" t="inlineStr">
        <is>
          <t>NORRTÄLJE</t>
        </is>
      </c>
      <c r="G495" t="n">
        <v>22.9</v>
      </c>
      <c r="H495" t="n">
        <v>0</v>
      </c>
      <c r="I495" t="n">
        <v>0</v>
      </c>
      <c r="J495" t="n">
        <v>0</v>
      </c>
      <c r="K495" t="n">
        <v>0</v>
      </c>
      <c r="L495" t="n">
        <v>0</v>
      </c>
      <c r="M495" t="n">
        <v>0</v>
      </c>
      <c r="N495" t="n">
        <v>0</v>
      </c>
      <c r="O495" t="n">
        <v>0</v>
      </c>
      <c r="P495" t="n">
        <v>0</v>
      </c>
      <c r="Q495" t="n">
        <v>0</v>
      </c>
      <c r="R495" s="2" t="inlineStr"/>
    </row>
    <row r="496" ht="15" customHeight="1">
      <c r="A496" t="inlineStr">
        <is>
          <t>A 9719-2021</t>
        </is>
      </c>
      <c r="B496" s="1" t="n">
        <v>44252</v>
      </c>
      <c r="C496" s="1" t="n">
        <v>46050</v>
      </c>
      <c r="D496" t="inlineStr">
        <is>
          <t>STOCKHOLMS LÄN</t>
        </is>
      </c>
      <c r="E496" t="inlineStr">
        <is>
          <t>NORRTÄLJE</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48384-2021</t>
        </is>
      </c>
      <c r="B497" s="1" t="n">
        <v>44451</v>
      </c>
      <c r="C497" s="1" t="n">
        <v>46050</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46050</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14664-2021</t>
        </is>
      </c>
      <c r="B499" s="1" t="n">
        <v>44280</v>
      </c>
      <c r="C499" s="1" t="n">
        <v>46050</v>
      </c>
      <c r="D499" t="inlineStr">
        <is>
          <t>STOCKHOLMS LÄN</t>
        </is>
      </c>
      <c r="E499" t="inlineStr">
        <is>
          <t>SÖDERTÄLJE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48492-2022</t>
        </is>
      </c>
      <c r="B500" s="1" t="n">
        <v>44858</v>
      </c>
      <c r="C500" s="1" t="n">
        <v>46050</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8338-2021</t>
        </is>
      </c>
      <c r="B501" s="1" t="n">
        <v>44244</v>
      </c>
      <c r="C501" s="1" t="n">
        <v>46050</v>
      </c>
      <c r="D501" t="inlineStr">
        <is>
          <t>STOCKHOLMS LÄN</t>
        </is>
      </c>
      <c r="E501" t="inlineStr">
        <is>
          <t>NORRTÄLJE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60822-2021</t>
        </is>
      </c>
      <c r="B502" s="1" t="n">
        <v>44496</v>
      </c>
      <c r="C502" s="1" t="n">
        <v>46050</v>
      </c>
      <c r="D502" t="inlineStr">
        <is>
          <t>STOCKHOLMS LÄN</t>
        </is>
      </c>
      <c r="E502" t="inlineStr">
        <is>
          <t>NORRTÄLJE</t>
        </is>
      </c>
      <c r="G502" t="n">
        <v>7.6</v>
      </c>
      <c r="H502" t="n">
        <v>0</v>
      </c>
      <c r="I502" t="n">
        <v>0</v>
      </c>
      <c r="J502" t="n">
        <v>0</v>
      </c>
      <c r="K502" t="n">
        <v>0</v>
      </c>
      <c r="L502" t="n">
        <v>0</v>
      </c>
      <c r="M502" t="n">
        <v>0</v>
      </c>
      <c r="N502" t="n">
        <v>0</v>
      </c>
      <c r="O502" t="n">
        <v>0</v>
      </c>
      <c r="P502" t="n">
        <v>0</v>
      </c>
      <c r="Q502" t="n">
        <v>0</v>
      </c>
      <c r="R502" s="2" t="inlineStr"/>
    </row>
    <row r="503" ht="15" customHeight="1">
      <c r="A503" t="inlineStr">
        <is>
          <t>A 10711-2022</t>
        </is>
      </c>
      <c r="B503" s="1" t="n">
        <v>44626</v>
      </c>
      <c r="C503" s="1" t="n">
        <v>46050</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46050</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9442-2022</t>
        </is>
      </c>
      <c r="B505" s="1" t="n">
        <v>44616</v>
      </c>
      <c r="C505" s="1" t="n">
        <v>46050</v>
      </c>
      <c r="D505" t="inlineStr">
        <is>
          <t>STOCKHOLMS LÄN</t>
        </is>
      </c>
      <c r="E505" t="inlineStr">
        <is>
          <t>VALLENTUNA</t>
        </is>
      </c>
      <c r="G505" t="n">
        <v>3</v>
      </c>
      <c r="H505" t="n">
        <v>0</v>
      </c>
      <c r="I505" t="n">
        <v>0</v>
      </c>
      <c r="J505" t="n">
        <v>0</v>
      </c>
      <c r="K505" t="n">
        <v>0</v>
      </c>
      <c r="L505" t="n">
        <v>0</v>
      </c>
      <c r="M505" t="n">
        <v>0</v>
      </c>
      <c r="N505" t="n">
        <v>0</v>
      </c>
      <c r="O505" t="n">
        <v>0</v>
      </c>
      <c r="P505" t="n">
        <v>0</v>
      </c>
      <c r="Q505" t="n">
        <v>0</v>
      </c>
      <c r="R505" s="2" t="inlineStr"/>
    </row>
    <row r="506" ht="15" customHeight="1">
      <c r="A506" t="inlineStr">
        <is>
          <t>A 17777-2022</t>
        </is>
      </c>
      <c r="B506" s="1" t="n">
        <v>44682.79203703703</v>
      </c>
      <c r="C506" s="1" t="n">
        <v>46050</v>
      </c>
      <c r="D506" t="inlineStr">
        <is>
          <t>STOCKHOLMS LÄN</t>
        </is>
      </c>
      <c r="E506" t="inlineStr">
        <is>
          <t>NORRTÄLJE</t>
        </is>
      </c>
      <c r="G506" t="n">
        <v>3.7</v>
      </c>
      <c r="H506" t="n">
        <v>0</v>
      </c>
      <c r="I506" t="n">
        <v>0</v>
      </c>
      <c r="J506" t="n">
        <v>0</v>
      </c>
      <c r="K506" t="n">
        <v>0</v>
      </c>
      <c r="L506" t="n">
        <v>0</v>
      </c>
      <c r="M506" t="n">
        <v>0</v>
      </c>
      <c r="N506" t="n">
        <v>0</v>
      </c>
      <c r="O506" t="n">
        <v>0</v>
      </c>
      <c r="P506" t="n">
        <v>0</v>
      </c>
      <c r="Q506" t="n">
        <v>0</v>
      </c>
      <c r="R506" s="2" t="inlineStr"/>
    </row>
    <row r="507" ht="15" customHeight="1">
      <c r="A507" t="inlineStr">
        <is>
          <t>A 18905-2022</t>
        </is>
      </c>
      <c r="B507" s="1" t="n">
        <v>44690</v>
      </c>
      <c r="C507" s="1" t="n">
        <v>46050</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21723-2022</t>
        </is>
      </c>
      <c r="B508" s="1" t="n">
        <v>44708</v>
      </c>
      <c r="C508" s="1" t="n">
        <v>46050</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12816-2022</t>
        </is>
      </c>
      <c r="B509" s="1" t="n">
        <v>44642</v>
      </c>
      <c r="C509" s="1" t="n">
        <v>46050</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1910-2022</t>
        </is>
      </c>
      <c r="B510" s="1" t="n">
        <v>44575</v>
      </c>
      <c r="C510" s="1" t="n">
        <v>46050</v>
      </c>
      <c r="D510" t="inlineStr">
        <is>
          <t>STOCKHOLMS LÄN</t>
        </is>
      </c>
      <c r="E510" t="inlineStr">
        <is>
          <t>ÖSTERÅKER</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3681-2022</t>
        </is>
      </c>
      <c r="B511" s="1" t="n">
        <v>44586</v>
      </c>
      <c r="C511" s="1" t="n">
        <v>46050</v>
      </c>
      <c r="D511" t="inlineStr">
        <is>
          <t>STOCKHOLMS LÄN</t>
        </is>
      </c>
      <c r="E511" t="inlineStr">
        <is>
          <t>BOTKYRKA</t>
        </is>
      </c>
      <c r="G511" t="n">
        <v>0.4</v>
      </c>
      <c r="H511" t="n">
        <v>0</v>
      </c>
      <c r="I511" t="n">
        <v>0</v>
      </c>
      <c r="J511" t="n">
        <v>0</v>
      </c>
      <c r="K511" t="n">
        <v>0</v>
      </c>
      <c r="L511" t="n">
        <v>0</v>
      </c>
      <c r="M511" t="n">
        <v>0</v>
      </c>
      <c r="N511" t="n">
        <v>0</v>
      </c>
      <c r="O511" t="n">
        <v>0</v>
      </c>
      <c r="P511" t="n">
        <v>0</v>
      </c>
      <c r="Q511" t="n">
        <v>0</v>
      </c>
      <c r="R511" s="2" t="inlineStr"/>
    </row>
    <row r="512" ht="15" customHeight="1">
      <c r="A512" t="inlineStr">
        <is>
          <t>A 31807-2022</t>
        </is>
      </c>
      <c r="B512" s="1" t="n">
        <v>44776</v>
      </c>
      <c r="C512" s="1" t="n">
        <v>46050</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3596-2022</t>
        </is>
      </c>
      <c r="B513" s="1" t="n">
        <v>44586</v>
      </c>
      <c r="C513" s="1" t="n">
        <v>46050</v>
      </c>
      <c r="D513" t="inlineStr">
        <is>
          <t>STOCKHOLMS LÄN</t>
        </is>
      </c>
      <c r="E513" t="inlineStr">
        <is>
          <t>SÖDERTÄLJE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1244-2022</t>
        </is>
      </c>
      <c r="B514" s="1" t="n">
        <v>44572</v>
      </c>
      <c r="C514" s="1" t="n">
        <v>46050</v>
      </c>
      <c r="D514" t="inlineStr">
        <is>
          <t>STOCKHOLMS LÄN</t>
        </is>
      </c>
      <c r="E514" t="inlineStr">
        <is>
          <t>VÄRMDÖ</t>
        </is>
      </c>
      <c r="G514" t="n">
        <v>0.2</v>
      </c>
      <c r="H514" t="n">
        <v>0</v>
      </c>
      <c r="I514" t="n">
        <v>0</v>
      </c>
      <c r="J514" t="n">
        <v>0</v>
      </c>
      <c r="K514" t="n">
        <v>0</v>
      </c>
      <c r="L514" t="n">
        <v>0</v>
      </c>
      <c r="M514" t="n">
        <v>0</v>
      </c>
      <c r="N514" t="n">
        <v>0</v>
      </c>
      <c r="O514" t="n">
        <v>0</v>
      </c>
      <c r="P514" t="n">
        <v>0</v>
      </c>
      <c r="Q514" t="n">
        <v>0</v>
      </c>
      <c r="R514" s="2" t="inlineStr"/>
      <c r="T514">
        <f>HYPERLINK("https://klasma.github.io/Logging_0120/kartor/A 1244-2022 karta.png", "A 1244-2022")</f>
        <v/>
      </c>
      <c r="V514">
        <f>HYPERLINK("https://klasma.github.io/Logging_0120/klagomål/A 1244-2022 FSC-klagomål.docx", "A 1244-2022")</f>
        <v/>
      </c>
      <c r="W514">
        <f>HYPERLINK("https://klasma.github.io/Logging_0120/klagomålsmail/A 1244-2022 FSC-klagomål mail.docx", "A 1244-2022")</f>
        <v/>
      </c>
      <c r="X514">
        <f>HYPERLINK("https://klasma.github.io/Logging_0120/tillsyn/A 1244-2022 tillsynsbegäran.docx", "A 1244-2022")</f>
        <v/>
      </c>
      <c r="Y514">
        <f>HYPERLINK("https://klasma.github.io/Logging_0120/tillsynsmail/A 1244-2022 tillsynsbegäran mail.docx", "A 1244-2022")</f>
        <v/>
      </c>
      <c r="Z514">
        <f>HYPERLINK("https://klasma.github.io/Logging_0120/fåglar/A 1244-2022 prioriterade fågelarter.docx", "A 1244-2022")</f>
        <v/>
      </c>
    </row>
    <row r="515" ht="15" customHeight="1">
      <c r="A515" t="inlineStr">
        <is>
          <t>A 16242-2022</t>
        </is>
      </c>
      <c r="B515" s="1" t="n">
        <v>44670</v>
      </c>
      <c r="C515" s="1" t="n">
        <v>46050</v>
      </c>
      <c r="D515" t="inlineStr">
        <is>
          <t>STOCKHOLMS LÄN</t>
        </is>
      </c>
      <c r="E515" t="inlineStr">
        <is>
          <t>EKERÖ</t>
        </is>
      </c>
      <c r="G515" t="n">
        <v>0.6</v>
      </c>
      <c r="H515" t="n">
        <v>0</v>
      </c>
      <c r="I515" t="n">
        <v>0</v>
      </c>
      <c r="J515" t="n">
        <v>0</v>
      </c>
      <c r="K515" t="n">
        <v>0</v>
      </c>
      <c r="L515" t="n">
        <v>0</v>
      </c>
      <c r="M515" t="n">
        <v>0</v>
      </c>
      <c r="N515" t="n">
        <v>0</v>
      </c>
      <c r="O515" t="n">
        <v>0</v>
      </c>
      <c r="P515" t="n">
        <v>0</v>
      </c>
      <c r="Q515" t="n">
        <v>0</v>
      </c>
      <c r="R515" s="2" t="inlineStr"/>
    </row>
    <row r="516" ht="15" customHeight="1">
      <c r="A516" t="inlineStr">
        <is>
          <t>A 72508-2021</t>
        </is>
      </c>
      <c r="B516" s="1" t="n">
        <v>44544</v>
      </c>
      <c r="C516" s="1" t="n">
        <v>46050</v>
      </c>
      <c r="D516" t="inlineStr">
        <is>
          <t>STOCKHOLMS LÄN</t>
        </is>
      </c>
      <c r="E516" t="inlineStr">
        <is>
          <t>ÖSTERÅKER</t>
        </is>
      </c>
      <c r="F516" t="inlineStr">
        <is>
          <t>Övriga Aktiebolag</t>
        </is>
      </c>
      <c r="G516" t="n">
        <v>1</v>
      </c>
      <c r="H516" t="n">
        <v>0</v>
      </c>
      <c r="I516" t="n">
        <v>0</v>
      </c>
      <c r="J516" t="n">
        <v>0</v>
      </c>
      <c r="K516" t="n">
        <v>0</v>
      </c>
      <c r="L516" t="n">
        <v>0</v>
      </c>
      <c r="M516" t="n">
        <v>0</v>
      </c>
      <c r="N516" t="n">
        <v>0</v>
      </c>
      <c r="O516" t="n">
        <v>0</v>
      </c>
      <c r="P516" t="n">
        <v>0</v>
      </c>
      <c r="Q516" t="n">
        <v>0</v>
      </c>
      <c r="R516" s="2" t="inlineStr"/>
    </row>
    <row r="517" ht="15" customHeight="1">
      <c r="A517" t="inlineStr">
        <is>
          <t>A 72523-2021</t>
        </is>
      </c>
      <c r="B517" s="1" t="n">
        <v>44546</v>
      </c>
      <c r="C517" s="1" t="n">
        <v>46050</v>
      </c>
      <c r="D517" t="inlineStr">
        <is>
          <t>STOCKHOLMS LÄN</t>
        </is>
      </c>
      <c r="E517" t="inlineStr">
        <is>
          <t>UPPLANDS-BRO</t>
        </is>
      </c>
      <c r="G517" t="n">
        <v>2</v>
      </c>
      <c r="H517" t="n">
        <v>0</v>
      </c>
      <c r="I517" t="n">
        <v>0</v>
      </c>
      <c r="J517" t="n">
        <v>0</v>
      </c>
      <c r="K517" t="n">
        <v>0</v>
      </c>
      <c r="L517" t="n">
        <v>0</v>
      </c>
      <c r="M517" t="n">
        <v>0</v>
      </c>
      <c r="N517" t="n">
        <v>0</v>
      </c>
      <c r="O517" t="n">
        <v>0</v>
      </c>
      <c r="P517" t="n">
        <v>0</v>
      </c>
      <c r="Q517" t="n">
        <v>0</v>
      </c>
      <c r="R517" s="2" t="inlineStr"/>
    </row>
    <row r="518" ht="15" customHeight="1">
      <c r="A518" t="inlineStr">
        <is>
          <t>A 40158-2021</t>
        </is>
      </c>
      <c r="B518" s="1" t="n">
        <v>44418</v>
      </c>
      <c r="C518" s="1" t="n">
        <v>46050</v>
      </c>
      <c r="D518" t="inlineStr">
        <is>
          <t>STOCKHOLMS LÄN</t>
        </is>
      </c>
      <c r="E518" t="inlineStr">
        <is>
          <t>NYNÄSHAMN</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22708-2021</t>
        </is>
      </c>
      <c r="B519" s="1" t="n">
        <v>44327</v>
      </c>
      <c r="C519" s="1" t="n">
        <v>46050</v>
      </c>
      <c r="D519" t="inlineStr">
        <is>
          <t>STOCKHOLMS LÄN</t>
        </is>
      </c>
      <c r="E519" t="inlineStr">
        <is>
          <t>VÄRMDÖ</t>
        </is>
      </c>
      <c r="F519" t="inlineStr">
        <is>
          <t>Övriga Aktiebolag</t>
        </is>
      </c>
      <c r="G519" t="n">
        <v>1.2</v>
      </c>
      <c r="H519" t="n">
        <v>0</v>
      </c>
      <c r="I519" t="n">
        <v>0</v>
      </c>
      <c r="J519" t="n">
        <v>0</v>
      </c>
      <c r="K519" t="n">
        <v>0</v>
      </c>
      <c r="L519" t="n">
        <v>0</v>
      </c>
      <c r="M519" t="n">
        <v>0</v>
      </c>
      <c r="N519" t="n">
        <v>0</v>
      </c>
      <c r="O519" t="n">
        <v>0</v>
      </c>
      <c r="P519" t="n">
        <v>0</v>
      </c>
      <c r="Q519" t="n">
        <v>0</v>
      </c>
      <c r="R519" s="2" t="inlineStr"/>
    </row>
    <row r="520" ht="15" customHeight="1">
      <c r="A520" t="inlineStr">
        <is>
          <t>A 28209-2022</t>
        </is>
      </c>
      <c r="B520" s="1" t="n">
        <v>44746</v>
      </c>
      <c r="C520" s="1" t="n">
        <v>46050</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16087-2021</t>
        </is>
      </c>
      <c r="B521" s="1" t="n">
        <v>44288</v>
      </c>
      <c r="C521" s="1" t="n">
        <v>46050</v>
      </c>
      <c r="D521" t="inlineStr">
        <is>
          <t>STOCKHOLMS LÄN</t>
        </is>
      </c>
      <c r="E521" t="inlineStr">
        <is>
          <t>VÄRMDÖ</t>
        </is>
      </c>
      <c r="G521" t="n">
        <v>1</v>
      </c>
      <c r="H521" t="n">
        <v>0</v>
      </c>
      <c r="I521" t="n">
        <v>0</v>
      </c>
      <c r="J521" t="n">
        <v>0</v>
      </c>
      <c r="K521" t="n">
        <v>0</v>
      </c>
      <c r="L521" t="n">
        <v>0</v>
      </c>
      <c r="M521" t="n">
        <v>0</v>
      </c>
      <c r="N521" t="n">
        <v>0</v>
      </c>
      <c r="O521" t="n">
        <v>0</v>
      </c>
      <c r="P521" t="n">
        <v>0</v>
      </c>
      <c r="Q521" t="n">
        <v>0</v>
      </c>
      <c r="R521" s="2" t="inlineStr"/>
    </row>
    <row r="522" ht="15" customHeight="1">
      <c r="A522" t="inlineStr">
        <is>
          <t>A 18609-2021</t>
        </is>
      </c>
      <c r="B522" s="1" t="n">
        <v>44306</v>
      </c>
      <c r="C522" s="1" t="n">
        <v>46050</v>
      </c>
      <c r="D522" t="inlineStr">
        <is>
          <t>STOCKHOLMS LÄN</t>
        </is>
      </c>
      <c r="E522" t="inlineStr">
        <is>
          <t>NORRTÄLJE</t>
        </is>
      </c>
      <c r="G522" t="n">
        <v>9.5</v>
      </c>
      <c r="H522" t="n">
        <v>0</v>
      </c>
      <c r="I522" t="n">
        <v>0</v>
      </c>
      <c r="J522" t="n">
        <v>0</v>
      </c>
      <c r="K522" t="n">
        <v>0</v>
      </c>
      <c r="L522" t="n">
        <v>0</v>
      </c>
      <c r="M522" t="n">
        <v>0</v>
      </c>
      <c r="N522" t="n">
        <v>0</v>
      </c>
      <c r="O522" t="n">
        <v>0</v>
      </c>
      <c r="P522" t="n">
        <v>0</v>
      </c>
      <c r="Q522" t="n">
        <v>0</v>
      </c>
      <c r="R522" s="2" t="inlineStr"/>
    </row>
    <row r="523" ht="15" customHeight="1">
      <c r="A523" t="inlineStr">
        <is>
          <t>A 14434-2021</t>
        </is>
      </c>
      <c r="B523" s="1" t="n">
        <v>44279</v>
      </c>
      <c r="C523" s="1" t="n">
        <v>46050</v>
      </c>
      <c r="D523" t="inlineStr">
        <is>
          <t>STOCKHOLMS LÄN</t>
        </is>
      </c>
      <c r="E523" t="inlineStr">
        <is>
          <t>VALLENTUNA</t>
        </is>
      </c>
      <c r="G523" t="n">
        <v>2</v>
      </c>
      <c r="H523" t="n">
        <v>0</v>
      </c>
      <c r="I523" t="n">
        <v>0</v>
      </c>
      <c r="J523" t="n">
        <v>0</v>
      </c>
      <c r="K523" t="n">
        <v>0</v>
      </c>
      <c r="L523" t="n">
        <v>0</v>
      </c>
      <c r="M523" t="n">
        <v>0</v>
      </c>
      <c r="N523" t="n">
        <v>0</v>
      </c>
      <c r="O523" t="n">
        <v>0</v>
      </c>
      <c r="P523" t="n">
        <v>0</v>
      </c>
      <c r="Q523" t="n">
        <v>0</v>
      </c>
      <c r="R523" s="2" t="inlineStr"/>
    </row>
    <row r="524" ht="15" customHeight="1">
      <c r="A524" t="inlineStr">
        <is>
          <t>A 16086-2021</t>
        </is>
      </c>
      <c r="B524" s="1" t="n">
        <v>44288</v>
      </c>
      <c r="C524" s="1" t="n">
        <v>46050</v>
      </c>
      <c r="D524" t="inlineStr">
        <is>
          <t>STOCKHOLMS LÄN</t>
        </is>
      </c>
      <c r="E524" t="inlineStr">
        <is>
          <t>VÄRMDÖ</t>
        </is>
      </c>
      <c r="G524" t="n">
        <v>2.2</v>
      </c>
      <c r="H524" t="n">
        <v>0</v>
      </c>
      <c r="I524" t="n">
        <v>0</v>
      </c>
      <c r="J524" t="n">
        <v>0</v>
      </c>
      <c r="K524" t="n">
        <v>0</v>
      </c>
      <c r="L524" t="n">
        <v>0</v>
      </c>
      <c r="M524" t="n">
        <v>0</v>
      </c>
      <c r="N524" t="n">
        <v>0</v>
      </c>
      <c r="O524" t="n">
        <v>0</v>
      </c>
      <c r="P524" t="n">
        <v>0</v>
      </c>
      <c r="Q524" t="n">
        <v>0</v>
      </c>
      <c r="R524" s="2" t="inlineStr"/>
    </row>
    <row r="525" ht="15" customHeight="1">
      <c r="A525" t="inlineStr">
        <is>
          <t>A 74167-2021</t>
        </is>
      </c>
      <c r="B525" s="1" t="n">
        <v>44557</v>
      </c>
      <c r="C525" s="1" t="n">
        <v>46050</v>
      </c>
      <c r="D525" t="inlineStr">
        <is>
          <t>STOCKHOLMS LÄN</t>
        </is>
      </c>
      <c r="E525" t="inlineStr">
        <is>
          <t>SIGTUNA</t>
        </is>
      </c>
      <c r="G525" t="n">
        <v>5.4</v>
      </c>
      <c r="H525" t="n">
        <v>0</v>
      </c>
      <c r="I525" t="n">
        <v>0</v>
      </c>
      <c r="J525" t="n">
        <v>0</v>
      </c>
      <c r="K525" t="n">
        <v>0</v>
      </c>
      <c r="L525" t="n">
        <v>0</v>
      </c>
      <c r="M525" t="n">
        <v>0</v>
      </c>
      <c r="N525" t="n">
        <v>0</v>
      </c>
      <c r="O525" t="n">
        <v>0</v>
      </c>
      <c r="P525" t="n">
        <v>0</v>
      </c>
      <c r="Q525" t="n">
        <v>0</v>
      </c>
      <c r="R525" s="2" t="inlineStr"/>
    </row>
    <row r="526" ht="15" customHeight="1">
      <c r="A526" t="inlineStr">
        <is>
          <t>A 74173-2021</t>
        </is>
      </c>
      <c r="B526" s="1" t="n">
        <v>44558</v>
      </c>
      <c r="C526" s="1" t="n">
        <v>46050</v>
      </c>
      <c r="D526" t="inlineStr">
        <is>
          <t>STOCKHOLMS LÄN</t>
        </is>
      </c>
      <c r="E526" t="inlineStr">
        <is>
          <t>NYKVARN</t>
        </is>
      </c>
      <c r="F526" t="inlineStr">
        <is>
          <t>Allmännings- och besparingsskogar</t>
        </is>
      </c>
      <c r="G526" t="n">
        <v>5.5</v>
      </c>
      <c r="H526" t="n">
        <v>0</v>
      </c>
      <c r="I526" t="n">
        <v>0</v>
      </c>
      <c r="J526" t="n">
        <v>0</v>
      </c>
      <c r="K526" t="n">
        <v>0</v>
      </c>
      <c r="L526" t="n">
        <v>0</v>
      </c>
      <c r="M526" t="n">
        <v>0</v>
      </c>
      <c r="N526" t="n">
        <v>0</v>
      </c>
      <c r="O526" t="n">
        <v>0</v>
      </c>
      <c r="P526" t="n">
        <v>0</v>
      </c>
      <c r="Q526" t="n">
        <v>0</v>
      </c>
      <c r="R526" s="2" t="inlineStr"/>
    </row>
    <row r="527" ht="15" customHeight="1">
      <c r="A527" t="inlineStr">
        <is>
          <t>A 71876-2021</t>
        </is>
      </c>
      <c r="B527" s="1" t="n">
        <v>44543</v>
      </c>
      <c r="C527" s="1" t="n">
        <v>46050</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71878-2021</t>
        </is>
      </c>
      <c r="B528" s="1" t="n">
        <v>44543</v>
      </c>
      <c r="C528" s="1" t="n">
        <v>46050</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45501-2022</t>
        </is>
      </c>
      <c r="B529" s="1" t="n">
        <v>44845.42407407407</v>
      </c>
      <c r="C529" s="1" t="n">
        <v>46050</v>
      </c>
      <c r="D529" t="inlineStr">
        <is>
          <t>STOCKHOLMS LÄN</t>
        </is>
      </c>
      <c r="E529" t="inlineStr">
        <is>
          <t>HANINGE</t>
        </is>
      </c>
      <c r="G529" t="n">
        <v>2.7</v>
      </c>
      <c r="H529" t="n">
        <v>0</v>
      </c>
      <c r="I529" t="n">
        <v>0</v>
      </c>
      <c r="J529" t="n">
        <v>0</v>
      </c>
      <c r="K529" t="n">
        <v>0</v>
      </c>
      <c r="L529" t="n">
        <v>0</v>
      </c>
      <c r="M529" t="n">
        <v>0</v>
      </c>
      <c r="N529" t="n">
        <v>0</v>
      </c>
      <c r="O529" t="n">
        <v>0</v>
      </c>
      <c r="P529" t="n">
        <v>0</v>
      </c>
      <c r="Q529" t="n">
        <v>0</v>
      </c>
      <c r="R529" s="2" t="inlineStr"/>
    </row>
    <row r="530" ht="15" customHeight="1">
      <c r="A530" t="inlineStr">
        <is>
          <t>A 45539-2022</t>
        </is>
      </c>
      <c r="B530" s="1" t="n">
        <v>44845.47585648148</v>
      </c>
      <c r="C530" s="1" t="n">
        <v>46050</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11459-2021</t>
        </is>
      </c>
      <c r="B531" s="1" t="n">
        <v>44264.31767361111</v>
      </c>
      <c r="C531" s="1" t="n">
        <v>46050</v>
      </c>
      <c r="D531" t="inlineStr">
        <is>
          <t>STOCKHOLMS LÄN</t>
        </is>
      </c>
      <c r="E531" t="inlineStr">
        <is>
          <t>SIGTUNA</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24534-2022</t>
        </is>
      </c>
      <c r="B532" s="1" t="n">
        <v>44727</v>
      </c>
      <c r="C532" s="1" t="n">
        <v>46050</v>
      </c>
      <c r="D532" t="inlineStr">
        <is>
          <t>STOCKHOLMS LÄN</t>
        </is>
      </c>
      <c r="E532" t="inlineStr">
        <is>
          <t>NORRTÄLJE</t>
        </is>
      </c>
      <c r="G532" t="n">
        <v>2.8</v>
      </c>
      <c r="H532" t="n">
        <v>0</v>
      </c>
      <c r="I532" t="n">
        <v>0</v>
      </c>
      <c r="J532" t="n">
        <v>0</v>
      </c>
      <c r="K532" t="n">
        <v>0</v>
      </c>
      <c r="L532" t="n">
        <v>0</v>
      </c>
      <c r="M532" t="n">
        <v>0</v>
      </c>
      <c r="N532" t="n">
        <v>0</v>
      </c>
      <c r="O532" t="n">
        <v>0</v>
      </c>
      <c r="P532" t="n">
        <v>0</v>
      </c>
      <c r="Q532" t="n">
        <v>0</v>
      </c>
      <c r="R532" s="2" t="inlineStr"/>
    </row>
    <row r="533" ht="15" customHeight="1">
      <c r="A533" t="inlineStr">
        <is>
          <t>A 17263-2022</t>
        </is>
      </c>
      <c r="B533" s="1" t="n">
        <v>44678</v>
      </c>
      <c r="C533" s="1" t="n">
        <v>46050</v>
      </c>
      <c r="D533" t="inlineStr">
        <is>
          <t>STOCKHOLMS LÄN</t>
        </is>
      </c>
      <c r="E533" t="inlineStr">
        <is>
          <t>ÖSTERÅKER</t>
        </is>
      </c>
      <c r="G533" t="n">
        <v>2.4</v>
      </c>
      <c r="H533" t="n">
        <v>0</v>
      </c>
      <c r="I533" t="n">
        <v>0</v>
      </c>
      <c r="J533" t="n">
        <v>0</v>
      </c>
      <c r="K533" t="n">
        <v>0</v>
      </c>
      <c r="L533" t="n">
        <v>0</v>
      </c>
      <c r="M533" t="n">
        <v>0</v>
      </c>
      <c r="N533" t="n">
        <v>0</v>
      </c>
      <c r="O533" t="n">
        <v>0</v>
      </c>
      <c r="P533" t="n">
        <v>0</v>
      </c>
      <c r="Q533" t="n">
        <v>0</v>
      </c>
      <c r="R533" s="2" t="inlineStr"/>
    </row>
    <row r="534" ht="15" customHeight="1">
      <c r="A534" t="inlineStr">
        <is>
          <t>A 60186-2021</t>
        </is>
      </c>
      <c r="B534" s="1" t="n">
        <v>44495</v>
      </c>
      <c r="C534" s="1" t="n">
        <v>46050</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28959-2022</t>
        </is>
      </c>
      <c r="B535" s="1" t="n">
        <v>44749.61980324074</v>
      </c>
      <c r="C535" s="1" t="n">
        <v>46050</v>
      </c>
      <c r="D535" t="inlineStr">
        <is>
          <t>STOCKHOLMS LÄN</t>
        </is>
      </c>
      <c r="E535" t="inlineStr">
        <is>
          <t>NORRTÄLJE</t>
        </is>
      </c>
      <c r="G535" t="n">
        <v>5.2</v>
      </c>
      <c r="H535" t="n">
        <v>0</v>
      </c>
      <c r="I535" t="n">
        <v>0</v>
      </c>
      <c r="J535" t="n">
        <v>0</v>
      </c>
      <c r="K535" t="n">
        <v>0</v>
      </c>
      <c r="L535" t="n">
        <v>0</v>
      </c>
      <c r="M535" t="n">
        <v>0</v>
      </c>
      <c r="N535" t="n">
        <v>0</v>
      </c>
      <c r="O535" t="n">
        <v>0</v>
      </c>
      <c r="P535" t="n">
        <v>0</v>
      </c>
      <c r="Q535" t="n">
        <v>0</v>
      </c>
      <c r="R535" s="2" t="inlineStr"/>
    </row>
    <row r="536" ht="15" customHeight="1">
      <c r="A536" t="inlineStr">
        <is>
          <t>A 54340-2022</t>
        </is>
      </c>
      <c r="B536" s="1" t="n">
        <v>44882.44732638889</v>
      </c>
      <c r="C536" s="1" t="n">
        <v>46050</v>
      </c>
      <c r="D536" t="inlineStr">
        <is>
          <t>STOCKHOLMS LÄN</t>
        </is>
      </c>
      <c r="E536" t="inlineStr">
        <is>
          <t>NORRTÄLJE</t>
        </is>
      </c>
      <c r="G536" t="n">
        <v>6.7</v>
      </c>
      <c r="H536" t="n">
        <v>0</v>
      </c>
      <c r="I536" t="n">
        <v>0</v>
      </c>
      <c r="J536" t="n">
        <v>0</v>
      </c>
      <c r="K536" t="n">
        <v>0</v>
      </c>
      <c r="L536" t="n">
        <v>0</v>
      </c>
      <c r="M536" t="n">
        <v>0</v>
      </c>
      <c r="N536" t="n">
        <v>0</v>
      </c>
      <c r="O536" t="n">
        <v>0</v>
      </c>
      <c r="P536" t="n">
        <v>0</v>
      </c>
      <c r="Q536" t="n">
        <v>0</v>
      </c>
      <c r="R536" s="2" t="inlineStr"/>
    </row>
    <row r="537" ht="15" customHeight="1">
      <c r="A537" t="inlineStr">
        <is>
          <t>A 31075-2021</t>
        </is>
      </c>
      <c r="B537" s="1" t="n">
        <v>44368</v>
      </c>
      <c r="C537" s="1" t="n">
        <v>46050</v>
      </c>
      <c r="D537" t="inlineStr">
        <is>
          <t>STOCKHOLMS LÄN</t>
        </is>
      </c>
      <c r="E537" t="inlineStr">
        <is>
          <t>ÖSTERÅKER</t>
        </is>
      </c>
      <c r="F537" t="inlineStr">
        <is>
          <t>Övriga Aktiebolag</t>
        </is>
      </c>
      <c r="G537" t="n">
        <v>2.9</v>
      </c>
      <c r="H537" t="n">
        <v>0</v>
      </c>
      <c r="I537" t="n">
        <v>0</v>
      </c>
      <c r="J537" t="n">
        <v>0</v>
      </c>
      <c r="K537" t="n">
        <v>0</v>
      </c>
      <c r="L537" t="n">
        <v>0</v>
      </c>
      <c r="M537" t="n">
        <v>0</v>
      </c>
      <c r="N537" t="n">
        <v>0</v>
      </c>
      <c r="O537" t="n">
        <v>0</v>
      </c>
      <c r="P537" t="n">
        <v>0</v>
      </c>
      <c r="Q537" t="n">
        <v>0</v>
      </c>
      <c r="R537" s="2" t="inlineStr"/>
    </row>
    <row r="538" ht="15" customHeight="1">
      <c r="A538" t="inlineStr">
        <is>
          <t>A 54355-2022</t>
        </is>
      </c>
      <c r="B538" s="1" t="n">
        <v>44882</v>
      </c>
      <c r="C538" s="1" t="n">
        <v>46050</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178-2022</t>
        </is>
      </c>
      <c r="B539" s="1" t="n">
        <v>44560</v>
      </c>
      <c r="C539" s="1" t="n">
        <v>46050</v>
      </c>
      <c r="D539" t="inlineStr">
        <is>
          <t>STOCKHOLMS LÄN</t>
        </is>
      </c>
      <c r="E539" t="inlineStr">
        <is>
          <t>VALLENTUNA</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72308-2021</t>
        </is>
      </c>
      <c r="B540" s="1" t="n">
        <v>44545.4189699074</v>
      </c>
      <c r="C540" s="1" t="n">
        <v>46050</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9986-2021</t>
        </is>
      </c>
      <c r="B541" s="1" t="n">
        <v>44254</v>
      </c>
      <c r="C541" s="1" t="n">
        <v>46050</v>
      </c>
      <c r="D541" t="inlineStr">
        <is>
          <t>STOCKHOLMS LÄN</t>
        </is>
      </c>
      <c r="E541" t="inlineStr">
        <is>
          <t>SÖDERTÄLJE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18172-2021</t>
        </is>
      </c>
      <c r="B542" s="1" t="n">
        <v>44302.62196759259</v>
      </c>
      <c r="C542" s="1" t="n">
        <v>46050</v>
      </c>
      <c r="D542" t="inlineStr">
        <is>
          <t>STOCKHOLMS LÄN</t>
        </is>
      </c>
      <c r="E542" t="inlineStr">
        <is>
          <t>ÖSTERÅKER</t>
        </is>
      </c>
      <c r="G542" t="n">
        <v>3.2</v>
      </c>
      <c r="H542" t="n">
        <v>0</v>
      </c>
      <c r="I542" t="n">
        <v>0</v>
      </c>
      <c r="J542" t="n">
        <v>0</v>
      </c>
      <c r="K542" t="n">
        <v>0</v>
      </c>
      <c r="L542" t="n">
        <v>0</v>
      </c>
      <c r="M542" t="n">
        <v>0</v>
      </c>
      <c r="N542" t="n">
        <v>0</v>
      </c>
      <c r="O542" t="n">
        <v>0</v>
      </c>
      <c r="P542" t="n">
        <v>0</v>
      </c>
      <c r="Q542" t="n">
        <v>0</v>
      </c>
      <c r="R542" s="2" t="inlineStr"/>
    </row>
    <row r="543" ht="15" customHeight="1">
      <c r="A543" t="inlineStr">
        <is>
          <t>A 46244-2021</t>
        </is>
      </c>
      <c r="B543" s="1" t="n">
        <v>44442</v>
      </c>
      <c r="C543" s="1" t="n">
        <v>46050</v>
      </c>
      <c r="D543" t="inlineStr">
        <is>
          <t>STOCKHOLMS LÄN</t>
        </is>
      </c>
      <c r="E543" t="inlineStr">
        <is>
          <t>UPPLANDS-BRO</t>
        </is>
      </c>
      <c r="G543" t="n">
        <v>0.9</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46050</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14381-2021</t>
        </is>
      </c>
      <c r="B545" s="1" t="n">
        <v>44279</v>
      </c>
      <c r="C545" s="1" t="n">
        <v>46050</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14584-2021</t>
        </is>
      </c>
      <c r="B546" s="1" t="n">
        <v>44279.91693287037</v>
      </c>
      <c r="C546" s="1" t="n">
        <v>46050</v>
      </c>
      <c r="D546" t="inlineStr">
        <is>
          <t>STOCKHOLMS LÄN</t>
        </is>
      </c>
      <c r="E546" t="inlineStr">
        <is>
          <t>NYKVARN</t>
        </is>
      </c>
      <c r="G546" t="n">
        <v>0.9</v>
      </c>
      <c r="H546" t="n">
        <v>0</v>
      </c>
      <c r="I546" t="n">
        <v>0</v>
      </c>
      <c r="J546" t="n">
        <v>0</v>
      </c>
      <c r="K546" t="n">
        <v>0</v>
      </c>
      <c r="L546" t="n">
        <v>0</v>
      </c>
      <c r="M546" t="n">
        <v>0</v>
      </c>
      <c r="N546" t="n">
        <v>0</v>
      </c>
      <c r="O546" t="n">
        <v>0</v>
      </c>
      <c r="P546" t="n">
        <v>0</v>
      </c>
      <c r="Q546" t="n">
        <v>0</v>
      </c>
      <c r="R546" s="2" t="inlineStr"/>
    </row>
    <row r="547" ht="15" customHeight="1">
      <c r="A547" t="inlineStr">
        <is>
          <t>A 20604-2022</t>
        </is>
      </c>
      <c r="B547" s="1" t="n">
        <v>44700.46938657408</v>
      </c>
      <c r="C547" s="1" t="n">
        <v>46050</v>
      </c>
      <c r="D547" t="inlineStr">
        <is>
          <t>STOCKHOLMS LÄN</t>
        </is>
      </c>
      <c r="E547" t="inlineStr">
        <is>
          <t>UPPLANDS-BRO</t>
        </is>
      </c>
      <c r="G547" t="n">
        <v>2</v>
      </c>
      <c r="H547" t="n">
        <v>0</v>
      </c>
      <c r="I547" t="n">
        <v>0</v>
      </c>
      <c r="J547" t="n">
        <v>0</v>
      </c>
      <c r="K547" t="n">
        <v>0</v>
      </c>
      <c r="L547" t="n">
        <v>0</v>
      </c>
      <c r="M547" t="n">
        <v>0</v>
      </c>
      <c r="N547" t="n">
        <v>0</v>
      </c>
      <c r="O547" t="n">
        <v>0</v>
      </c>
      <c r="P547" t="n">
        <v>0</v>
      </c>
      <c r="Q547" t="n">
        <v>0</v>
      </c>
      <c r="R547" s="2" t="inlineStr"/>
    </row>
    <row r="548" ht="15" customHeight="1">
      <c r="A548" t="inlineStr">
        <is>
          <t>A 3592-2022</t>
        </is>
      </c>
      <c r="B548" s="1" t="n">
        <v>44586.35570601852</v>
      </c>
      <c r="C548" s="1" t="n">
        <v>46050</v>
      </c>
      <c r="D548" t="inlineStr">
        <is>
          <t>STOCKHOLMS LÄN</t>
        </is>
      </c>
      <c r="E548" t="inlineStr">
        <is>
          <t>SÖDERTÄLJE</t>
        </is>
      </c>
      <c r="G548" t="n">
        <v>3.5</v>
      </c>
      <c r="H548" t="n">
        <v>0</v>
      </c>
      <c r="I548" t="n">
        <v>0</v>
      </c>
      <c r="J548" t="n">
        <v>0</v>
      </c>
      <c r="K548" t="n">
        <v>0</v>
      </c>
      <c r="L548" t="n">
        <v>0</v>
      </c>
      <c r="M548" t="n">
        <v>0</v>
      </c>
      <c r="N548" t="n">
        <v>0</v>
      </c>
      <c r="O548" t="n">
        <v>0</v>
      </c>
      <c r="P548" t="n">
        <v>0</v>
      </c>
      <c r="Q548" t="n">
        <v>0</v>
      </c>
      <c r="R548" s="2" t="inlineStr"/>
    </row>
    <row r="549" ht="15" customHeight="1">
      <c r="A549" t="inlineStr">
        <is>
          <t>A 17703-2021</t>
        </is>
      </c>
      <c r="B549" s="1" t="n">
        <v>44300</v>
      </c>
      <c r="C549" s="1" t="n">
        <v>46050</v>
      </c>
      <c r="D549" t="inlineStr">
        <is>
          <t>STOCKHOLMS LÄN</t>
        </is>
      </c>
      <c r="E549" t="inlineStr">
        <is>
          <t>NORRTÄLJE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22060-2021</t>
        </is>
      </c>
      <c r="B550" s="1" t="n">
        <v>44323</v>
      </c>
      <c r="C550" s="1" t="n">
        <v>46050</v>
      </c>
      <c r="D550" t="inlineStr">
        <is>
          <t>STOCKHOLMS LÄN</t>
        </is>
      </c>
      <c r="E550" t="inlineStr">
        <is>
          <t>VALLENTUNA</t>
        </is>
      </c>
      <c r="G550" t="n">
        <v>3</v>
      </c>
      <c r="H550" t="n">
        <v>0</v>
      </c>
      <c r="I550" t="n">
        <v>0</v>
      </c>
      <c r="J550" t="n">
        <v>0</v>
      </c>
      <c r="K550" t="n">
        <v>0</v>
      </c>
      <c r="L550" t="n">
        <v>0</v>
      </c>
      <c r="M550" t="n">
        <v>0</v>
      </c>
      <c r="N550" t="n">
        <v>0</v>
      </c>
      <c r="O550" t="n">
        <v>0</v>
      </c>
      <c r="P550" t="n">
        <v>0</v>
      </c>
      <c r="Q550" t="n">
        <v>0</v>
      </c>
      <c r="R550" s="2" t="inlineStr"/>
    </row>
    <row r="551" ht="15" customHeight="1">
      <c r="A551" t="inlineStr">
        <is>
          <t>A 28136-2021</t>
        </is>
      </c>
      <c r="B551" s="1" t="n">
        <v>44355</v>
      </c>
      <c r="C551" s="1" t="n">
        <v>46050</v>
      </c>
      <c r="D551" t="inlineStr">
        <is>
          <t>STOCKHOLMS LÄN</t>
        </is>
      </c>
      <c r="E551" t="inlineStr">
        <is>
          <t>SÖDERTÄLJE</t>
        </is>
      </c>
      <c r="F551" t="inlineStr">
        <is>
          <t>Kommuner</t>
        </is>
      </c>
      <c r="G551" t="n">
        <v>0.6</v>
      </c>
      <c r="H551" t="n">
        <v>0</v>
      </c>
      <c r="I551" t="n">
        <v>0</v>
      </c>
      <c r="J551" t="n">
        <v>0</v>
      </c>
      <c r="K551" t="n">
        <v>0</v>
      </c>
      <c r="L551" t="n">
        <v>0</v>
      </c>
      <c r="M551" t="n">
        <v>0</v>
      </c>
      <c r="N551" t="n">
        <v>0</v>
      </c>
      <c r="O551" t="n">
        <v>0</v>
      </c>
      <c r="P551" t="n">
        <v>0</v>
      </c>
      <c r="Q551" t="n">
        <v>0</v>
      </c>
      <c r="R551" s="2" t="inlineStr"/>
    </row>
    <row r="552" ht="15" customHeight="1">
      <c r="A552" t="inlineStr">
        <is>
          <t>A 23770-2022</t>
        </is>
      </c>
      <c r="B552" s="1" t="n">
        <v>44722</v>
      </c>
      <c r="C552" s="1" t="n">
        <v>46050</v>
      </c>
      <c r="D552" t="inlineStr">
        <is>
          <t>STOCKHOLMS LÄN</t>
        </is>
      </c>
      <c r="E552" t="inlineStr">
        <is>
          <t>NORRTÄLJE</t>
        </is>
      </c>
      <c r="G552" t="n">
        <v>1.6</v>
      </c>
      <c r="H552" t="n">
        <v>0</v>
      </c>
      <c r="I552" t="n">
        <v>0</v>
      </c>
      <c r="J552" t="n">
        <v>0</v>
      </c>
      <c r="K552" t="n">
        <v>0</v>
      </c>
      <c r="L552" t="n">
        <v>0</v>
      </c>
      <c r="M552" t="n">
        <v>0</v>
      </c>
      <c r="N552" t="n">
        <v>0</v>
      </c>
      <c r="O552" t="n">
        <v>0</v>
      </c>
      <c r="P552" t="n">
        <v>0</v>
      </c>
      <c r="Q552" t="n">
        <v>0</v>
      </c>
      <c r="R552" s="2" t="inlineStr"/>
    </row>
    <row r="553" ht="15" customHeight="1">
      <c r="A553" t="inlineStr">
        <is>
          <t>A 27538-2022</t>
        </is>
      </c>
      <c r="B553" s="1" t="n">
        <v>44742</v>
      </c>
      <c r="C553" s="1" t="n">
        <v>46050</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51454-2021</t>
        </is>
      </c>
      <c r="B554" s="1" t="n">
        <v>44460</v>
      </c>
      <c r="C554" s="1" t="n">
        <v>46050</v>
      </c>
      <c r="D554" t="inlineStr">
        <is>
          <t>STOCKHOLMS LÄN</t>
        </is>
      </c>
      <c r="E554" t="inlineStr">
        <is>
          <t>SÖDERTÄLJE</t>
        </is>
      </c>
      <c r="G554" t="n">
        <v>5.6</v>
      </c>
      <c r="H554" t="n">
        <v>0</v>
      </c>
      <c r="I554" t="n">
        <v>0</v>
      </c>
      <c r="J554" t="n">
        <v>0</v>
      </c>
      <c r="K554" t="n">
        <v>0</v>
      </c>
      <c r="L554" t="n">
        <v>0</v>
      </c>
      <c r="M554" t="n">
        <v>0</v>
      </c>
      <c r="N554" t="n">
        <v>0</v>
      </c>
      <c r="O554" t="n">
        <v>0</v>
      </c>
      <c r="P554" t="n">
        <v>0</v>
      </c>
      <c r="Q554" t="n">
        <v>0</v>
      </c>
      <c r="R554" s="2" t="inlineStr"/>
    </row>
    <row r="555" ht="15" customHeight="1">
      <c r="A555" t="inlineStr">
        <is>
          <t>A 29868-2022</t>
        </is>
      </c>
      <c r="B555" s="1" t="n">
        <v>44756.40881944444</v>
      </c>
      <c r="C555" s="1" t="n">
        <v>46050</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35953-2021</t>
        </is>
      </c>
      <c r="B556" s="1" t="n">
        <v>44385</v>
      </c>
      <c r="C556" s="1" t="n">
        <v>46050</v>
      </c>
      <c r="D556" t="inlineStr">
        <is>
          <t>STOCKHOLMS LÄN</t>
        </is>
      </c>
      <c r="E556" t="inlineStr">
        <is>
          <t>SIGTUNA</t>
        </is>
      </c>
      <c r="G556" t="n">
        <v>2</v>
      </c>
      <c r="H556" t="n">
        <v>0</v>
      </c>
      <c r="I556" t="n">
        <v>0</v>
      </c>
      <c r="J556" t="n">
        <v>0</v>
      </c>
      <c r="K556" t="n">
        <v>0</v>
      </c>
      <c r="L556" t="n">
        <v>0</v>
      </c>
      <c r="M556" t="n">
        <v>0</v>
      </c>
      <c r="N556" t="n">
        <v>0</v>
      </c>
      <c r="O556" t="n">
        <v>0</v>
      </c>
      <c r="P556" t="n">
        <v>0</v>
      </c>
      <c r="Q556" t="n">
        <v>0</v>
      </c>
      <c r="R556" s="2" t="inlineStr"/>
    </row>
    <row r="557" ht="15" customHeight="1">
      <c r="A557" t="inlineStr">
        <is>
          <t>A 36975-2022</t>
        </is>
      </c>
      <c r="B557" s="1" t="n">
        <v>44806.34577546296</v>
      </c>
      <c r="C557" s="1" t="n">
        <v>46050</v>
      </c>
      <c r="D557" t="inlineStr">
        <is>
          <t>STOCKHOLMS LÄN</t>
        </is>
      </c>
      <c r="E557" t="inlineStr">
        <is>
          <t>NORRTÄLJE</t>
        </is>
      </c>
      <c r="G557" t="n">
        <v>4.7</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46050</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46050</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46050</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72108-2021</t>
        </is>
      </c>
      <c r="B561" s="1" t="n">
        <v>44544</v>
      </c>
      <c r="C561" s="1" t="n">
        <v>46050</v>
      </c>
      <c r="D561" t="inlineStr">
        <is>
          <t>STOCKHOLMS LÄN</t>
        </is>
      </c>
      <c r="E561" t="inlineStr">
        <is>
          <t>VÄRMDÖ</t>
        </is>
      </c>
      <c r="G561" t="n">
        <v>1.6</v>
      </c>
      <c r="H561" t="n">
        <v>0</v>
      </c>
      <c r="I561" t="n">
        <v>0</v>
      </c>
      <c r="J561" t="n">
        <v>0</v>
      </c>
      <c r="K561" t="n">
        <v>0</v>
      </c>
      <c r="L561" t="n">
        <v>0</v>
      </c>
      <c r="M561" t="n">
        <v>0</v>
      </c>
      <c r="N561" t="n">
        <v>0</v>
      </c>
      <c r="O561" t="n">
        <v>0</v>
      </c>
      <c r="P561" t="n">
        <v>0</v>
      </c>
      <c r="Q561" t="n">
        <v>0</v>
      </c>
      <c r="R561" s="2" t="inlineStr"/>
    </row>
    <row r="562" ht="15" customHeight="1">
      <c r="A562" t="inlineStr">
        <is>
          <t>A 64599-2021</t>
        </is>
      </c>
      <c r="B562" s="1" t="n">
        <v>44511.69885416667</v>
      </c>
      <c r="C562" s="1" t="n">
        <v>46050</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67244-2021</t>
        </is>
      </c>
      <c r="B563" s="1" t="n">
        <v>44523</v>
      </c>
      <c r="C563" s="1" t="n">
        <v>46050</v>
      </c>
      <c r="D563" t="inlineStr">
        <is>
          <t>STOCKHOLMS LÄN</t>
        </is>
      </c>
      <c r="E563" t="inlineStr">
        <is>
          <t>ÖSTERÅKER</t>
        </is>
      </c>
      <c r="F563" t="inlineStr">
        <is>
          <t>Kommuner</t>
        </is>
      </c>
      <c r="G563" t="n">
        <v>5.3</v>
      </c>
      <c r="H563" t="n">
        <v>0</v>
      </c>
      <c r="I563" t="n">
        <v>0</v>
      </c>
      <c r="J563" t="n">
        <v>0</v>
      </c>
      <c r="K563" t="n">
        <v>0</v>
      </c>
      <c r="L563" t="n">
        <v>0</v>
      </c>
      <c r="M563" t="n">
        <v>0</v>
      </c>
      <c r="N563" t="n">
        <v>0</v>
      </c>
      <c r="O563" t="n">
        <v>0</v>
      </c>
      <c r="P563" t="n">
        <v>0</v>
      </c>
      <c r="Q563" t="n">
        <v>0</v>
      </c>
      <c r="R563" s="2" t="inlineStr"/>
    </row>
    <row r="564" ht="15" customHeight="1">
      <c r="A564" t="inlineStr">
        <is>
          <t>A 45498-2022</t>
        </is>
      </c>
      <c r="B564" s="1" t="n">
        <v>44845.42118055555</v>
      </c>
      <c r="C564" s="1" t="n">
        <v>46050</v>
      </c>
      <c r="D564" t="inlineStr">
        <is>
          <t>STOCKHOLMS LÄN</t>
        </is>
      </c>
      <c r="E564" t="inlineStr">
        <is>
          <t>HANINGE</t>
        </is>
      </c>
      <c r="G564" t="n">
        <v>2.1</v>
      </c>
      <c r="H564" t="n">
        <v>0</v>
      </c>
      <c r="I564" t="n">
        <v>0</v>
      </c>
      <c r="J564" t="n">
        <v>0</v>
      </c>
      <c r="K564" t="n">
        <v>0</v>
      </c>
      <c r="L564" t="n">
        <v>0</v>
      </c>
      <c r="M564" t="n">
        <v>0</v>
      </c>
      <c r="N564" t="n">
        <v>0</v>
      </c>
      <c r="O564" t="n">
        <v>0</v>
      </c>
      <c r="P564" t="n">
        <v>0</v>
      </c>
      <c r="Q564" t="n">
        <v>0</v>
      </c>
      <c r="R564" s="2" t="inlineStr"/>
    </row>
    <row r="565" ht="15" customHeight="1">
      <c r="A565" t="inlineStr">
        <is>
          <t>A 64212-2021</t>
        </is>
      </c>
      <c r="B565" s="1" t="n">
        <v>44510</v>
      </c>
      <c r="C565" s="1" t="n">
        <v>46050</v>
      </c>
      <c r="D565" t="inlineStr">
        <is>
          <t>STOCKHOLMS LÄN</t>
        </is>
      </c>
      <c r="E565" t="inlineStr">
        <is>
          <t>NORRTÄLJE</t>
        </is>
      </c>
      <c r="G565" t="n">
        <v>28.7</v>
      </c>
      <c r="H565" t="n">
        <v>0</v>
      </c>
      <c r="I565" t="n">
        <v>0</v>
      </c>
      <c r="J565" t="n">
        <v>0</v>
      </c>
      <c r="K565" t="n">
        <v>0</v>
      </c>
      <c r="L565" t="n">
        <v>0</v>
      </c>
      <c r="M565" t="n">
        <v>0</v>
      </c>
      <c r="N565" t="n">
        <v>0</v>
      </c>
      <c r="O565" t="n">
        <v>0</v>
      </c>
      <c r="P565" t="n">
        <v>0</v>
      </c>
      <c r="Q565" t="n">
        <v>0</v>
      </c>
      <c r="R565" s="2" t="inlineStr"/>
    </row>
    <row r="566" ht="15" customHeight="1">
      <c r="A566" t="inlineStr">
        <is>
          <t>A 47349-2021</t>
        </is>
      </c>
      <c r="B566" s="1" t="n">
        <v>44447</v>
      </c>
      <c r="C566" s="1" t="n">
        <v>46050</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46050</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71317-2021</t>
        </is>
      </c>
      <c r="B568" s="1" t="n">
        <v>44539.68760416667</v>
      </c>
      <c r="C568" s="1" t="n">
        <v>46050</v>
      </c>
      <c r="D568" t="inlineStr">
        <is>
          <t>STOCKHOLMS LÄN</t>
        </is>
      </c>
      <c r="E568" t="inlineStr">
        <is>
          <t>VÄRMDÖ</t>
        </is>
      </c>
      <c r="F568" t="inlineStr">
        <is>
          <t>Övriga Aktiebolag</t>
        </is>
      </c>
      <c r="G568" t="n">
        <v>2.7</v>
      </c>
      <c r="H568" t="n">
        <v>0</v>
      </c>
      <c r="I568" t="n">
        <v>0</v>
      </c>
      <c r="J568" t="n">
        <v>0</v>
      </c>
      <c r="K568" t="n">
        <v>0</v>
      </c>
      <c r="L568" t="n">
        <v>0</v>
      </c>
      <c r="M568" t="n">
        <v>0</v>
      </c>
      <c r="N568" t="n">
        <v>0</v>
      </c>
      <c r="O568" t="n">
        <v>0</v>
      </c>
      <c r="P568" t="n">
        <v>0</v>
      </c>
      <c r="Q568" t="n">
        <v>0</v>
      </c>
      <c r="R568" s="2" t="inlineStr"/>
    </row>
    <row r="569" ht="15" customHeight="1">
      <c r="A569" t="inlineStr">
        <is>
          <t>A 36565-2021</t>
        </is>
      </c>
      <c r="B569" s="1" t="n">
        <v>44391.5580787037</v>
      </c>
      <c r="C569" s="1" t="n">
        <v>46050</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2867-2022</t>
        </is>
      </c>
      <c r="B570" s="1" t="n">
        <v>44581</v>
      </c>
      <c r="C570" s="1" t="n">
        <v>46050</v>
      </c>
      <c r="D570" t="inlineStr">
        <is>
          <t>STOCKHOLMS LÄN</t>
        </is>
      </c>
      <c r="E570" t="inlineStr">
        <is>
          <t>VALLENTUNA</t>
        </is>
      </c>
      <c r="G570" t="n">
        <v>1.6</v>
      </c>
      <c r="H570" t="n">
        <v>0</v>
      </c>
      <c r="I570" t="n">
        <v>0</v>
      </c>
      <c r="J570" t="n">
        <v>0</v>
      </c>
      <c r="K570" t="n">
        <v>0</v>
      </c>
      <c r="L570" t="n">
        <v>0</v>
      </c>
      <c r="M570" t="n">
        <v>0</v>
      </c>
      <c r="N570" t="n">
        <v>0</v>
      </c>
      <c r="O570" t="n">
        <v>0</v>
      </c>
      <c r="P570" t="n">
        <v>0</v>
      </c>
      <c r="Q570" t="n">
        <v>0</v>
      </c>
      <c r="R570" s="2" t="inlineStr"/>
    </row>
    <row r="571" ht="15" customHeight="1">
      <c r="A571" t="inlineStr">
        <is>
          <t>A 44274-2021</t>
        </is>
      </c>
      <c r="B571" s="1" t="n">
        <v>44435</v>
      </c>
      <c r="C571" s="1" t="n">
        <v>46050</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46050</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15609-2021</t>
        </is>
      </c>
      <c r="B573" s="1" t="n">
        <v>44285</v>
      </c>
      <c r="C573" s="1" t="n">
        <v>46050</v>
      </c>
      <c r="D573" t="inlineStr">
        <is>
          <t>STOCKHOLMS LÄN</t>
        </is>
      </c>
      <c r="E573" t="inlineStr">
        <is>
          <t>NYNÄSHAMN</t>
        </is>
      </c>
      <c r="F573" t="inlineStr">
        <is>
          <t>Kommuner</t>
        </is>
      </c>
      <c r="G573" t="n">
        <v>9.6</v>
      </c>
      <c r="H573" t="n">
        <v>0</v>
      </c>
      <c r="I573" t="n">
        <v>0</v>
      </c>
      <c r="J573" t="n">
        <v>0</v>
      </c>
      <c r="K573" t="n">
        <v>0</v>
      </c>
      <c r="L573" t="n">
        <v>0</v>
      </c>
      <c r="M573" t="n">
        <v>0</v>
      </c>
      <c r="N573" t="n">
        <v>0</v>
      </c>
      <c r="O573" t="n">
        <v>0</v>
      </c>
      <c r="P573" t="n">
        <v>0</v>
      </c>
      <c r="Q573" t="n">
        <v>0</v>
      </c>
      <c r="R573" s="2" t="inlineStr"/>
    </row>
    <row r="574" ht="15" customHeight="1">
      <c r="A574" t="inlineStr">
        <is>
          <t>A 36111-2021</t>
        </is>
      </c>
      <c r="B574" s="1" t="n">
        <v>44389.5421875</v>
      </c>
      <c r="C574" s="1" t="n">
        <v>46050</v>
      </c>
      <c r="D574" t="inlineStr">
        <is>
          <t>STOCKHOLMS LÄN</t>
        </is>
      </c>
      <c r="E574" t="inlineStr">
        <is>
          <t>UPPLANDS-BRO</t>
        </is>
      </c>
      <c r="G574" t="n">
        <v>0.8</v>
      </c>
      <c r="H574" t="n">
        <v>0</v>
      </c>
      <c r="I574" t="n">
        <v>0</v>
      </c>
      <c r="J574" t="n">
        <v>0</v>
      </c>
      <c r="K574" t="n">
        <v>0</v>
      </c>
      <c r="L574" t="n">
        <v>0</v>
      </c>
      <c r="M574" t="n">
        <v>0</v>
      </c>
      <c r="N574" t="n">
        <v>0</v>
      </c>
      <c r="O574" t="n">
        <v>0</v>
      </c>
      <c r="P574" t="n">
        <v>0</v>
      </c>
      <c r="Q574" t="n">
        <v>0</v>
      </c>
      <c r="R574" s="2" t="inlineStr"/>
    </row>
    <row r="575" ht="15" customHeight="1">
      <c r="A575" t="inlineStr">
        <is>
          <t>A 39073-2021</t>
        </is>
      </c>
      <c r="B575" s="1" t="n">
        <v>44412.5749537037</v>
      </c>
      <c r="C575" s="1" t="n">
        <v>46050</v>
      </c>
      <c r="D575" t="inlineStr">
        <is>
          <t>STOCKHOLMS LÄN</t>
        </is>
      </c>
      <c r="E575" t="inlineStr">
        <is>
          <t>VÄRMDÖ</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16085-2021</t>
        </is>
      </c>
      <c r="B576" s="1" t="n">
        <v>44288</v>
      </c>
      <c r="C576" s="1" t="n">
        <v>46050</v>
      </c>
      <c r="D576" t="inlineStr">
        <is>
          <t>STOCKHOLMS LÄN</t>
        </is>
      </c>
      <c r="E576" t="inlineStr">
        <is>
          <t>VÄRMDÖ</t>
        </is>
      </c>
      <c r="G576" t="n">
        <v>4.4</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46050</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11713-2021</t>
        </is>
      </c>
      <c r="B578" s="1" t="n">
        <v>44265.30173611111</v>
      </c>
      <c r="C578" s="1" t="n">
        <v>46050</v>
      </c>
      <c r="D578" t="inlineStr">
        <is>
          <t>STOCKHOLMS LÄN</t>
        </is>
      </c>
      <c r="E578" t="inlineStr">
        <is>
          <t>SIGTUNA</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50970-2022</t>
        </is>
      </c>
      <c r="B579" s="1" t="n">
        <v>44867</v>
      </c>
      <c r="C579" s="1" t="n">
        <v>46050</v>
      </c>
      <c r="D579" t="inlineStr">
        <is>
          <t>STOCKHOLMS LÄN</t>
        </is>
      </c>
      <c r="E579" t="inlineStr">
        <is>
          <t>NORRTÄLJE</t>
        </is>
      </c>
      <c r="G579" t="n">
        <v>9</v>
      </c>
      <c r="H579" t="n">
        <v>0</v>
      </c>
      <c r="I579" t="n">
        <v>0</v>
      </c>
      <c r="J579" t="n">
        <v>0</v>
      </c>
      <c r="K579" t="n">
        <v>0</v>
      </c>
      <c r="L579" t="n">
        <v>0</v>
      </c>
      <c r="M579" t="n">
        <v>0</v>
      </c>
      <c r="N579" t="n">
        <v>0</v>
      </c>
      <c r="O579" t="n">
        <v>0</v>
      </c>
      <c r="P579" t="n">
        <v>0</v>
      </c>
      <c r="Q579" t="n">
        <v>0</v>
      </c>
      <c r="R579" s="2" t="inlineStr"/>
    </row>
    <row r="580" ht="15" customHeight="1">
      <c r="A580" t="inlineStr">
        <is>
          <t>A 48667-2022</t>
        </is>
      </c>
      <c r="B580" s="1" t="n">
        <v>44859</v>
      </c>
      <c r="C580" s="1" t="n">
        <v>46050</v>
      </c>
      <c r="D580" t="inlineStr">
        <is>
          <t>STOCKHOLMS LÄN</t>
        </is>
      </c>
      <c r="E580" t="inlineStr">
        <is>
          <t>BOTKYRKA</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1053-2022</t>
        </is>
      </c>
      <c r="B581" s="1" t="n">
        <v>44571</v>
      </c>
      <c r="C581" s="1" t="n">
        <v>46050</v>
      </c>
      <c r="D581" t="inlineStr">
        <is>
          <t>STOCKHOLMS LÄN</t>
        </is>
      </c>
      <c r="E581" t="inlineStr">
        <is>
          <t>UPPLANDS VÄSBY</t>
        </is>
      </c>
      <c r="G581" t="n">
        <v>1.7</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46050</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46050</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46050</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46050</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55853-2021</t>
        </is>
      </c>
      <c r="B586" s="1" t="n">
        <v>44476</v>
      </c>
      <c r="C586" s="1" t="n">
        <v>46050</v>
      </c>
      <c r="D586" t="inlineStr">
        <is>
          <t>STOCKHOLMS LÄN</t>
        </is>
      </c>
      <c r="E586" t="inlineStr">
        <is>
          <t>HANINGE</t>
        </is>
      </c>
      <c r="F586" t="inlineStr">
        <is>
          <t>Kommuner</t>
        </is>
      </c>
      <c r="G586" t="n">
        <v>1.3</v>
      </c>
      <c r="H586" t="n">
        <v>0</v>
      </c>
      <c r="I586" t="n">
        <v>0</v>
      </c>
      <c r="J586" t="n">
        <v>0</v>
      </c>
      <c r="K586" t="n">
        <v>0</v>
      </c>
      <c r="L586" t="n">
        <v>0</v>
      </c>
      <c r="M586" t="n">
        <v>0</v>
      </c>
      <c r="N586" t="n">
        <v>0</v>
      </c>
      <c r="O586" t="n">
        <v>0</v>
      </c>
      <c r="P586" t="n">
        <v>0</v>
      </c>
      <c r="Q586" t="n">
        <v>0</v>
      </c>
      <c r="R586" s="2" t="inlineStr"/>
    </row>
    <row r="587" ht="15" customHeight="1">
      <c r="A587" t="inlineStr">
        <is>
          <t>A 60209-2021</t>
        </is>
      </c>
      <c r="B587" s="1" t="n">
        <v>44495</v>
      </c>
      <c r="C587" s="1" t="n">
        <v>46050</v>
      </c>
      <c r="D587" t="inlineStr">
        <is>
          <t>STOCKHOLMS LÄN</t>
        </is>
      </c>
      <c r="E587" t="inlineStr">
        <is>
          <t>NORRTÄLJE</t>
        </is>
      </c>
      <c r="G587" t="n">
        <v>4.3</v>
      </c>
      <c r="H587" t="n">
        <v>0</v>
      </c>
      <c r="I587" t="n">
        <v>0</v>
      </c>
      <c r="J587" t="n">
        <v>0</v>
      </c>
      <c r="K587" t="n">
        <v>0</v>
      </c>
      <c r="L587" t="n">
        <v>0</v>
      </c>
      <c r="M587" t="n">
        <v>0</v>
      </c>
      <c r="N587" t="n">
        <v>0</v>
      </c>
      <c r="O587" t="n">
        <v>0</v>
      </c>
      <c r="P587" t="n">
        <v>0</v>
      </c>
      <c r="Q587" t="n">
        <v>0</v>
      </c>
      <c r="R587" s="2" t="inlineStr"/>
    </row>
    <row r="588" ht="15" customHeight="1">
      <c r="A588" t="inlineStr">
        <is>
          <t>A 17803-2022</t>
        </is>
      </c>
      <c r="B588" s="1" t="n">
        <v>44683</v>
      </c>
      <c r="C588" s="1" t="n">
        <v>46050</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15926-2021</t>
        </is>
      </c>
      <c r="B589" s="1" t="n">
        <v>44287</v>
      </c>
      <c r="C589" s="1" t="n">
        <v>46050</v>
      </c>
      <c r="D589" t="inlineStr">
        <is>
          <t>STOCKHOLMS LÄN</t>
        </is>
      </c>
      <c r="E589" t="inlineStr">
        <is>
          <t>VÄRMDÖ</t>
        </is>
      </c>
      <c r="G589" t="n">
        <v>4.2</v>
      </c>
      <c r="H589" t="n">
        <v>0</v>
      </c>
      <c r="I589" t="n">
        <v>0</v>
      </c>
      <c r="J589" t="n">
        <v>0</v>
      </c>
      <c r="K589" t="n">
        <v>0</v>
      </c>
      <c r="L589" t="n">
        <v>0</v>
      </c>
      <c r="M589" t="n">
        <v>0</v>
      </c>
      <c r="N589" t="n">
        <v>0</v>
      </c>
      <c r="O589" t="n">
        <v>0</v>
      </c>
      <c r="P589" t="n">
        <v>0</v>
      </c>
      <c r="Q589" t="n">
        <v>0</v>
      </c>
      <c r="R589" s="2" t="inlineStr"/>
    </row>
    <row r="590" ht="15" customHeight="1">
      <c r="A590" t="inlineStr">
        <is>
          <t>A 27747-2021</t>
        </is>
      </c>
      <c r="B590" s="1" t="n">
        <v>44354</v>
      </c>
      <c r="C590" s="1" t="n">
        <v>46050</v>
      </c>
      <c r="D590" t="inlineStr">
        <is>
          <t>STOCKHOLMS LÄN</t>
        </is>
      </c>
      <c r="E590" t="inlineStr">
        <is>
          <t>SÖDERTÄLJE</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32561-2021</t>
        </is>
      </c>
      <c r="B591" s="1" t="n">
        <v>44375</v>
      </c>
      <c r="C591" s="1" t="n">
        <v>46050</v>
      </c>
      <c r="D591" t="inlineStr">
        <is>
          <t>STOCKHOLMS LÄN</t>
        </is>
      </c>
      <c r="E591" t="inlineStr">
        <is>
          <t>NORRTÄLJE</t>
        </is>
      </c>
      <c r="G591" t="n">
        <v>3.4</v>
      </c>
      <c r="H591" t="n">
        <v>0</v>
      </c>
      <c r="I591" t="n">
        <v>0</v>
      </c>
      <c r="J591" t="n">
        <v>0</v>
      </c>
      <c r="K591" t="n">
        <v>0</v>
      </c>
      <c r="L591" t="n">
        <v>0</v>
      </c>
      <c r="M591" t="n">
        <v>0</v>
      </c>
      <c r="N591" t="n">
        <v>0</v>
      </c>
      <c r="O591" t="n">
        <v>0</v>
      </c>
      <c r="P591" t="n">
        <v>0</v>
      </c>
      <c r="Q591" t="n">
        <v>0</v>
      </c>
      <c r="R591" s="2" t="inlineStr"/>
    </row>
    <row r="592" ht="15" customHeight="1">
      <c r="A592" t="inlineStr">
        <is>
          <t>A 24656-2022</t>
        </is>
      </c>
      <c r="B592" s="1" t="n">
        <v>44726</v>
      </c>
      <c r="C592" s="1" t="n">
        <v>46050</v>
      </c>
      <c r="D592" t="inlineStr">
        <is>
          <t>STOCKHOLMS LÄN</t>
        </is>
      </c>
      <c r="E592" t="inlineStr">
        <is>
          <t>NYKVARN</t>
        </is>
      </c>
      <c r="G592" t="n">
        <v>1.2</v>
      </c>
      <c r="H592" t="n">
        <v>0</v>
      </c>
      <c r="I592" t="n">
        <v>0</v>
      </c>
      <c r="J592" t="n">
        <v>0</v>
      </c>
      <c r="K592" t="n">
        <v>0</v>
      </c>
      <c r="L592" t="n">
        <v>0</v>
      </c>
      <c r="M592" t="n">
        <v>0</v>
      </c>
      <c r="N592" t="n">
        <v>0</v>
      </c>
      <c r="O592" t="n">
        <v>0</v>
      </c>
      <c r="P592" t="n">
        <v>0</v>
      </c>
      <c r="Q592" t="n">
        <v>0</v>
      </c>
      <c r="R592" s="2" t="inlineStr"/>
    </row>
    <row r="593" ht="15" customHeight="1">
      <c r="A593" t="inlineStr">
        <is>
          <t>A 71325-2021</t>
        </is>
      </c>
      <c r="B593" s="1" t="n">
        <v>44539</v>
      </c>
      <c r="C593" s="1" t="n">
        <v>46050</v>
      </c>
      <c r="D593" t="inlineStr">
        <is>
          <t>STOCKHOLMS LÄN</t>
        </is>
      </c>
      <c r="E593" t="inlineStr">
        <is>
          <t>NORRTÄLJE</t>
        </is>
      </c>
      <c r="G593" t="n">
        <v>2.1</v>
      </c>
      <c r="H593" t="n">
        <v>0</v>
      </c>
      <c r="I593" t="n">
        <v>0</v>
      </c>
      <c r="J593" t="n">
        <v>0</v>
      </c>
      <c r="K593" t="n">
        <v>0</v>
      </c>
      <c r="L593" t="n">
        <v>0</v>
      </c>
      <c r="M593" t="n">
        <v>0</v>
      </c>
      <c r="N593" t="n">
        <v>0</v>
      </c>
      <c r="O593" t="n">
        <v>0</v>
      </c>
      <c r="P593" t="n">
        <v>0</v>
      </c>
      <c r="Q593" t="n">
        <v>0</v>
      </c>
      <c r="R593" s="2" t="inlineStr"/>
    </row>
    <row r="594" ht="15" customHeight="1">
      <c r="A594" t="inlineStr">
        <is>
          <t>A 19934-2022</t>
        </is>
      </c>
      <c r="B594" s="1" t="n">
        <v>44697.46248842592</v>
      </c>
      <c r="C594" s="1" t="n">
        <v>46050</v>
      </c>
      <c r="D594" t="inlineStr">
        <is>
          <t>STOCKHOLMS LÄN</t>
        </is>
      </c>
      <c r="E594" t="inlineStr">
        <is>
          <t>ÖSTERÅKER</t>
        </is>
      </c>
      <c r="G594" t="n">
        <v>0.3</v>
      </c>
      <c r="H594" t="n">
        <v>0</v>
      </c>
      <c r="I594" t="n">
        <v>0</v>
      </c>
      <c r="J594" t="n">
        <v>0</v>
      </c>
      <c r="K594" t="n">
        <v>0</v>
      </c>
      <c r="L594" t="n">
        <v>0</v>
      </c>
      <c r="M594" t="n">
        <v>0</v>
      </c>
      <c r="N594" t="n">
        <v>0</v>
      </c>
      <c r="O594" t="n">
        <v>0</v>
      </c>
      <c r="P594" t="n">
        <v>0</v>
      </c>
      <c r="Q594" t="n">
        <v>0</v>
      </c>
      <c r="R594" s="2" t="inlineStr"/>
    </row>
    <row r="595" ht="15" customHeight="1">
      <c r="A595" t="inlineStr">
        <is>
          <t>A 19944-2022</t>
        </is>
      </c>
      <c r="B595" s="1" t="n">
        <v>44697.47424768518</v>
      </c>
      <c r="C595" s="1" t="n">
        <v>46050</v>
      </c>
      <c r="D595" t="inlineStr">
        <is>
          <t>STOCKHOLMS LÄN</t>
        </is>
      </c>
      <c r="E595" t="inlineStr">
        <is>
          <t>ÖSTERÅKER</t>
        </is>
      </c>
      <c r="G595" t="n">
        <v>3.5</v>
      </c>
      <c r="H595" t="n">
        <v>0</v>
      </c>
      <c r="I595" t="n">
        <v>0</v>
      </c>
      <c r="J595" t="n">
        <v>0</v>
      </c>
      <c r="K595" t="n">
        <v>0</v>
      </c>
      <c r="L595" t="n">
        <v>0</v>
      </c>
      <c r="M595" t="n">
        <v>0</v>
      </c>
      <c r="N595" t="n">
        <v>0</v>
      </c>
      <c r="O595" t="n">
        <v>0</v>
      </c>
      <c r="P595" t="n">
        <v>0</v>
      </c>
      <c r="Q595" t="n">
        <v>0</v>
      </c>
      <c r="R595" s="2" t="inlineStr"/>
    </row>
    <row r="596" ht="15" customHeight="1">
      <c r="A596" t="inlineStr">
        <is>
          <t>A 28838-2021</t>
        </is>
      </c>
      <c r="B596" s="1" t="n">
        <v>44357</v>
      </c>
      <c r="C596" s="1" t="n">
        <v>46050</v>
      </c>
      <c r="D596" t="inlineStr">
        <is>
          <t>STOCKHOLMS LÄN</t>
        </is>
      </c>
      <c r="E596" t="inlineStr">
        <is>
          <t>SALEM</t>
        </is>
      </c>
      <c r="G596" t="n">
        <v>6.4</v>
      </c>
      <c r="H596" t="n">
        <v>0</v>
      </c>
      <c r="I596" t="n">
        <v>0</v>
      </c>
      <c r="J596" t="n">
        <v>0</v>
      </c>
      <c r="K596" t="n">
        <v>0</v>
      </c>
      <c r="L596" t="n">
        <v>0</v>
      </c>
      <c r="M596" t="n">
        <v>0</v>
      </c>
      <c r="N596" t="n">
        <v>0</v>
      </c>
      <c r="O596" t="n">
        <v>0</v>
      </c>
      <c r="P596" t="n">
        <v>0</v>
      </c>
      <c r="Q596" t="n">
        <v>0</v>
      </c>
      <c r="R596" s="2" t="inlineStr"/>
    </row>
    <row r="597" ht="15" customHeight="1">
      <c r="A597" t="inlineStr">
        <is>
          <t>A 65611-2021</t>
        </is>
      </c>
      <c r="B597" s="1" t="n">
        <v>44516.5275462963</v>
      </c>
      <c r="C597" s="1" t="n">
        <v>46050</v>
      </c>
      <c r="D597" t="inlineStr">
        <is>
          <t>STOCKHOLMS LÄN</t>
        </is>
      </c>
      <c r="E597" t="inlineStr">
        <is>
          <t>NORRTÄLJE</t>
        </is>
      </c>
      <c r="G597" t="n">
        <v>2.5</v>
      </c>
      <c r="H597" t="n">
        <v>0</v>
      </c>
      <c r="I597" t="n">
        <v>0</v>
      </c>
      <c r="J597" t="n">
        <v>0</v>
      </c>
      <c r="K597" t="n">
        <v>0</v>
      </c>
      <c r="L597" t="n">
        <v>0</v>
      </c>
      <c r="M597" t="n">
        <v>0</v>
      </c>
      <c r="N597" t="n">
        <v>0</v>
      </c>
      <c r="O597" t="n">
        <v>0</v>
      </c>
      <c r="P597" t="n">
        <v>0</v>
      </c>
      <c r="Q597" t="n">
        <v>0</v>
      </c>
      <c r="R597" s="2" t="inlineStr"/>
    </row>
    <row r="598" ht="15" customHeight="1">
      <c r="A598" t="inlineStr">
        <is>
          <t>A 60813-2021</t>
        </is>
      </c>
      <c r="B598" s="1" t="n">
        <v>44496</v>
      </c>
      <c r="C598" s="1" t="n">
        <v>46050</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46050</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17460-2021</t>
        </is>
      </c>
      <c r="B600" s="1" t="n">
        <v>44299</v>
      </c>
      <c r="C600" s="1" t="n">
        <v>46050</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39497-2021</t>
        </is>
      </c>
      <c r="B601" s="1" t="n">
        <v>44414.81494212963</v>
      </c>
      <c r="C601" s="1" t="n">
        <v>46050</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20641-2022</t>
        </is>
      </c>
      <c r="B602" s="1" t="n">
        <v>44700</v>
      </c>
      <c r="C602" s="1" t="n">
        <v>46050</v>
      </c>
      <c r="D602" t="inlineStr">
        <is>
          <t>STOCKHOLMS LÄN</t>
        </is>
      </c>
      <c r="E602" t="inlineStr">
        <is>
          <t>VÄRMDÖ</t>
        </is>
      </c>
      <c r="G602" t="n">
        <v>1.3</v>
      </c>
      <c r="H602" t="n">
        <v>0</v>
      </c>
      <c r="I602" t="n">
        <v>0</v>
      </c>
      <c r="J602" t="n">
        <v>0</v>
      </c>
      <c r="K602" t="n">
        <v>0</v>
      </c>
      <c r="L602" t="n">
        <v>0</v>
      </c>
      <c r="M602" t="n">
        <v>0</v>
      </c>
      <c r="N602" t="n">
        <v>0</v>
      </c>
      <c r="O602" t="n">
        <v>0</v>
      </c>
      <c r="P602" t="n">
        <v>0</v>
      </c>
      <c r="Q602" t="n">
        <v>0</v>
      </c>
      <c r="R602" s="2" t="inlineStr"/>
    </row>
    <row r="603" ht="15" customHeight="1">
      <c r="A603" t="inlineStr">
        <is>
          <t>A 17835-2021</t>
        </is>
      </c>
      <c r="B603" s="1" t="n">
        <v>44300</v>
      </c>
      <c r="C603" s="1" t="n">
        <v>46050</v>
      </c>
      <c r="D603" t="inlineStr">
        <is>
          <t>STOCKHOLMS LÄN</t>
        </is>
      </c>
      <c r="E603" t="inlineStr">
        <is>
          <t>NYNÄSHAMN</t>
        </is>
      </c>
      <c r="G603" t="n">
        <v>0.7</v>
      </c>
      <c r="H603" t="n">
        <v>0</v>
      </c>
      <c r="I603" t="n">
        <v>0</v>
      </c>
      <c r="J603" t="n">
        <v>0</v>
      </c>
      <c r="K603" t="n">
        <v>0</v>
      </c>
      <c r="L603" t="n">
        <v>0</v>
      </c>
      <c r="M603" t="n">
        <v>0</v>
      </c>
      <c r="N603" t="n">
        <v>0</v>
      </c>
      <c r="O603" t="n">
        <v>0</v>
      </c>
      <c r="P603" t="n">
        <v>0</v>
      </c>
      <c r="Q603" t="n">
        <v>0</v>
      </c>
      <c r="R603" s="2" t="inlineStr"/>
    </row>
    <row r="604" ht="15" customHeight="1">
      <c r="A604" t="inlineStr">
        <is>
          <t>A 45395-2021</t>
        </is>
      </c>
      <c r="B604" s="1" t="n">
        <v>44440</v>
      </c>
      <c r="C604" s="1" t="n">
        <v>46050</v>
      </c>
      <c r="D604" t="inlineStr">
        <is>
          <t>STOCKHOLMS LÄN</t>
        </is>
      </c>
      <c r="E604" t="inlineStr">
        <is>
          <t>HANINGE</t>
        </is>
      </c>
      <c r="F604" t="inlineStr">
        <is>
          <t>Övriga statliga verk och myndigheter</t>
        </is>
      </c>
      <c r="G604" t="n">
        <v>3.5</v>
      </c>
      <c r="H604" t="n">
        <v>0</v>
      </c>
      <c r="I604" t="n">
        <v>0</v>
      </c>
      <c r="J604" t="n">
        <v>0</v>
      </c>
      <c r="K604" t="n">
        <v>0</v>
      </c>
      <c r="L604" t="n">
        <v>0</v>
      </c>
      <c r="M604" t="n">
        <v>0</v>
      </c>
      <c r="N604" t="n">
        <v>0</v>
      </c>
      <c r="O604" t="n">
        <v>0</v>
      </c>
      <c r="P604" t="n">
        <v>0</v>
      </c>
      <c r="Q604" t="n">
        <v>0</v>
      </c>
      <c r="R604" s="2" t="inlineStr"/>
    </row>
    <row r="605" ht="15" customHeight="1">
      <c r="A605" t="inlineStr">
        <is>
          <t>A 865-2022</t>
        </is>
      </c>
      <c r="B605" s="1" t="n">
        <v>44569</v>
      </c>
      <c r="C605" s="1" t="n">
        <v>46050</v>
      </c>
      <c r="D605" t="inlineStr">
        <is>
          <t>STOCKHOLMS LÄN</t>
        </is>
      </c>
      <c r="E605" t="inlineStr">
        <is>
          <t>ÖSTERÅKER</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46050</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838-2022</t>
        </is>
      </c>
      <c r="B607" s="1" t="n">
        <v>44569</v>
      </c>
      <c r="C607" s="1" t="n">
        <v>46050</v>
      </c>
      <c r="D607" t="inlineStr">
        <is>
          <t>STOCKHOLMS LÄN</t>
        </is>
      </c>
      <c r="E607" t="inlineStr">
        <is>
          <t>ÖSTERÅKER</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50117-2021</t>
        </is>
      </c>
      <c r="B608" s="1" t="n">
        <v>44456.64810185185</v>
      </c>
      <c r="C608" s="1" t="n">
        <v>46050</v>
      </c>
      <c r="D608" t="inlineStr">
        <is>
          <t>STOCKHOLMS LÄN</t>
        </is>
      </c>
      <c r="E608" t="inlineStr">
        <is>
          <t>SÖDERTÄLJE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72097-2021</t>
        </is>
      </c>
      <c r="B609" s="1" t="n">
        <v>44544</v>
      </c>
      <c r="C609" s="1" t="n">
        <v>46050</v>
      </c>
      <c r="D609" t="inlineStr">
        <is>
          <t>STOCKHOLMS LÄN</t>
        </is>
      </c>
      <c r="E609" t="inlineStr">
        <is>
          <t>VÄRMDÖ</t>
        </is>
      </c>
      <c r="G609" t="n">
        <v>4.1</v>
      </c>
      <c r="H609" t="n">
        <v>0</v>
      </c>
      <c r="I609" t="n">
        <v>0</v>
      </c>
      <c r="J609" t="n">
        <v>0</v>
      </c>
      <c r="K609" t="n">
        <v>0</v>
      </c>
      <c r="L609" t="n">
        <v>0</v>
      </c>
      <c r="M609" t="n">
        <v>0</v>
      </c>
      <c r="N609" t="n">
        <v>0</v>
      </c>
      <c r="O609" t="n">
        <v>0</v>
      </c>
      <c r="P609" t="n">
        <v>0</v>
      </c>
      <c r="Q609" t="n">
        <v>0</v>
      </c>
      <c r="R609" s="2" t="inlineStr"/>
    </row>
    <row r="610" ht="15" customHeight="1">
      <c r="A610" t="inlineStr">
        <is>
          <t>A 53090-2021</t>
        </is>
      </c>
      <c r="B610" s="1" t="n">
        <v>44467</v>
      </c>
      <c r="C610" s="1" t="n">
        <v>46050</v>
      </c>
      <c r="D610" t="inlineStr">
        <is>
          <t>STOCKHOLMS LÄN</t>
        </is>
      </c>
      <c r="E610" t="inlineStr">
        <is>
          <t>SIGTUNA</t>
        </is>
      </c>
      <c r="G610" t="n">
        <v>0.7</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46050</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22316-2022</t>
        </is>
      </c>
      <c r="B612" s="1" t="n">
        <v>44712.83118055556</v>
      </c>
      <c r="C612" s="1" t="n">
        <v>46050</v>
      </c>
      <c r="D612" t="inlineStr">
        <is>
          <t>STOCKHOLMS LÄN</t>
        </is>
      </c>
      <c r="E612" t="inlineStr">
        <is>
          <t>NORRTÄLJE</t>
        </is>
      </c>
      <c r="G612" t="n">
        <v>6.3</v>
      </c>
      <c r="H612" t="n">
        <v>0</v>
      </c>
      <c r="I612" t="n">
        <v>0</v>
      </c>
      <c r="J612" t="n">
        <v>0</v>
      </c>
      <c r="K612" t="n">
        <v>0</v>
      </c>
      <c r="L612" t="n">
        <v>0</v>
      </c>
      <c r="M612" t="n">
        <v>0</v>
      </c>
      <c r="N612" t="n">
        <v>0</v>
      </c>
      <c r="O612" t="n">
        <v>0</v>
      </c>
      <c r="P612" t="n">
        <v>0</v>
      </c>
      <c r="Q612" t="n">
        <v>0</v>
      </c>
      <c r="R612" s="2" t="inlineStr"/>
    </row>
    <row r="613" ht="15" customHeight="1">
      <c r="A613" t="inlineStr">
        <is>
          <t>A 7276-2022</t>
        </is>
      </c>
      <c r="B613" s="1" t="n">
        <v>44606</v>
      </c>
      <c r="C613" s="1" t="n">
        <v>46050</v>
      </c>
      <c r="D613" t="inlineStr">
        <is>
          <t>STOCKHOLMS LÄN</t>
        </is>
      </c>
      <c r="E613" t="inlineStr">
        <is>
          <t>VALLENTUNA</t>
        </is>
      </c>
      <c r="G613" t="n">
        <v>1.7</v>
      </c>
      <c r="H613" t="n">
        <v>0</v>
      </c>
      <c r="I613" t="n">
        <v>0</v>
      </c>
      <c r="J613" t="n">
        <v>0</v>
      </c>
      <c r="K613" t="n">
        <v>0</v>
      </c>
      <c r="L613" t="n">
        <v>0</v>
      </c>
      <c r="M613" t="n">
        <v>0</v>
      </c>
      <c r="N613" t="n">
        <v>0</v>
      </c>
      <c r="O613" t="n">
        <v>0</v>
      </c>
      <c r="P613" t="n">
        <v>0</v>
      </c>
      <c r="Q613" t="n">
        <v>0</v>
      </c>
      <c r="R613" s="2" t="inlineStr"/>
    </row>
    <row r="614" ht="15" customHeight="1">
      <c r="A614" t="inlineStr">
        <is>
          <t>A 31092-2022</t>
        </is>
      </c>
      <c r="B614" s="1" t="n">
        <v>44769.62320601852</v>
      </c>
      <c r="C614" s="1" t="n">
        <v>46050</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31697-2022</t>
        </is>
      </c>
      <c r="B615" s="1" t="n">
        <v>44776</v>
      </c>
      <c r="C615" s="1" t="n">
        <v>46050</v>
      </c>
      <c r="D615" t="inlineStr">
        <is>
          <t>STOCKHOLMS LÄN</t>
        </is>
      </c>
      <c r="E615" t="inlineStr">
        <is>
          <t>SIGTUNA</t>
        </is>
      </c>
      <c r="F615" t="inlineStr">
        <is>
          <t>Kommuner</t>
        </is>
      </c>
      <c r="G615" t="n">
        <v>1.1</v>
      </c>
      <c r="H615" t="n">
        <v>0</v>
      </c>
      <c r="I615" t="n">
        <v>0</v>
      </c>
      <c r="J615" t="n">
        <v>0</v>
      </c>
      <c r="K615" t="n">
        <v>0</v>
      </c>
      <c r="L615" t="n">
        <v>0</v>
      </c>
      <c r="M615" t="n">
        <v>0</v>
      </c>
      <c r="N615" t="n">
        <v>0</v>
      </c>
      <c r="O615" t="n">
        <v>0</v>
      </c>
      <c r="P615" t="n">
        <v>0</v>
      </c>
      <c r="Q615" t="n">
        <v>0</v>
      </c>
      <c r="R615" s="2" t="inlineStr"/>
    </row>
    <row r="616" ht="15" customHeight="1">
      <c r="A616" t="inlineStr">
        <is>
          <t>A 21913-2021</t>
        </is>
      </c>
      <c r="B616" s="1" t="n">
        <v>44322.75940972222</v>
      </c>
      <c r="C616" s="1" t="n">
        <v>46050</v>
      </c>
      <c r="D616" t="inlineStr">
        <is>
          <t>STOCKHOLMS LÄN</t>
        </is>
      </c>
      <c r="E616" t="inlineStr">
        <is>
          <t>NYKVARN</t>
        </is>
      </c>
      <c r="G616" t="n">
        <v>1.5</v>
      </c>
      <c r="H616" t="n">
        <v>0</v>
      </c>
      <c r="I616" t="n">
        <v>0</v>
      </c>
      <c r="J616" t="n">
        <v>0</v>
      </c>
      <c r="K616" t="n">
        <v>0</v>
      </c>
      <c r="L616" t="n">
        <v>0</v>
      </c>
      <c r="M616" t="n">
        <v>0</v>
      </c>
      <c r="N616" t="n">
        <v>0</v>
      </c>
      <c r="O616" t="n">
        <v>0</v>
      </c>
      <c r="P616" t="n">
        <v>0</v>
      </c>
      <c r="Q616" t="n">
        <v>0</v>
      </c>
      <c r="R616" s="2" t="inlineStr"/>
    </row>
    <row r="617" ht="15" customHeight="1">
      <c r="A617" t="inlineStr">
        <is>
          <t>A 25334-2021</t>
        </is>
      </c>
      <c r="B617" s="1" t="n">
        <v>44342</v>
      </c>
      <c r="C617" s="1" t="n">
        <v>46050</v>
      </c>
      <c r="D617" t="inlineStr">
        <is>
          <t>STOCKHOLMS LÄN</t>
        </is>
      </c>
      <c r="E617" t="inlineStr">
        <is>
          <t>NYNÄSHAMN</t>
        </is>
      </c>
      <c r="F617" t="inlineStr">
        <is>
          <t>Kommuner</t>
        </is>
      </c>
      <c r="G617" t="n">
        <v>0.5</v>
      </c>
      <c r="H617" t="n">
        <v>0</v>
      </c>
      <c r="I617" t="n">
        <v>0</v>
      </c>
      <c r="J617" t="n">
        <v>0</v>
      </c>
      <c r="K617" t="n">
        <v>0</v>
      </c>
      <c r="L617" t="n">
        <v>0</v>
      </c>
      <c r="M617" t="n">
        <v>0</v>
      </c>
      <c r="N617" t="n">
        <v>0</v>
      </c>
      <c r="O617" t="n">
        <v>0</v>
      </c>
      <c r="P617" t="n">
        <v>0</v>
      </c>
      <c r="Q617" t="n">
        <v>0</v>
      </c>
      <c r="R617" s="2" t="inlineStr"/>
    </row>
    <row r="618" ht="15" customHeight="1">
      <c r="A618" t="inlineStr">
        <is>
          <t>A 24805-2021</t>
        </is>
      </c>
      <c r="B618" s="1" t="n">
        <v>44340.66033564815</v>
      </c>
      <c r="C618" s="1" t="n">
        <v>46050</v>
      </c>
      <c r="D618" t="inlineStr">
        <is>
          <t>STOCKHOLMS LÄN</t>
        </is>
      </c>
      <c r="E618" t="inlineStr">
        <is>
          <t>NYNÄSHAMN</t>
        </is>
      </c>
      <c r="F618" t="inlineStr">
        <is>
          <t>Kommuner</t>
        </is>
      </c>
      <c r="G618" t="n">
        <v>2</v>
      </c>
      <c r="H618" t="n">
        <v>0</v>
      </c>
      <c r="I618" t="n">
        <v>0</v>
      </c>
      <c r="J618" t="n">
        <v>0</v>
      </c>
      <c r="K618" t="n">
        <v>0</v>
      </c>
      <c r="L618" t="n">
        <v>0</v>
      </c>
      <c r="M618" t="n">
        <v>0</v>
      </c>
      <c r="N618" t="n">
        <v>0</v>
      </c>
      <c r="O618" t="n">
        <v>0</v>
      </c>
      <c r="P618" t="n">
        <v>0</v>
      </c>
      <c r="Q618" t="n">
        <v>0</v>
      </c>
      <c r="R618" s="2" t="inlineStr"/>
    </row>
    <row r="619" ht="15" customHeight="1">
      <c r="A619" t="inlineStr">
        <is>
          <t>A 13351-2021</t>
        </is>
      </c>
      <c r="B619" s="1" t="n">
        <v>44273</v>
      </c>
      <c r="C619" s="1" t="n">
        <v>46050</v>
      </c>
      <c r="D619" t="inlineStr">
        <is>
          <t>STOCKHOLMS LÄN</t>
        </is>
      </c>
      <c r="E619" t="inlineStr">
        <is>
          <t>SALEM</t>
        </is>
      </c>
      <c r="G619" t="n">
        <v>2.6</v>
      </c>
      <c r="H619" t="n">
        <v>0</v>
      </c>
      <c r="I619" t="n">
        <v>0</v>
      </c>
      <c r="J619" t="n">
        <v>0</v>
      </c>
      <c r="K619" t="n">
        <v>0</v>
      </c>
      <c r="L619" t="n">
        <v>0</v>
      </c>
      <c r="M619" t="n">
        <v>0</v>
      </c>
      <c r="N619" t="n">
        <v>0</v>
      </c>
      <c r="O619" t="n">
        <v>0</v>
      </c>
      <c r="P619" t="n">
        <v>0</v>
      </c>
      <c r="Q619" t="n">
        <v>0</v>
      </c>
      <c r="R619" s="2" t="inlineStr"/>
    </row>
    <row r="620" ht="15" customHeight="1">
      <c r="A620" t="inlineStr">
        <is>
          <t>A 11197-2021</t>
        </is>
      </c>
      <c r="B620" s="1" t="n">
        <v>44263.32083333333</v>
      </c>
      <c r="C620" s="1" t="n">
        <v>46050</v>
      </c>
      <c r="D620" t="inlineStr">
        <is>
          <t>STOCKHOLMS LÄN</t>
        </is>
      </c>
      <c r="E620" t="inlineStr">
        <is>
          <t>SIGTUNA</t>
        </is>
      </c>
      <c r="G620" t="n">
        <v>2.5</v>
      </c>
      <c r="H620" t="n">
        <v>0</v>
      </c>
      <c r="I620" t="n">
        <v>0</v>
      </c>
      <c r="J620" t="n">
        <v>0</v>
      </c>
      <c r="K620" t="n">
        <v>0</v>
      </c>
      <c r="L620" t="n">
        <v>0</v>
      </c>
      <c r="M620" t="n">
        <v>0</v>
      </c>
      <c r="N620" t="n">
        <v>0</v>
      </c>
      <c r="O620" t="n">
        <v>0</v>
      </c>
      <c r="P620" t="n">
        <v>0</v>
      </c>
      <c r="Q620" t="n">
        <v>0</v>
      </c>
      <c r="R620" s="2" t="inlineStr"/>
    </row>
    <row r="621" ht="15" customHeight="1">
      <c r="A621" t="inlineStr">
        <is>
          <t>A 9467-2021</t>
        </is>
      </c>
      <c r="B621" s="1" t="n">
        <v>44251.43971064815</v>
      </c>
      <c r="C621" s="1" t="n">
        <v>46050</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32828-2022</t>
        </is>
      </c>
      <c r="B622" s="1" t="n">
        <v>44784</v>
      </c>
      <c r="C622" s="1" t="n">
        <v>46050</v>
      </c>
      <c r="D622" t="inlineStr">
        <is>
          <t>STOCKHOLMS LÄN</t>
        </is>
      </c>
      <c r="E622" t="inlineStr">
        <is>
          <t>BOTKYRKA</t>
        </is>
      </c>
      <c r="F622" t="inlineStr">
        <is>
          <t>Övriga Aktiebolag</t>
        </is>
      </c>
      <c r="G622" t="n">
        <v>0.9</v>
      </c>
      <c r="H622" t="n">
        <v>0</v>
      </c>
      <c r="I622" t="n">
        <v>0</v>
      </c>
      <c r="J622" t="n">
        <v>0</v>
      </c>
      <c r="K622" t="n">
        <v>0</v>
      </c>
      <c r="L622" t="n">
        <v>0</v>
      </c>
      <c r="M622" t="n">
        <v>0</v>
      </c>
      <c r="N622" t="n">
        <v>0</v>
      </c>
      <c r="O622" t="n">
        <v>0</v>
      </c>
      <c r="P622" t="n">
        <v>0</v>
      </c>
      <c r="Q622" t="n">
        <v>0</v>
      </c>
      <c r="R622" s="2" t="inlineStr"/>
    </row>
    <row r="623" ht="15" customHeight="1">
      <c r="A623" t="inlineStr">
        <is>
          <t>A 71871-2021</t>
        </is>
      </c>
      <c r="B623" s="1" t="n">
        <v>44543</v>
      </c>
      <c r="C623" s="1" t="n">
        <v>46050</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71873-2021</t>
        </is>
      </c>
      <c r="B624" s="1" t="n">
        <v>44543</v>
      </c>
      <c r="C624" s="1" t="n">
        <v>46050</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72355-2021</t>
        </is>
      </c>
      <c r="B625" s="1" t="n">
        <v>44545</v>
      </c>
      <c r="C625" s="1" t="n">
        <v>46050</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72357-2021</t>
        </is>
      </c>
      <c r="B626" s="1" t="n">
        <v>44545</v>
      </c>
      <c r="C626" s="1" t="n">
        <v>46050</v>
      </c>
      <c r="D626" t="inlineStr">
        <is>
          <t>STOCKHOLMS LÄN</t>
        </is>
      </c>
      <c r="E626" t="inlineStr">
        <is>
          <t>NORRTÄLJE</t>
        </is>
      </c>
      <c r="G626" t="n">
        <v>5.1</v>
      </c>
      <c r="H626" t="n">
        <v>0</v>
      </c>
      <c r="I626" t="n">
        <v>0</v>
      </c>
      <c r="J626" t="n">
        <v>0</v>
      </c>
      <c r="K626" t="n">
        <v>0</v>
      </c>
      <c r="L626" t="n">
        <v>0</v>
      </c>
      <c r="M626" t="n">
        <v>0</v>
      </c>
      <c r="N626" t="n">
        <v>0</v>
      </c>
      <c r="O626" t="n">
        <v>0</v>
      </c>
      <c r="P626" t="n">
        <v>0</v>
      </c>
      <c r="Q626" t="n">
        <v>0</v>
      </c>
      <c r="R626" s="2" t="inlineStr"/>
    </row>
    <row r="627" ht="15" customHeight="1">
      <c r="A627" t="inlineStr">
        <is>
          <t>A 11368-2021</t>
        </is>
      </c>
      <c r="B627" s="1" t="n">
        <v>44263</v>
      </c>
      <c r="C627" s="1" t="n">
        <v>46050</v>
      </c>
      <c r="D627" t="inlineStr">
        <is>
          <t>STOCKHOLMS LÄN</t>
        </is>
      </c>
      <c r="E627" t="inlineStr">
        <is>
          <t>SÖDERTÄLJE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24221-2021</t>
        </is>
      </c>
      <c r="B628" s="1" t="n">
        <v>44336.78922453704</v>
      </c>
      <c r="C628" s="1" t="n">
        <v>46050</v>
      </c>
      <c r="D628" t="inlineStr">
        <is>
          <t>STOCKHOLMS LÄN</t>
        </is>
      </c>
      <c r="E628" t="inlineStr">
        <is>
          <t>UPPLANDS VÄSBY</t>
        </is>
      </c>
      <c r="G628" t="n">
        <v>1.1</v>
      </c>
      <c r="H628" t="n">
        <v>0</v>
      </c>
      <c r="I628" t="n">
        <v>0</v>
      </c>
      <c r="J628" t="n">
        <v>0</v>
      </c>
      <c r="K628" t="n">
        <v>0</v>
      </c>
      <c r="L628" t="n">
        <v>0</v>
      </c>
      <c r="M628" t="n">
        <v>0</v>
      </c>
      <c r="N628" t="n">
        <v>0</v>
      </c>
      <c r="O628" t="n">
        <v>0</v>
      </c>
      <c r="P628" t="n">
        <v>0</v>
      </c>
      <c r="Q628" t="n">
        <v>0</v>
      </c>
      <c r="R628" s="2" t="inlineStr"/>
    </row>
    <row r="629" ht="15" customHeight="1">
      <c r="A629" t="inlineStr">
        <is>
          <t>A 9988-2022</t>
        </is>
      </c>
      <c r="B629" s="1" t="n">
        <v>44621</v>
      </c>
      <c r="C629" s="1" t="n">
        <v>46050</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43709-2021</t>
        </is>
      </c>
      <c r="B630" s="1" t="n">
        <v>44433.62136574074</v>
      </c>
      <c r="C630" s="1" t="n">
        <v>46050</v>
      </c>
      <c r="D630" t="inlineStr">
        <is>
          <t>STOCKHOLMS LÄN</t>
        </is>
      </c>
      <c r="E630" t="inlineStr">
        <is>
          <t>HANINGE</t>
        </is>
      </c>
      <c r="G630" t="n">
        <v>4</v>
      </c>
      <c r="H630" t="n">
        <v>0</v>
      </c>
      <c r="I630" t="n">
        <v>0</v>
      </c>
      <c r="J630" t="n">
        <v>0</v>
      </c>
      <c r="K630" t="n">
        <v>0</v>
      </c>
      <c r="L630" t="n">
        <v>0</v>
      </c>
      <c r="M630" t="n">
        <v>0</v>
      </c>
      <c r="N630" t="n">
        <v>0</v>
      </c>
      <c r="O630" t="n">
        <v>0</v>
      </c>
      <c r="P630" t="n">
        <v>0</v>
      </c>
      <c r="Q630" t="n">
        <v>0</v>
      </c>
      <c r="R630" s="2" t="inlineStr"/>
    </row>
    <row r="631" ht="15" customHeight="1">
      <c r="A631" t="inlineStr">
        <is>
          <t>A 43717-2021</t>
        </is>
      </c>
      <c r="B631" s="1" t="n">
        <v>44433.62546296296</v>
      </c>
      <c r="C631" s="1" t="n">
        <v>46050</v>
      </c>
      <c r="D631" t="inlineStr">
        <is>
          <t>STOCKHOLMS LÄN</t>
        </is>
      </c>
      <c r="E631" t="inlineStr">
        <is>
          <t>BOTKYRKA</t>
        </is>
      </c>
      <c r="G631" t="n">
        <v>1.3</v>
      </c>
      <c r="H631" t="n">
        <v>0</v>
      </c>
      <c r="I631" t="n">
        <v>0</v>
      </c>
      <c r="J631" t="n">
        <v>0</v>
      </c>
      <c r="K631" t="n">
        <v>0</v>
      </c>
      <c r="L631" t="n">
        <v>0</v>
      </c>
      <c r="M631" t="n">
        <v>0</v>
      </c>
      <c r="N631" t="n">
        <v>0</v>
      </c>
      <c r="O631" t="n">
        <v>0</v>
      </c>
      <c r="P631" t="n">
        <v>0</v>
      </c>
      <c r="Q631" t="n">
        <v>0</v>
      </c>
      <c r="R631" s="2" t="inlineStr"/>
    </row>
    <row r="632" ht="15" customHeight="1">
      <c r="A632" t="inlineStr">
        <is>
          <t>A 44531-2022</t>
        </is>
      </c>
      <c r="B632" s="1" t="n">
        <v>44840</v>
      </c>
      <c r="C632" s="1" t="n">
        <v>46050</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60733-2021</t>
        </is>
      </c>
      <c r="B633" s="1" t="n">
        <v>44496.77542824074</v>
      </c>
      <c r="C633" s="1" t="n">
        <v>46050</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5351-2022</t>
        </is>
      </c>
      <c r="B634" s="1" t="n">
        <v>44594.75950231482</v>
      </c>
      <c r="C634" s="1" t="n">
        <v>46050</v>
      </c>
      <c r="D634" t="inlineStr">
        <is>
          <t>STOCKHOLMS LÄN</t>
        </is>
      </c>
      <c r="E634" t="inlineStr">
        <is>
          <t>NORRTÄLJE</t>
        </is>
      </c>
      <c r="G634" t="n">
        <v>4</v>
      </c>
      <c r="H634" t="n">
        <v>0</v>
      </c>
      <c r="I634" t="n">
        <v>0</v>
      </c>
      <c r="J634" t="n">
        <v>0</v>
      </c>
      <c r="K634" t="n">
        <v>0</v>
      </c>
      <c r="L634" t="n">
        <v>0</v>
      </c>
      <c r="M634" t="n">
        <v>0</v>
      </c>
      <c r="N634" t="n">
        <v>0</v>
      </c>
      <c r="O634" t="n">
        <v>0</v>
      </c>
      <c r="P634" t="n">
        <v>0</v>
      </c>
      <c r="Q634" t="n">
        <v>0</v>
      </c>
      <c r="R634" s="2" t="inlineStr"/>
    </row>
    <row r="635" ht="15" customHeight="1">
      <c r="A635" t="inlineStr">
        <is>
          <t>A 46924-2021</t>
        </is>
      </c>
      <c r="B635" s="1" t="n">
        <v>44446</v>
      </c>
      <c r="C635" s="1" t="n">
        <v>46050</v>
      </c>
      <c r="D635" t="inlineStr">
        <is>
          <t>STOCKHOLMS LÄN</t>
        </is>
      </c>
      <c r="E635" t="inlineStr">
        <is>
          <t>VALLENTUNA</t>
        </is>
      </c>
      <c r="G635" t="n">
        <v>0.6</v>
      </c>
      <c r="H635" t="n">
        <v>0</v>
      </c>
      <c r="I635" t="n">
        <v>0</v>
      </c>
      <c r="J635" t="n">
        <v>0</v>
      </c>
      <c r="K635" t="n">
        <v>0</v>
      </c>
      <c r="L635" t="n">
        <v>0</v>
      </c>
      <c r="M635" t="n">
        <v>0</v>
      </c>
      <c r="N635" t="n">
        <v>0</v>
      </c>
      <c r="O635" t="n">
        <v>0</v>
      </c>
      <c r="P635" t="n">
        <v>0</v>
      </c>
      <c r="Q635" t="n">
        <v>0</v>
      </c>
      <c r="R635" s="2" t="inlineStr"/>
    </row>
    <row r="636" ht="15" customHeight="1">
      <c r="A636" t="inlineStr">
        <is>
          <t>A 7683-2021</t>
        </is>
      </c>
      <c r="B636" s="1" t="n">
        <v>44242</v>
      </c>
      <c r="C636" s="1" t="n">
        <v>46050</v>
      </c>
      <c r="D636" t="inlineStr">
        <is>
          <t>STOCKHOLMS LÄN</t>
        </is>
      </c>
      <c r="E636" t="inlineStr">
        <is>
          <t>NYNÄSHAMN</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53884-2022</t>
        </is>
      </c>
      <c r="B637" s="1" t="n">
        <v>44880.68423611111</v>
      </c>
      <c r="C637" s="1" t="n">
        <v>46050</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12357-2022</t>
        </is>
      </c>
      <c r="B638" s="1" t="n">
        <v>44637</v>
      </c>
      <c r="C638" s="1" t="n">
        <v>46050</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26335-2022</t>
        </is>
      </c>
      <c r="B639" s="1" t="n">
        <v>44735</v>
      </c>
      <c r="C639" s="1" t="n">
        <v>46050</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43922-2021</t>
        </is>
      </c>
      <c r="B640" s="1" t="n">
        <v>44434</v>
      </c>
      <c r="C640" s="1" t="n">
        <v>46050</v>
      </c>
      <c r="D640" t="inlineStr">
        <is>
          <t>STOCKHOLMS LÄN</t>
        </is>
      </c>
      <c r="E640" t="inlineStr">
        <is>
          <t>NYKVARN</t>
        </is>
      </c>
      <c r="G640" t="n">
        <v>0.7</v>
      </c>
      <c r="H640" t="n">
        <v>0</v>
      </c>
      <c r="I640" t="n">
        <v>0</v>
      </c>
      <c r="J640" t="n">
        <v>0</v>
      </c>
      <c r="K640" t="n">
        <v>0</v>
      </c>
      <c r="L640" t="n">
        <v>0</v>
      </c>
      <c r="M640" t="n">
        <v>0</v>
      </c>
      <c r="N640" t="n">
        <v>0</v>
      </c>
      <c r="O640" t="n">
        <v>0</v>
      </c>
      <c r="P640" t="n">
        <v>0</v>
      </c>
      <c r="Q640" t="n">
        <v>0</v>
      </c>
      <c r="R640" s="2" t="inlineStr"/>
    </row>
    <row r="641" ht="15" customHeight="1">
      <c r="A641" t="inlineStr">
        <is>
          <t>A 22068-2022</t>
        </is>
      </c>
      <c r="B641" s="1" t="n">
        <v>44711</v>
      </c>
      <c r="C641" s="1" t="n">
        <v>46050</v>
      </c>
      <c r="D641" t="inlineStr">
        <is>
          <t>STOCKHOLMS LÄN</t>
        </is>
      </c>
      <c r="E641" t="inlineStr">
        <is>
          <t>NACKA</t>
        </is>
      </c>
      <c r="G641" t="n">
        <v>0.7</v>
      </c>
      <c r="H641" t="n">
        <v>0</v>
      </c>
      <c r="I641" t="n">
        <v>0</v>
      </c>
      <c r="J641" t="n">
        <v>0</v>
      </c>
      <c r="K641" t="n">
        <v>0</v>
      </c>
      <c r="L641" t="n">
        <v>0</v>
      </c>
      <c r="M641" t="n">
        <v>0</v>
      </c>
      <c r="N641" t="n">
        <v>0</v>
      </c>
      <c r="O641" t="n">
        <v>0</v>
      </c>
      <c r="P641" t="n">
        <v>0</v>
      </c>
      <c r="Q641" t="n">
        <v>0</v>
      </c>
      <c r="R641" s="2" t="inlineStr"/>
    </row>
    <row r="642" ht="15" customHeight="1">
      <c r="A642" t="inlineStr">
        <is>
          <t>A 9767-2022</t>
        </is>
      </c>
      <c r="B642" s="1" t="n">
        <v>44619</v>
      </c>
      <c r="C642" s="1" t="n">
        <v>46050</v>
      </c>
      <c r="D642" t="inlineStr">
        <is>
          <t>STOCKHOLMS LÄN</t>
        </is>
      </c>
      <c r="E642" t="inlineStr">
        <is>
          <t>SIGTUNA</t>
        </is>
      </c>
      <c r="G642" t="n">
        <v>2.4</v>
      </c>
      <c r="H642" t="n">
        <v>0</v>
      </c>
      <c r="I642" t="n">
        <v>0</v>
      </c>
      <c r="J642" t="n">
        <v>0</v>
      </c>
      <c r="K642" t="n">
        <v>0</v>
      </c>
      <c r="L642" t="n">
        <v>0</v>
      </c>
      <c r="M642" t="n">
        <v>0</v>
      </c>
      <c r="N642" t="n">
        <v>0</v>
      </c>
      <c r="O642" t="n">
        <v>0</v>
      </c>
      <c r="P642" t="n">
        <v>0</v>
      </c>
      <c r="Q642" t="n">
        <v>0</v>
      </c>
      <c r="R642" s="2" t="inlineStr"/>
    </row>
    <row r="643" ht="15" customHeight="1">
      <c r="A643" t="inlineStr">
        <is>
          <t>A 30624-2022</t>
        </is>
      </c>
      <c r="B643" s="1" t="n">
        <v>44763.4182175926</v>
      </c>
      <c r="C643" s="1" t="n">
        <v>46050</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46050</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46050</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52377-2021</t>
        </is>
      </c>
      <c r="B646" s="1" t="n">
        <v>44465</v>
      </c>
      <c r="C646" s="1" t="n">
        <v>46050</v>
      </c>
      <c r="D646" t="inlineStr">
        <is>
          <t>STOCKHOLMS LÄN</t>
        </is>
      </c>
      <c r="E646" t="inlineStr">
        <is>
          <t>VALLENTUNA</t>
        </is>
      </c>
      <c r="G646" t="n">
        <v>1.4</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44466.37496527778</v>
      </c>
      <c r="C647" s="1" t="n">
        <v>46050</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13921-2021</t>
        </is>
      </c>
      <c r="B648" s="1" t="n">
        <v>44277</v>
      </c>
      <c r="C648" s="1" t="n">
        <v>46050</v>
      </c>
      <c r="D648" t="inlineStr">
        <is>
          <t>STOCKHOLMS LÄN</t>
        </is>
      </c>
      <c r="E648" t="inlineStr">
        <is>
          <t>ÖSTERÅKER</t>
        </is>
      </c>
      <c r="G648" t="n">
        <v>0.9</v>
      </c>
      <c r="H648" t="n">
        <v>0</v>
      </c>
      <c r="I648" t="n">
        <v>0</v>
      </c>
      <c r="J648" t="n">
        <v>0</v>
      </c>
      <c r="K648" t="n">
        <v>0</v>
      </c>
      <c r="L648" t="n">
        <v>0</v>
      </c>
      <c r="M648" t="n">
        <v>0</v>
      </c>
      <c r="N648" t="n">
        <v>0</v>
      </c>
      <c r="O648" t="n">
        <v>0</v>
      </c>
      <c r="P648" t="n">
        <v>0</v>
      </c>
      <c r="Q648" t="n">
        <v>0</v>
      </c>
      <c r="R648" s="2" t="inlineStr"/>
    </row>
    <row r="649" ht="15" customHeight="1">
      <c r="A649" t="inlineStr">
        <is>
          <t>A 14430-2021</t>
        </is>
      </c>
      <c r="B649" s="1" t="n">
        <v>44279.4665625</v>
      </c>
      <c r="C649" s="1" t="n">
        <v>46050</v>
      </c>
      <c r="D649" t="inlineStr">
        <is>
          <t>STOCKHOLMS LÄN</t>
        </is>
      </c>
      <c r="E649" t="inlineStr">
        <is>
          <t>VALLENTUNA</t>
        </is>
      </c>
      <c r="G649" t="n">
        <v>1.1</v>
      </c>
      <c r="H649" t="n">
        <v>0</v>
      </c>
      <c r="I649" t="n">
        <v>0</v>
      </c>
      <c r="J649" t="n">
        <v>0</v>
      </c>
      <c r="K649" t="n">
        <v>0</v>
      </c>
      <c r="L649" t="n">
        <v>0</v>
      </c>
      <c r="M649" t="n">
        <v>0</v>
      </c>
      <c r="N649" t="n">
        <v>0</v>
      </c>
      <c r="O649" t="n">
        <v>0</v>
      </c>
      <c r="P649" t="n">
        <v>0</v>
      </c>
      <c r="Q649" t="n">
        <v>0</v>
      </c>
      <c r="R649" s="2" t="inlineStr"/>
    </row>
    <row r="650" ht="15" customHeight="1">
      <c r="A650" t="inlineStr">
        <is>
          <t>A 14443-2021</t>
        </is>
      </c>
      <c r="B650" s="1" t="n">
        <v>44279</v>
      </c>
      <c r="C650" s="1" t="n">
        <v>46050</v>
      </c>
      <c r="D650" t="inlineStr">
        <is>
          <t>STOCKHOLMS LÄN</t>
        </is>
      </c>
      <c r="E650" t="inlineStr">
        <is>
          <t>VALLENTUNA</t>
        </is>
      </c>
      <c r="G650" t="n">
        <v>3.5</v>
      </c>
      <c r="H650" t="n">
        <v>0</v>
      </c>
      <c r="I650" t="n">
        <v>0</v>
      </c>
      <c r="J650" t="n">
        <v>0</v>
      </c>
      <c r="K650" t="n">
        <v>0</v>
      </c>
      <c r="L650" t="n">
        <v>0</v>
      </c>
      <c r="M650" t="n">
        <v>0</v>
      </c>
      <c r="N650" t="n">
        <v>0</v>
      </c>
      <c r="O650" t="n">
        <v>0</v>
      </c>
      <c r="P650" t="n">
        <v>0</v>
      </c>
      <c r="Q650" t="n">
        <v>0</v>
      </c>
      <c r="R650" s="2" t="inlineStr"/>
    </row>
    <row r="651" ht="15" customHeight="1">
      <c r="A651" t="inlineStr">
        <is>
          <t>A 14447-2021</t>
        </is>
      </c>
      <c r="B651" s="1" t="n">
        <v>44279</v>
      </c>
      <c r="C651" s="1" t="n">
        <v>46050</v>
      </c>
      <c r="D651" t="inlineStr">
        <is>
          <t>STOCKHOLMS LÄN</t>
        </is>
      </c>
      <c r="E651" t="inlineStr">
        <is>
          <t>VALLENTUNA</t>
        </is>
      </c>
      <c r="G651" t="n">
        <v>2.9</v>
      </c>
      <c r="H651" t="n">
        <v>0</v>
      </c>
      <c r="I651" t="n">
        <v>0</v>
      </c>
      <c r="J651" t="n">
        <v>0</v>
      </c>
      <c r="K651" t="n">
        <v>0</v>
      </c>
      <c r="L651" t="n">
        <v>0</v>
      </c>
      <c r="M651" t="n">
        <v>0</v>
      </c>
      <c r="N651" t="n">
        <v>0</v>
      </c>
      <c r="O651" t="n">
        <v>0</v>
      </c>
      <c r="P651" t="n">
        <v>0</v>
      </c>
      <c r="Q651" t="n">
        <v>0</v>
      </c>
      <c r="R651" s="2" t="inlineStr"/>
    </row>
    <row r="652" ht="15" customHeight="1">
      <c r="A652" t="inlineStr">
        <is>
          <t>A 33046-2021</t>
        </is>
      </c>
      <c r="B652" s="1" t="n">
        <v>44376</v>
      </c>
      <c r="C652" s="1" t="n">
        <v>46050</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73212-2021</t>
        </is>
      </c>
      <c r="B653" s="1" t="n">
        <v>44550</v>
      </c>
      <c r="C653" s="1" t="n">
        <v>46050</v>
      </c>
      <c r="D653" t="inlineStr">
        <is>
          <t>STOCKHOLMS LÄN</t>
        </is>
      </c>
      <c r="E653" t="inlineStr">
        <is>
          <t>NYKVARN</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26328-2022</t>
        </is>
      </c>
      <c r="B654" s="1" t="n">
        <v>44735</v>
      </c>
      <c r="C654" s="1" t="n">
        <v>46050</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70850-2021</t>
        </is>
      </c>
      <c r="B655" s="1" t="n">
        <v>44538</v>
      </c>
      <c r="C655" s="1" t="n">
        <v>46050</v>
      </c>
      <c r="D655" t="inlineStr">
        <is>
          <t>STOCKHOLMS LÄN</t>
        </is>
      </c>
      <c r="E655" t="inlineStr">
        <is>
          <t>NYNÄSHAMN</t>
        </is>
      </c>
      <c r="G655" t="n">
        <v>1.2</v>
      </c>
      <c r="H655" t="n">
        <v>0</v>
      </c>
      <c r="I655" t="n">
        <v>0</v>
      </c>
      <c r="J655" t="n">
        <v>0</v>
      </c>
      <c r="K655" t="n">
        <v>0</v>
      </c>
      <c r="L655" t="n">
        <v>0</v>
      </c>
      <c r="M655" t="n">
        <v>0</v>
      </c>
      <c r="N655" t="n">
        <v>0</v>
      </c>
      <c r="O655" t="n">
        <v>0</v>
      </c>
      <c r="P655" t="n">
        <v>0</v>
      </c>
      <c r="Q655" t="n">
        <v>0</v>
      </c>
      <c r="R655" s="2" t="inlineStr"/>
    </row>
    <row r="656" ht="15" customHeight="1">
      <c r="A656" t="inlineStr">
        <is>
          <t>A 55861-2021</t>
        </is>
      </c>
      <c r="B656" s="1" t="n">
        <v>44476</v>
      </c>
      <c r="C656" s="1" t="n">
        <v>46050</v>
      </c>
      <c r="D656" t="inlineStr">
        <is>
          <t>STOCKHOLMS LÄN</t>
        </is>
      </c>
      <c r="E656" t="inlineStr">
        <is>
          <t>HANINGE</t>
        </is>
      </c>
      <c r="F656" t="inlineStr">
        <is>
          <t>Kommuner</t>
        </is>
      </c>
      <c r="G656" t="n">
        <v>1.3</v>
      </c>
      <c r="H656" t="n">
        <v>0</v>
      </c>
      <c r="I656" t="n">
        <v>0</v>
      </c>
      <c r="J656" t="n">
        <v>0</v>
      </c>
      <c r="K656" t="n">
        <v>0</v>
      </c>
      <c r="L656" t="n">
        <v>0</v>
      </c>
      <c r="M656" t="n">
        <v>0</v>
      </c>
      <c r="N656" t="n">
        <v>0</v>
      </c>
      <c r="O656" t="n">
        <v>0</v>
      </c>
      <c r="P656" t="n">
        <v>0</v>
      </c>
      <c r="Q656" t="n">
        <v>0</v>
      </c>
      <c r="R656" s="2" t="inlineStr"/>
    </row>
    <row r="657" ht="15" customHeight="1">
      <c r="A657" t="inlineStr">
        <is>
          <t>A 15441-2021</t>
        </is>
      </c>
      <c r="B657" s="1" t="n">
        <v>44284</v>
      </c>
      <c r="C657" s="1" t="n">
        <v>46050</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39133-2021</t>
        </is>
      </c>
      <c r="B658" s="1" t="n">
        <v>44412</v>
      </c>
      <c r="C658" s="1" t="n">
        <v>46050</v>
      </c>
      <c r="D658" t="inlineStr">
        <is>
          <t>STOCKHOLMS LÄN</t>
        </is>
      </c>
      <c r="E658" t="inlineStr">
        <is>
          <t>SÖDERTÄLJE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37657-2021</t>
        </is>
      </c>
      <c r="B659" s="1" t="n">
        <v>44400</v>
      </c>
      <c r="C659" s="1" t="n">
        <v>46050</v>
      </c>
      <c r="D659" t="inlineStr">
        <is>
          <t>STOCKHOLMS LÄN</t>
        </is>
      </c>
      <c r="E659" t="inlineStr">
        <is>
          <t>VALLENTUNA</t>
        </is>
      </c>
      <c r="G659" t="n">
        <v>2.9</v>
      </c>
      <c r="H659" t="n">
        <v>0</v>
      </c>
      <c r="I659" t="n">
        <v>0</v>
      </c>
      <c r="J659" t="n">
        <v>0</v>
      </c>
      <c r="K659" t="n">
        <v>0</v>
      </c>
      <c r="L659" t="n">
        <v>0</v>
      </c>
      <c r="M659" t="n">
        <v>0</v>
      </c>
      <c r="N659" t="n">
        <v>0</v>
      </c>
      <c r="O659" t="n">
        <v>0</v>
      </c>
      <c r="P659" t="n">
        <v>0</v>
      </c>
      <c r="Q659" t="n">
        <v>0</v>
      </c>
      <c r="R659" s="2" t="inlineStr"/>
    </row>
    <row r="660" ht="15" customHeight="1">
      <c r="A660" t="inlineStr">
        <is>
          <t>A 67598-2021</t>
        </is>
      </c>
      <c r="B660" s="1" t="n">
        <v>44524</v>
      </c>
      <c r="C660" s="1" t="n">
        <v>46050</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34520-2021</t>
        </is>
      </c>
      <c r="B661" s="1" t="n">
        <v>44379</v>
      </c>
      <c r="C661" s="1" t="n">
        <v>46050</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36063-2022</t>
        </is>
      </c>
      <c r="B662" s="1" t="n">
        <v>44802</v>
      </c>
      <c r="C662" s="1" t="n">
        <v>46050</v>
      </c>
      <c r="D662" t="inlineStr">
        <is>
          <t>STOCKHOLMS LÄN</t>
        </is>
      </c>
      <c r="E662" t="inlineStr">
        <is>
          <t>EKERÖ</t>
        </is>
      </c>
      <c r="G662" t="n">
        <v>2.4</v>
      </c>
      <c r="H662" t="n">
        <v>0</v>
      </c>
      <c r="I662" t="n">
        <v>0</v>
      </c>
      <c r="J662" t="n">
        <v>0</v>
      </c>
      <c r="K662" t="n">
        <v>0</v>
      </c>
      <c r="L662" t="n">
        <v>0</v>
      </c>
      <c r="M662" t="n">
        <v>0</v>
      </c>
      <c r="N662" t="n">
        <v>0</v>
      </c>
      <c r="O662" t="n">
        <v>0</v>
      </c>
      <c r="P662" t="n">
        <v>0</v>
      </c>
      <c r="Q662" t="n">
        <v>0</v>
      </c>
      <c r="R662" s="2" t="inlineStr"/>
    </row>
    <row r="663" ht="15" customHeight="1">
      <c r="A663" t="inlineStr">
        <is>
          <t>A 1968-2022</t>
        </is>
      </c>
      <c r="B663" s="1" t="n">
        <v>44575.52831018518</v>
      </c>
      <c r="C663" s="1" t="n">
        <v>46050</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3057-2022</t>
        </is>
      </c>
      <c r="B664" s="1" t="n">
        <v>44582</v>
      </c>
      <c r="C664" s="1" t="n">
        <v>46050</v>
      </c>
      <c r="D664" t="inlineStr">
        <is>
          <t>STOCKHOLMS LÄN</t>
        </is>
      </c>
      <c r="E664" t="inlineStr">
        <is>
          <t>VÄRMDÖ</t>
        </is>
      </c>
      <c r="G664" t="n">
        <v>7.4</v>
      </c>
      <c r="H664" t="n">
        <v>0</v>
      </c>
      <c r="I664" t="n">
        <v>0</v>
      </c>
      <c r="J664" t="n">
        <v>0</v>
      </c>
      <c r="K664" t="n">
        <v>0</v>
      </c>
      <c r="L664" t="n">
        <v>0</v>
      </c>
      <c r="M664" t="n">
        <v>0</v>
      </c>
      <c r="N664" t="n">
        <v>0</v>
      </c>
      <c r="O664" t="n">
        <v>0</v>
      </c>
      <c r="P664" t="n">
        <v>0</v>
      </c>
      <c r="Q664" t="n">
        <v>0</v>
      </c>
      <c r="R664" s="2" t="inlineStr"/>
    </row>
    <row r="665" ht="15" customHeight="1">
      <c r="A665" t="inlineStr">
        <is>
          <t>A 41266-2022</t>
        </is>
      </c>
      <c r="B665" s="1" t="n">
        <v>44825</v>
      </c>
      <c r="C665" s="1" t="n">
        <v>46050</v>
      </c>
      <c r="D665" t="inlineStr">
        <is>
          <t>STOCKHOLMS LÄN</t>
        </is>
      </c>
      <c r="E665" t="inlineStr">
        <is>
          <t>HANINGE</t>
        </is>
      </c>
      <c r="F665" t="inlineStr">
        <is>
          <t>Övriga statliga verk och myndigheter</t>
        </is>
      </c>
      <c r="G665" t="n">
        <v>1.6</v>
      </c>
      <c r="H665" t="n">
        <v>0</v>
      </c>
      <c r="I665" t="n">
        <v>0</v>
      </c>
      <c r="J665" t="n">
        <v>0</v>
      </c>
      <c r="K665" t="n">
        <v>0</v>
      </c>
      <c r="L665" t="n">
        <v>0</v>
      </c>
      <c r="M665" t="n">
        <v>0</v>
      </c>
      <c r="N665" t="n">
        <v>0</v>
      </c>
      <c r="O665" t="n">
        <v>0</v>
      </c>
      <c r="P665" t="n">
        <v>0</v>
      </c>
      <c r="Q665" t="n">
        <v>0</v>
      </c>
      <c r="R665" s="2" t="inlineStr"/>
    </row>
    <row r="666" ht="15" customHeight="1">
      <c r="A666" t="inlineStr">
        <is>
          <t>A 28405-2022</t>
        </is>
      </c>
      <c r="B666" s="1" t="n">
        <v>44747</v>
      </c>
      <c r="C666" s="1" t="n">
        <v>46050</v>
      </c>
      <c r="D666" t="inlineStr">
        <is>
          <t>STOCKHOLMS LÄN</t>
        </is>
      </c>
      <c r="E666" t="inlineStr">
        <is>
          <t>ÖSTERÅKER</t>
        </is>
      </c>
      <c r="G666" t="n">
        <v>1.9</v>
      </c>
      <c r="H666" t="n">
        <v>0</v>
      </c>
      <c r="I666" t="n">
        <v>0</v>
      </c>
      <c r="J666" t="n">
        <v>0</v>
      </c>
      <c r="K666" t="n">
        <v>0</v>
      </c>
      <c r="L666" t="n">
        <v>0</v>
      </c>
      <c r="M666" t="n">
        <v>0</v>
      </c>
      <c r="N666" t="n">
        <v>0</v>
      </c>
      <c r="O666" t="n">
        <v>0</v>
      </c>
      <c r="P666" t="n">
        <v>0</v>
      </c>
      <c r="Q666" t="n">
        <v>0</v>
      </c>
      <c r="R666" s="2" t="inlineStr"/>
    </row>
    <row r="667" ht="15" customHeight="1">
      <c r="A667" t="inlineStr">
        <is>
          <t>A 43893-2021</t>
        </is>
      </c>
      <c r="B667" s="1" t="n">
        <v>44434</v>
      </c>
      <c r="C667" s="1" t="n">
        <v>46050</v>
      </c>
      <c r="D667" t="inlineStr">
        <is>
          <t>STOCKHOLMS LÄN</t>
        </is>
      </c>
      <c r="E667" t="inlineStr">
        <is>
          <t>SALEM</t>
        </is>
      </c>
      <c r="F667" t="inlineStr">
        <is>
          <t>Kommuner</t>
        </is>
      </c>
      <c r="G667" t="n">
        <v>2.2</v>
      </c>
      <c r="H667" t="n">
        <v>0</v>
      </c>
      <c r="I667" t="n">
        <v>0</v>
      </c>
      <c r="J667" t="n">
        <v>0</v>
      </c>
      <c r="K667" t="n">
        <v>0</v>
      </c>
      <c r="L667" t="n">
        <v>0</v>
      </c>
      <c r="M667" t="n">
        <v>0</v>
      </c>
      <c r="N667" t="n">
        <v>0</v>
      </c>
      <c r="O667" t="n">
        <v>0</v>
      </c>
      <c r="P667" t="n">
        <v>0</v>
      </c>
      <c r="Q667" t="n">
        <v>0</v>
      </c>
      <c r="R667" s="2" t="inlineStr"/>
    </row>
    <row r="668" ht="15" customHeight="1">
      <c r="A668" t="inlineStr">
        <is>
          <t>A 1229-2022</t>
        </is>
      </c>
      <c r="B668" s="1" t="n">
        <v>44572</v>
      </c>
      <c r="C668" s="1" t="n">
        <v>46050</v>
      </c>
      <c r="D668" t="inlineStr">
        <is>
          <t>STOCKHOLMS LÄN</t>
        </is>
      </c>
      <c r="E668" t="inlineStr">
        <is>
          <t>NORRTÄLJE</t>
        </is>
      </c>
      <c r="G668" t="n">
        <v>11.5</v>
      </c>
      <c r="H668" t="n">
        <v>0</v>
      </c>
      <c r="I668" t="n">
        <v>0</v>
      </c>
      <c r="J668" t="n">
        <v>0</v>
      </c>
      <c r="K668" t="n">
        <v>0</v>
      </c>
      <c r="L668" t="n">
        <v>0</v>
      </c>
      <c r="M668" t="n">
        <v>0</v>
      </c>
      <c r="N668" t="n">
        <v>0</v>
      </c>
      <c r="O668" t="n">
        <v>0</v>
      </c>
      <c r="P668" t="n">
        <v>0</v>
      </c>
      <c r="Q668" t="n">
        <v>0</v>
      </c>
      <c r="R668" s="2" t="inlineStr"/>
    </row>
    <row r="669" ht="15" customHeight="1">
      <c r="A669" t="inlineStr">
        <is>
          <t>A 21888-2022</t>
        </is>
      </c>
      <c r="B669" s="1" t="n">
        <v>44709</v>
      </c>
      <c r="C669" s="1" t="n">
        <v>46050</v>
      </c>
      <c r="D669" t="inlineStr">
        <is>
          <t>STOCKHOLMS LÄN</t>
        </is>
      </c>
      <c r="E669" t="inlineStr">
        <is>
          <t>NACKA</t>
        </is>
      </c>
      <c r="G669" t="n">
        <v>2.4</v>
      </c>
      <c r="H669" t="n">
        <v>0</v>
      </c>
      <c r="I669" t="n">
        <v>0</v>
      </c>
      <c r="J669" t="n">
        <v>0</v>
      </c>
      <c r="K669" t="n">
        <v>0</v>
      </c>
      <c r="L669" t="n">
        <v>0</v>
      </c>
      <c r="M669" t="n">
        <v>0</v>
      </c>
      <c r="N669" t="n">
        <v>0</v>
      </c>
      <c r="O669" t="n">
        <v>0</v>
      </c>
      <c r="P669" t="n">
        <v>0</v>
      </c>
      <c r="Q669" t="n">
        <v>0</v>
      </c>
      <c r="R669" s="2" t="inlineStr"/>
    </row>
    <row r="670" ht="15" customHeight="1">
      <c r="A670" t="inlineStr">
        <is>
          <t>A 41378-2021</t>
        </is>
      </c>
      <c r="B670" s="1" t="n">
        <v>44424</v>
      </c>
      <c r="C670" s="1" t="n">
        <v>46050</v>
      </c>
      <c r="D670" t="inlineStr">
        <is>
          <t>STOCKHOLMS LÄN</t>
        </is>
      </c>
      <c r="E670" t="inlineStr">
        <is>
          <t>NYNÄSHAMN</t>
        </is>
      </c>
      <c r="G670" t="n">
        <v>1.1</v>
      </c>
      <c r="H670" t="n">
        <v>0</v>
      </c>
      <c r="I670" t="n">
        <v>0</v>
      </c>
      <c r="J670" t="n">
        <v>0</v>
      </c>
      <c r="K670" t="n">
        <v>0</v>
      </c>
      <c r="L670" t="n">
        <v>0</v>
      </c>
      <c r="M670" t="n">
        <v>0</v>
      </c>
      <c r="N670" t="n">
        <v>0</v>
      </c>
      <c r="O670" t="n">
        <v>0</v>
      </c>
      <c r="P670" t="n">
        <v>0</v>
      </c>
      <c r="Q670" t="n">
        <v>0</v>
      </c>
      <c r="R670" s="2" t="inlineStr"/>
    </row>
    <row r="671" ht="15" customHeight="1">
      <c r="A671" t="inlineStr">
        <is>
          <t>A 14051-2022</t>
        </is>
      </c>
      <c r="B671" s="1" t="n">
        <v>44650.92714120371</v>
      </c>
      <c r="C671" s="1" t="n">
        <v>46050</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17173-2022</t>
        </is>
      </c>
      <c r="B672" s="1" t="n">
        <v>44677</v>
      </c>
      <c r="C672" s="1" t="n">
        <v>46050</v>
      </c>
      <c r="D672" t="inlineStr">
        <is>
          <t>STOCKHOLMS LÄN</t>
        </is>
      </c>
      <c r="E672" t="inlineStr">
        <is>
          <t>ÖSTERÅKER</t>
        </is>
      </c>
      <c r="G672" t="n">
        <v>2.8</v>
      </c>
      <c r="H672" t="n">
        <v>0</v>
      </c>
      <c r="I672" t="n">
        <v>0</v>
      </c>
      <c r="J672" t="n">
        <v>0</v>
      </c>
      <c r="K672" t="n">
        <v>0</v>
      </c>
      <c r="L672" t="n">
        <v>0</v>
      </c>
      <c r="M672" t="n">
        <v>0</v>
      </c>
      <c r="N672" t="n">
        <v>0</v>
      </c>
      <c r="O672" t="n">
        <v>0</v>
      </c>
      <c r="P672" t="n">
        <v>0</v>
      </c>
      <c r="Q672" t="n">
        <v>0</v>
      </c>
      <c r="R672" s="2" t="inlineStr"/>
    </row>
    <row r="673" ht="15" customHeight="1">
      <c r="A673" t="inlineStr">
        <is>
          <t>A 65340-2021</t>
        </is>
      </c>
      <c r="B673" s="1" t="n">
        <v>44515</v>
      </c>
      <c r="C673" s="1" t="n">
        <v>46050</v>
      </c>
      <c r="D673" t="inlineStr">
        <is>
          <t>STOCKHOLMS LÄN</t>
        </is>
      </c>
      <c r="E673" t="inlineStr">
        <is>
          <t>SIGTUNA</t>
        </is>
      </c>
      <c r="F673" t="inlineStr">
        <is>
          <t>Kyrkan</t>
        </is>
      </c>
      <c r="G673" t="n">
        <v>0.2</v>
      </c>
      <c r="H673" t="n">
        <v>0</v>
      </c>
      <c r="I673" t="n">
        <v>0</v>
      </c>
      <c r="J673" t="n">
        <v>0</v>
      </c>
      <c r="K673" t="n">
        <v>0</v>
      </c>
      <c r="L673" t="n">
        <v>0</v>
      </c>
      <c r="M673" t="n">
        <v>0</v>
      </c>
      <c r="N673" t="n">
        <v>0</v>
      </c>
      <c r="O673" t="n">
        <v>0</v>
      </c>
      <c r="P673" t="n">
        <v>0</v>
      </c>
      <c r="Q673" t="n">
        <v>0</v>
      </c>
      <c r="R673" s="2" t="inlineStr"/>
    </row>
    <row r="674" ht="15" customHeight="1">
      <c r="A674" t="inlineStr">
        <is>
          <t>A 24167-2022</t>
        </is>
      </c>
      <c r="B674" s="1" t="n">
        <v>44725.49491898148</v>
      </c>
      <c r="C674" s="1" t="n">
        <v>46050</v>
      </c>
      <c r="D674" t="inlineStr">
        <is>
          <t>STOCKHOLMS LÄN</t>
        </is>
      </c>
      <c r="E674" t="inlineStr">
        <is>
          <t>NORRTÄLJE</t>
        </is>
      </c>
      <c r="G674" t="n">
        <v>3.4</v>
      </c>
      <c r="H674" t="n">
        <v>0</v>
      </c>
      <c r="I674" t="n">
        <v>0</v>
      </c>
      <c r="J674" t="n">
        <v>0</v>
      </c>
      <c r="K674" t="n">
        <v>0</v>
      </c>
      <c r="L674" t="n">
        <v>0</v>
      </c>
      <c r="M674" t="n">
        <v>0</v>
      </c>
      <c r="N674" t="n">
        <v>0</v>
      </c>
      <c r="O674" t="n">
        <v>0</v>
      </c>
      <c r="P674" t="n">
        <v>0</v>
      </c>
      <c r="Q674" t="n">
        <v>0</v>
      </c>
      <c r="R674" s="2" t="inlineStr"/>
    </row>
    <row r="675" ht="15" customHeight="1">
      <c r="A675" t="inlineStr">
        <is>
          <t>A 42396-2021</t>
        </is>
      </c>
      <c r="B675" s="1" t="n">
        <v>44427</v>
      </c>
      <c r="C675" s="1" t="n">
        <v>46050</v>
      </c>
      <c r="D675" t="inlineStr">
        <is>
          <t>STOCKHOLMS LÄN</t>
        </is>
      </c>
      <c r="E675" t="inlineStr">
        <is>
          <t>NORRTÄLJE</t>
        </is>
      </c>
      <c r="G675" t="n">
        <v>2</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46050</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12901-2021</t>
        </is>
      </c>
      <c r="B677" s="1" t="n">
        <v>44271</v>
      </c>
      <c r="C677" s="1" t="n">
        <v>46050</v>
      </c>
      <c r="D677" t="inlineStr">
        <is>
          <t>STOCKHOLMS LÄN</t>
        </is>
      </c>
      <c r="E677" t="inlineStr">
        <is>
          <t>SÖDERTÄLJE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48078-2021</t>
        </is>
      </c>
      <c r="B678" s="1" t="n">
        <v>44449.42578703703</v>
      </c>
      <c r="C678" s="1" t="n">
        <v>46050</v>
      </c>
      <c r="D678" t="inlineStr">
        <is>
          <t>STOCKHOLMS LÄN</t>
        </is>
      </c>
      <c r="E678" t="inlineStr">
        <is>
          <t>VALLENTUNA</t>
        </is>
      </c>
      <c r="G678" t="n">
        <v>0.7</v>
      </c>
      <c r="H678" t="n">
        <v>0</v>
      </c>
      <c r="I678" t="n">
        <v>0</v>
      </c>
      <c r="J678" t="n">
        <v>0</v>
      </c>
      <c r="K678" t="n">
        <v>0</v>
      </c>
      <c r="L678" t="n">
        <v>0</v>
      </c>
      <c r="M678" t="n">
        <v>0</v>
      </c>
      <c r="N678" t="n">
        <v>0</v>
      </c>
      <c r="O678" t="n">
        <v>0</v>
      </c>
      <c r="P678" t="n">
        <v>0</v>
      </c>
      <c r="Q678" t="n">
        <v>0</v>
      </c>
      <c r="R678" s="2" t="inlineStr"/>
    </row>
    <row r="679" ht="15" customHeight="1">
      <c r="A679" t="inlineStr">
        <is>
          <t>A 2732-2022</t>
        </is>
      </c>
      <c r="B679" s="1" t="n">
        <v>44580</v>
      </c>
      <c r="C679" s="1" t="n">
        <v>46050</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46826-2022</t>
        </is>
      </c>
      <c r="B680" s="1" t="n">
        <v>44848</v>
      </c>
      <c r="C680" s="1" t="n">
        <v>46050</v>
      </c>
      <c r="D680" t="inlineStr">
        <is>
          <t>STOCKHOLMS LÄN</t>
        </is>
      </c>
      <c r="E680" t="inlineStr">
        <is>
          <t>UPPLANDS VÄSBY</t>
        </is>
      </c>
      <c r="G680" t="n">
        <v>4.5</v>
      </c>
      <c r="H680" t="n">
        <v>0</v>
      </c>
      <c r="I680" t="n">
        <v>0</v>
      </c>
      <c r="J680" t="n">
        <v>0</v>
      </c>
      <c r="K680" t="n">
        <v>0</v>
      </c>
      <c r="L680" t="n">
        <v>0</v>
      </c>
      <c r="M680" t="n">
        <v>0</v>
      </c>
      <c r="N680" t="n">
        <v>0</v>
      </c>
      <c r="O680" t="n">
        <v>0</v>
      </c>
      <c r="P680" t="n">
        <v>0</v>
      </c>
      <c r="Q680" t="n">
        <v>0</v>
      </c>
      <c r="R680" s="2" t="inlineStr"/>
    </row>
    <row r="681" ht="15" customHeight="1">
      <c r="A681" t="inlineStr">
        <is>
          <t>A 73963-2021</t>
        </is>
      </c>
      <c r="B681" s="1" t="n">
        <v>44553.79121527778</v>
      </c>
      <c r="C681" s="1" t="n">
        <v>46050</v>
      </c>
      <c r="D681" t="inlineStr">
        <is>
          <t>STOCKHOLMS LÄN</t>
        </is>
      </c>
      <c r="E681" t="inlineStr">
        <is>
          <t>NYNÄSHAMN</t>
        </is>
      </c>
      <c r="G681" t="n">
        <v>0.3</v>
      </c>
      <c r="H681" t="n">
        <v>0</v>
      </c>
      <c r="I681" t="n">
        <v>0</v>
      </c>
      <c r="J681" t="n">
        <v>0</v>
      </c>
      <c r="K681" t="n">
        <v>0</v>
      </c>
      <c r="L681" t="n">
        <v>0</v>
      </c>
      <c r="M681" t="n">
        <v>0</v>
      </c>
      <c r="N681" t="n">
        <v>0</v>
      </c>
      <c r="O681" t="n">
        <v>0</v>
      </c>
      <c r="P681" t="n">
        <v>0</v>
      </c>
      <c r="Q681" t="n">
        <v>0</v>
      </c>
      <c r="R681" s="2" t="inlineStr"/>
    </row>
    <row r="682" ht="15" customHeight="1">
      <c r="A682" t="inlineStr">
        <is>
          <t>A 73966-2021</t>
        </is>
      </c>
      <c r="B682" s="1" t="n">
        <v>44553.81094907408</v>
      </c>
      <c r="C682" s="1" t="n">
        <v>46050</v>
      </c>
      <c r="D682" t="inlineStr">
        <is>
          <t>STOCKHOLMS LÄN</t>
        </is>
      </c>
      <c r="E682" t="inlineStr">
        <is>
          <t>NYNÄSHAMN</t>
        </is>
      </c>
      <c r="G682" t="n">
        <v>4.3</v>
      </c>
      <c r="H682" t="n">
        <v>0</v>
      </c>
      <c r="I682" t="n">
        <v>0</v>
      </c>
      <c r="J682" t="n">
        <v>0</v>
      </c>
      <c r="K682" t="n">
        <v>0</v>
      </c>
      <c r="L682" t="n">
        <v>0</v>
      </c>
      <c r="M682" t="n">
        <v>0</v>
      </c>
      <c r="N682" t="n">
        <v>0</v>
      </c>
      <c r="O682" t="n">
        <v>0</v>
      </c>
      <c r="P682" t="n">
        <v>0</v>
      </c>
      <c r="Q682" t="n">
        <v>0</v>
      </c>
      <c r="R682" s="2" t="inlineStr"/>
    </row>
    <row r="683" ht="15" customHeight="1">
      <c r="A683" t="inlineStr">
        <is>
          <t>A 73967-2021</t>
        </is>
      </c>
      <c r="B683" s="1" t="n">
        <v>44553.81719907407</v>
      </c>
      <c r="C683" s="1" t="n">
        <v>46050</v>
      </c>
      <c r="D683" t="inlineStr">
        <is>
          <t>STOCKHOLMS LÄN</t>
        </is>
      </c>
      <c r="E683" t="inlineStr">
        <is>
          <t>NYNÄSHAMN</t>
        </is>
      </c>
      <c r="G683" t="n">
        <v>1.3</v>
      </c>
      <c r="H683" t="n">
        <v>0</v>
      </c>
      <c r="I683" t="n">
        <v>0</v>
      </c>
      <c r="J683" t="n">
        <v>0</v>
      </c>
      <c r="K683" t="n">
        <v>0</v>
      </c>
      <c r="L683" t="n">
        <v>0</v>
      </c>
      <c r="M683" t="n">
        <v>0</v>
      </c>
      <c r="N683" t="n">
        <v>0</v>
      </c>
      <c r="O683" t="n">
        <v>0</v>
      </c>
      <c r="P683" t="n">
        <v>0</v>
      </c>
      <c r="Q683" t="n">
        <v>0</v>
      </c>
      <c r="R683" s="2" t="inlineStr"/>
    </row>
    <row r="684" ht="15" customHeight="1">
      <c r="A684" t="inlineStr">
        <is>
          <t>A 32508-2022</t>
        </is>
      </c>
      <c r="B684" s="1" t="n">
        <v>44782</v>
      </c>
      <c r="C684" s="1" t="n">
        <v>46050</v>
      </c>
      <c r="D684" t="inlineStr">
        <is>
          <t>STOCKHOLMS LÄN</t>
        </is>
      </c>
      <c r="E684" t="inlineStr">
        <is>
          <t>HUDDINGE</t>
        </is>
      </c>
      <c r="F684" t="inlineStr">
        <is>
          <t>Kommuner</t>
        </is>
      </c>
      <c r="G684" t="n">
        <v>4.7</v>
      </c>
      <c r="H684" t="n">
        <v>0</v>
      </c>
      <c r="I684" t="n">
        <v>0</v>
      </c>
      <c r="J684" t="n">
        <v>0</v>
      </c>
      <c r="K684" t="n">
        <v>0</v>
      </c>
      <c r="L684" t="n">
        <v>0</v>
      </c>
      <c r="M684" t="n">
        <v>0</v>
      </c>
      <c r="N684" t="n">
        <v>0</v>
      </c>
      <c r="O684" t="n">
        <v>0</v>
      </c>
      <c r="P684" t="n">
        <v>0</v>
      </c>
      <c r="Q684" t="n">
        <v>0</v>
      </c>
      <c r="R684" s="2" t="inlineStr"/>
    </row>
    <row r="685" ht="15" customHeight="1">
      <c r="A685" t="inlineStr">
        <is>
          <t>A 31924-2022</t>
        </is>
      </c>
      <c r="B685" s="1" t="n">
        <v>44777</v>
      </c>
      <c r="C685" s="1" t="n">
        <v>46050</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16119-2022</t>
        </is>
      </c>
      <c r="B686" s="1" t="n">
        <v>44665.66407407408</v>
      </c>
      <c r="C686" s="1" t="n">
        <v>46050</v>
      </c>
      <c r="D686" t="inlineStr">
        <is>
          <t>STOCKHOLMS LÄN</t>
        </is>
      </c>
      <c r="E686" t="inlineStr">
        <is>
          <t>NORRTÄLJE</t>
        </is>
      </c>
      <c r="G686" t="n">
        <v>3.9</v>
      </c>
      <c r="H686" t="n">
        <v>0</v>
      </c>
      <c r="I686" t="n">
        <v>0</v>
      </c>
      <c r="J686" t="n">
        <v>0</v>
      </c>
      <c r="K686" t="n">
        <v>0</v>
      </c>
      <c r="L686" t="n">
        <v>0</v>
      </c>
      <c r="M686" t="n">
        <v>0</v>
      </c>
      <c r="N686" t="n">
        <v>0</v>
      </c>
      <c r="O686" t="n">
        <v>0</v>
      </c>
      <c r="P686" t="n">
        <v>0</v>
      </c>
      <c r="Q686" t="n">
        <v>0</v>
      </c>
      <c r="R686" s="2" t="inlineStr"/>
    </row>
    <row r="687" ht="15" customHeight="1">
      <c r="A687" t="inlineStr">
        <is>
          <t>A 10082-2022</t>
        </is>
      </c>
      <c r="B687" s="1" t="n">
        <v>44621</v>
      </c>
      <c r="C687" s="1" t="n">
        <v>46050</v>
      </c>
      <c r="D687" t="inlineStr">
        <is>
          <t>STOCKHOLMS LÄN</t>
        </is>
      </c>
      <c r="E687" t="inlineStr">
        <is>
          <t>ÖSTERÅKER</t>
        </is>
      </c>
      <c r="G687" t="n">
        <v>6</v>
      </c>
      <c r="H687" t="n">
        <v>0</v>
      </c>
      <c r="I687" t="n">
        <v>0</v>
      </c>
      <c r="J687" t="n">
        <v>0</v>
      </c>
      <c r="K687" t="n">
        <v>0</v>
      </c>
      <c r="L687" t="n">
        <v>0</v>
      </c>
      <c r="M687" t="n">
        <v>0</v>
      </c>
      <c r="N687" t="n">
        <v>0</v>
      </c>
      <c r="O687" t="n">
        <v>0</v>
      </c>
      <c r="P687" t="n">
        <v>0</v>
      </c>
      <c r="Q687" t="n">
        <v>0</v>
      </c>
      <c r="R687" s="2" t="inlineStr"/>
    </row>
    <row r="688" ht="15" customHeight="1">
      <c r="A688" t="inlineStr">
        <is>
          <t>A 30419-2022</t>
        </is>
      </c>
      <c r="B688" s="1" t="n">
        <v>44761</v>
      </c>
      <c r="C688" s="1" t="n">
        <v>46050</v>
      </c>
      <c r="D688" t="inlineStr">
        <is>
          <t>STOCKHOLMS LÄN</t>
        </is>
      </c>
      <c r="E688" t="inlineStr">
        <is>
          <t>HANINGE</t>
        </is>
      </c>
      <c r="G688" t="n">
        <v>7.4</v>
      </c>
      <c r="H688" t="n">
        <v>0</v>
      </c>
      <c r="I688" t="n">
        <v>0</v>
      </c>
      <c r="J688" t="n">
        <v>0</v>
      </c>
      <c r="K688" t="n">
        <v>0</v>
      </c>
      <c r="L688" t="n">
        <v>0</v>
      </c>
      <c r="M688" t="n">
        <v>0</v>
      </c>
      <c r="N688" t="n">
        <v>0</v>
      </c>
      <c r="O688" t="n">
        <v>0</v>
      </c>
      <c r="P688" t="n">
        <v>0</v>
      </c>
      <c r="Q688" t="n">
        <v>0</v>
      </c>
      <c r="R688" s="2" t="inlineStr"/>
    </row>
    <row r="689" ht="15" customHeight="1">
      <c r="A689" t="inlineStr">
        <is>
          <t>A 13135-2022</t>
        </is>
      </c>
      <c r="B689" s="1" t="n">
        <v>44643</v>
      </c>
      <c r="C689" s="1" t="n">
        <v>46050</v>
      </c>
      <c r="D689" t="inlineStr">
        <is>
          <t>STOCKHOLMS LÄN</t>
        </is>
      </c>
      <c r="E689" t="inlineStr">
        <is>
          <t>HANINGE</t>
        </is>
      </c>
      <c r="G689" t="n">
        <v>2</v>
      </c>
      <c r="H689" t="n">
        <v>0</v>
      </c>
      <c r="I689" t="n">
        <v>0</v>
      </c>
      <c r="J689" t="n">
        <v>0</v>
      </c>
      <c r="K689" t="n">
        <v>0</v>
      </c>
      <c r="L689" t="n">
        <v>0</v>
      </c>
      <c r="M689" t="n">
        <v>0</v>
      </c>
      <c r="N689" t="n">
        <v>0</v>
      </c>
      <c r="O689" t="n">
        <v>0</v>
      </c>
      <c r="P689" t="n">
        <v>0</v>
      </c>
      <c r="Q689" t="n">
        <v>0</v>
      </c>
      <c r="R689" s="2" t="inlineStr"/>
    </row>
    <row r="690" ht="15" customHeight="1">
      <c r="A690" t="inlineStr">
        <is>
          <t>A 14543-2022</t>
        </is>
      </c>
      <c r="B690" s="1" t="n">
        <v>44655.45373842592</v>
      </c>
      <c r="C690" s="1" t="n">
        <v>46050</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12270-2022</t>
        </is>
      </c>
      <c r="B691" s="1" t="n">
        <v>44637</v>
      </c>
      <c r="C691" s="1" t="n">
        <v>46050</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24281-2022</t>
        </is>
      </c>
      <c r="B692" s="1" t="n">
        <v>44725.78381944444</v>
      </c>
      <c r="C692" s="1" t="n">
        <v>46050</v>
      </c>
      <c r="D692" t="inlineStr">
        <is>
          <t>STOCKHOLMS LÄN</t>
        </is>
      </c>
      <c r="E692" t="inlineStr">
        <is>
          <t>NYKVARN</t>
        </is>
      </c>
      <c r="G692" t="n">
        <v>0.7</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46050</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21472-2022</t>
        </is>
      </c>
      <c r="B694" s="1" t="n">
        <v>44706</v>
      </c>
      <c r="C694" s="1" t="n">
        <v>46050</v>
      </c>
      <c r="D694" t="inlineStr">
        <is>
          <t>STOCKHOLMS LÄN</t>
        </is>
      </c>
      <c r="E694" t="inlineStr">
        <is>
          <t>NACKA</t>
        </is>
      </c>
      <c r="G694" t="n">
        <v>1.5</v>
      </c>
      <c r="H694" t="n">
        <v>0</v>
      </c>
      <c r="I694" t="n">
        <v>0</v>
      </c>
      <c r="J694" t="n">
        <v>0</v>
      </c>
      <c r="K694" t="n">
        <v>0</v>
      </c>
      <c r="L694" t="n">
        <v>0</v>
      </c>
      <c r="M694" t="n">
        <v>0</v>
      </c>
      <c r="N694" t="n">
        <v>0</v>
      </c>
      <c r="O694" t="n">
        <v>0</v>
      </c>
      <c r="P694" t="n">
        <v>0</v>
      </c>
      <c r="Q694" t="n">
        <v>0</v>
      </c>
      <c r="R694" s="2" t="inlineStr"/>
    </row>
    <row r="695" ht="15" customHeight="1">
      <c r="A695" t="inlineStr">
        <is>
          <t>A 28042-2022</t>
        </is>
      </c>
      <c r="B695" s="1" t="n">
        <v>44744</v>
      </c>
      <c r="C695" s="1" t="n">
        <v>46050</v>
      </c>
      <c r="D695" t="inlineStr">
        <is>
          <t>STOCKHOLMS LÄN</t>
        </is>
      </c>
      <c r="E695" t="inlineStr">
        <is>
          <t>NORRTÄLJE</t>
        </is>
      </c>
      <c r="G695" t="n">
        <v>0.2</v>
      </c>
      <c r="H695" t="n">
        <v>0</v>
      </c>
      <c r="I695" t="n">
        <v>0</v>
      </c>
      <c r="J695" t="n">
        <v>0</v>
      </c>
      <c r="K695" t="n">
        <v>0</v>
      </c>
      <c r="L695" t="n">
        <v>0</v>
      </c>
      <c r="M695" t="n">
        <v>0</v>
      </c>
      <c r="N695" t="n">
        <v>0</v>
      </c>
      <c r="O695" t="n">
        <v>0</v>
      </c>
      <c r="P695" t="n">
        <v>0</v>
      </c>
      <c r="Q695" t="n">
        <v>0</v>
      </c>
      <c r="R695" s="2" t="inlineStr"/>
    </row>
    <row r="696" ht="15" customHeight="1">
      <c r="A696" t="inlineStr">
        <is>
          <t>A 28964-2022</t>
        </is>
      </c>
      <c r="B696" s="1" t="n">
        <v>44749</v>
      </c>
      <c r="C696" s="1" t="n">
        <v>46050</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41398-2022</t>
        </is>
      </c>
      <c r="B697" s="1" t="n">
        <v>44826</v>
      </c>
      <c r="C697" s="1" t="n">
        <v>46050</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22369-2021</t>
        </is>
      </c>
      <c r="B698" s="1" t="n">
        <v>44326</v>
      </c>
      <c r="C698" s="1" t="n">
        <v>46050</v>
      </c>
      <c r="D698" t="inlineStr">
        <is>
          <t>STOCKHOLMS LÄN</t>
        </is>
      </c>
      <c r="E698" t="inlineStr">
        <is>
          <t>NORRTÄLJE</t>
        </is>
      </c>
      <c r="F698" t="inlineStr">
        <is>
          <t>Holmen skog AB</t>
        </is>
      </c>
      <c r="G698" t="n">
        <v>3.4</v>
      </c>
      <c r="H698" t="n">
        <v>0</v>
      </c>
      <c r="I698" t="n">
        <v>0</v>
      </c>
      <c r="J698" t="n">
        <v>0</v>
      </c>
      <c r="K698" t="n">
        <v>0</v>
      </c>
      <c r="L698" t="n">
        <v>0</v>
      </c>
      <c r="M698" t="n">
        <v>0</v>
      </c>
      <c r="N698" t="n">
        <v>0</v>
      </c>
      <c r="O698" t="n">
        <v>0</v>
      </c>
      <c r="P698" t="n">
        <v>0</v>
      </c>
      <c r="Q698" t="n">
        <v>0</v>
      </c>
      <c r="R698" s="2" t="inlineStr"/>
    </row>
    <row r="699" ht="15" customHeight="1">
      <c r="A699" t="inlineStr">
        <is>
          <t>A 19398-2021</t>
        </is>
      </c>
      <c r="B699" s="1" t="n">
        <v>44309</v>
      </c>
      <c r="C699" s="1" t="n">
        <v>46050</v>
      </c>
      <c r="D699" t="inlineStr">
        <is>
          <t>STOCKHOLMS LÄN</t>
        </is>
      </c>
      <c r="E699" t="inlineStr">
        <is>
          <t>NORRTÄLJE</t>
        </is>
      </c>
      <c r="F699" t="inlineStr">
        <is>
          <t>Kommuner</t>
        </is>
      </c>
      <c r="G699" t="n">
        <v>2.1</v>
      </c>
      <c r="H699" t="n">
        <v>0</v>
      </c>
      <c r="I699" t="n">
        <v>0</v>
      </c>
      <c r="J699" t="n">
        <v>0</v>
      </c>
      <c r="K699" t="n">
        <v>0</v>
      </c>
      <c r="L699" t="n">
        <v>0</v>
      </c>
      <c r="M699" t="n">
        <v>0</v>
      </c>
      <c r="N699" t="n">
        <v>0</v>
      </c>
      <c r="O699" t="n">
        <v>0</v>
      </c>
      <c r="P699" t="n">
        <v>0</v>
      </c>
      <c r="Q699" t="n">
        <v>0</v>
      </c>
      <c r="R699" s="2" t="inlineStr"/>
    </row>
    <row r="700" ht="15" customHeight="1">
      <c r="A700" t="inlineStr">
        <is>
          <t>A 20210-2021</t>
        </is>
      </c>
      <c r="B700" s="1" t="n">
        <v>44314</v>
      </c>
      <c r="C700" s="1" t="n">
        <v>46050</v>
      </c>
      <c r="D700" t="inlineStr">
        <is>
          <t>STOCKHOLMS LÄN</t>
        </is>
      </c>
      <c r="E700" t="inlineStr">
        <is>
          <t>BOTKYRKA</t>
        </is>
      </c>
      <c r="G700" t="n">
        <v>4.2</v>
      </c>
      <c r="H700" t="n">
        <v>0</v>
      </c>
      <c r="I700" t="n">
        <v>0</v>
      </c>
      <c r="J700" t="n">
        <v>0</v>
      </c>
      <c r="K700" t="n">
        <v>0</v>
      </c>
      <c r="L700" t="n">
        <v>0</v>
      </c>
      <c r="M700" t="n">
        <v>0</v>
      </c>
      <c r="N700" t="n">
        <v>0</v>
      </c>
      <c r="O700" t="n">
        <v>0</v>
      </c>
      <c r="P700" t="n">
        <v>0</v>
      </c>
      <c r="Q700" t="n">
        <v>0</v>
      </c>
      <c r="R700" s="2" t="inlineStr"/>
    </row>
    <row r="701" ht="15" customHeight="1">
      <c r="A701" t="inlineStr">
        <is>
          <t>A 12779-2021</t>
        </is>
      </c>
      <c r="B701" s="1" t="n">
        <v>44270</v>
      </c>
      <c r="C701" s="1" t="n">
        <v>46050</v>
      </c>
      <c r="D701" t="inlineStr">
        <is>
          <t>STOCKHOLMS LÄN</t>
        </is>
      </c>
      <c r="E701" t="inlineStr">
        <is>
          <t>NORRTÄLJE</t>
        </is>
      </c>
      <c r="G701" t="n">
        <v>10.8</v>
      </c>
      <c r="H701" t="n">
        <v>0</v>
      </c>
      <c r="I701" t="n">
        <v>0</v>
      </c>
      <c r="J701" t="n">
        <v>0</v>
      </c>
      <c r="K701" t="n">
        <v>0</v>
      </c>
      <c r="L701" t="n">
        <v>0</v>
      </c>
      <c r="M701" t="n">
        <v>0</v>
      </c>
      <c r="N701" t="n">
        <v>0</v>
      </c>
      <c r="O701" t="n">
        <v>0</v>
      </c>
      <c r="P701" t="n">
        <v>0</v>
      </c>
      <c r="Q701" t="n">
        <v>0</v>
      </c>
      <c r="R701" s="2" t="inlineStr"/>
    </row>
    <row r="702" ht="15" customHeight="1">
      <c r="A702" t="inlineStr">
        <is>
          <t>A 12782-2021</t>
        </is>
      </c>
      <c r="B702" s="1" t="n">
        <v>44270</v>
      </c>
      <c r="C702" s="1" t="n">
        <v>46050</v>
      </c>
      <c r="D702" t="inlineStr">
        <is>
          <t>STOCKHOLMS LÄN</t>
        </is>
      </c>
      <c r="E702" t="inlineStr">
        <is>
          <t>NORRTÄLJE</t>
        </is>
      </c>
      <c r="G702" t="n">
        <v>3.8</v>
      </c>
      <c r="H702" t="n">
        <v>0</v>
      </c>
      <c r="I702" t="n">
        <v>0</v>
      </c>
      <c r="J702" t="n">
        <v>0</v>
      </c>
      <c r="K702" t="n">
        <v>0</v>
      </c>
      <c r="L702" t="n">
        <v>0</v>
      </c>
      <c r="M702" t="n">
        <v>0</v>
      </c>
      <c r="N702" t="n">
        <v>0</v>
      </c>
      <c r="O702" t="n">
        <v>0</v>
      </c>
      <c r="P702" t="n">
        <v>0</v>
      </c>
      <c r="Q702" t="n">
        <v>0</v>
      </c>
      <c r="R702" s="2" t="inlineStr"/>
    </row>
    <row r="703" ht="15" customHeight="1">
      <c r="A703" t="inlineStr">
        <is>
          <t>A 45541-2022</t>
        </is>
      </c>
      <c r="B703" s="1" t="n">
        <v>44845.47672453704</v>
      </c>
      <c r="C703" s="1" t="n">
        <v>46050</v>
      </c>
      <c r="D703" t="inlineStr">
        <is>
          <t>STOCKHOLMS LÄN</t>
        </is>
      </c>
      <c r="E703" t="inlineStr">
        <is>
          <t>NORRTÄLJE</t>
        </is>
      </c>
      <c r="G703" t="n">
        <v>0.4</v>
      </c>
      <c r="H703" t="n">
        <v>0</v>
      </c>
      <c r="I703" t="n">
        <v>0</v>
      </c>
      <c r="J703" t="n">
        <v>0</v>
      </c>
      <c r="K703" t="n">
        <v>0</v>
      </c>
      <c r="L703" t="n">
        <v>0</v>
      </c>
      <c r="M703" t="n">
        <v>0</v>
      </c>
      <c r="N703" t="n">
        <v>0</v>
      </c>
      <c r="O703" t="n">
        <v>0</v>
      </c>
      <c r="P703" t="n">
        <v>0</v>
      </c>
      <c r="Q703" t="n">
        <v>0</v>
      </c>
      <c r="R703" s="2" t="inlineStr"/>
    </row>
    <row r="704" ht="15" customHeight="1">
      <c r="A704" t="inlineStr">
        <is>
          <t>A 68273-2021</t>
        </is>
      </c>
      <c r="B704" s="1" t="n">
        <v>44526</v>
      </c>
      <c r="C704" s="1" t="n">
        <v>46050</v>
      </c>
      <c r="D704" t="inlineStr">
        <is>
          <t>STOCKHOLMS LÄN</t>
        </is>
      </c>
      <c r="E704" t="inlineStr">
        <is>
          <t>NORRTÄLJE</t>
        </is>
      </c>
      <c r="G704" t="n">
        <v>5.3</v>
      </c>
      <c r="H704" t="n">
        <v>0</v>
      </c>
      <c r="I704" t="n">
        <v>0</v>
      </c>
      <c r="J704" t="n">
        <v>0</v>
      </c>
      <c r="K704" t="n">
        <v>0</v>
      </c>
      <c r="L704" t="n">
        <v>0</v>
      </c>
      <c r="M704" t="n">
        <v>0</v>
      </c>
      <c r="N704" t="n">
        <v>0</v>
      </c>
      <c r="O704" t="n">
        <v>0</v>
      </c>
      <c r="P704" t="n">
        <v>0</v>
      </c>
      <c r="Q704" t="n">
        <v>0</v>
      </c>
      <c r="R704" s="2" t="inlineStr"/>
    </row>
    <row r="705" ht="15" customHeight="1">
      <c r="A705" t="inlineStr">
        <is>
          <t>A 73772-2021</t>
        </is>
      </c>
      <c r="B705" s="1" t="n">
        <v>44552</v>
      </c>
      <c r="C705" s="1" t="n">
        <v>46050</v>
      </c>
      <c r="D705" t="inlineStr">
        <is>
          <t>STOCKHOLMS LÄN</t>
        </is>
      </c>
      <c r="E705" t="inlineStr">
        <is>
          <t>BOTKYRKA</t>
        </is>
      </c>
      <c r="G705" t="n">
        <v>0.8</v>
      </c>
      <c r="H705" t="n">
        <v>0</v>
      </c>
      <c r="I705" t="n">
        <v>0</v>
      </c>
      <c r="J705" t="n">
        <v>0</v>
      </c>
      <c r="K705" t="n">
        <v>0</v>
      </c>
      <c r="L705" t="n">
        <v>0</v>
      </c>
      <c r="M705" t="n">
        <v>0</v>
      </c>
      <c r="N705" t="n">
        <v>0</v>
      </c>
      <c r="O705" t="n">
        <v>0</v>
      </c>
      <c r="P705" t="n">
        <v>0</v>
      </c>
      <c r="Q705" t="n">
        <v>0</v>
      </c>
      <c r="R705" s="2" t="inlineStr"/>
    </row>
    <row r="706" ht="15" customHeight="1">
      <c r="A706" t="inlineStr">
        <is>
          <t>A 16437-2022</t>
        </is>
      </c>
      <c r="B706" s="1" t="n">
        <v>44671</v>
      </c>
      <c r="C706" s="1" t="n">
        <v>46050</v>
      </c>
      <c r="D706" t="inlineStr">
        <is>
          <t>STOCKHOLMS LÄN</t>
        </is>
      </c>
      <c r="E706" t="inlineStr">
        <is>
          <t>SÖDERTÄLJE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40143-2021</t>
        </is>
      </c>
      <c r="B707" s="1" t="n">
        <v>44418</v>
      </c>
      <c r="C707" s="1" t="n">
        <v>46050</v>
      </c>
      <c r="D707" t="inlineStr">
        <is>
          <t>STOCKHOLMS LÄN</t>
        </is>
      </c>
      <c r="E707" t="inlineStr">
        <is>
          <t>NYNÄSHAMN</t>
        </is>
      </c>
      <c r="F707" t="inlineStr">
        <is>
          <t>Kommuner</t>
        </is>
      </c>
      <c r="G707" t="n">
        <v>1.8</v>
      </c>
      <c r="H707" t="n">
        <v>0</v>
      </c>
      <c r="I707" t="n">
        <v>0</v>
      </c>
      <c r="J707" t="n">
        <v>0</v>
      </c>
      <c r="K707" t="n">
        <v>0</v>
      </c>
      <c r="L707" t="n">
        <v>0</v>
      </c>
      <c r="M707" t="n">
        <v>0</v>
      </c>
      <c r="N707" t="n">
        <v>0</v>
      </c>
      <c r="O707" t="n">
        <v>0</v>
      </c>
      <c r="P707" t="n">
        <v>0</v>
      </c>
      <c r="Q707" t="n">
        <v>0</v>
      </c>
      <c r="R707" s="2" t="inlineStr"/>
    </row>
    <row r="708" ht="15" customHeight="1">
      <c r="A708" t="inlineStr">
        <is>
          <t>A 5562-2021</t>
        </is>
      </c>
      <c r="B708" s="1" t="n">
        <v>44230</v>
      </c>
      <c r="C708" s="1" t="n">
        <v>46050</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5566-2021</t>
        </is>
      </c>
      <c r="B709" s="1" t="n">
        <v>44230</v>
      </c>
      <c r="C709" s="1" t="n">
        <v>46050</v>
      </c>
      <c r="D709" t="inlineStr">
        <is>
          <t>STOCKHOLMS LÄN</t>
        </is>
      </c>
      <c r="E709" t="inlineStr">
        <is>
          <t>NORRTÄLJE</t>
        </is>
      </c>
      <c r="G709" t="n">
        <v>3.1</v>
      </c>
      <c r="H709" t="n">
        <v>0</v>
      </c>
      <c r="I709" t="n">
        <v>0</v>
      </c>
      <c r="J709" t="n">
        <v>0</v>
      </c>
      <c r="K709" t="n">
        <v>0</v>
      </c>
      <c r="L709" t="n">
        <v>0</v>
      </c>
      <c r="M709" t="n">
        <v>0</v>
      </c>
      <c r="N709" t="n">
        <v>0</v>
      </c>
      <c r="O709" t="n">
        <v>0</v>
      </c>
      <c r="P709" t="n">
        <v>0</v>
      </c>
      <c r="Q709" t="n">
        <v>0</v>
      </c>
      <c r="R709" s="2" t="inlineStr"/>
    </row>
    <row r="710" ht="15" customHeight="1">
      <c r="A710" t="inlineStr">
        <is>
          <t>A 37843-2022</t>
        </is>
      </c>
      <c r="B710" s="1" t="n">
        <v>44810</v>
      </c>
      <c r="C710" s="1" t="n">
        <v>46050</v>
      </c>
      <c r="D710" t="inlineStr">
        <is>
          <t>STOCKHOLMS LÄN</t>
        </is>
      </c>
      <c r="E710" t="inlineStr">
        <is>
          <t>SÖDERTÄLJE</t>
        </is>
      </c>
      <c r="G710" t="n">
        <v>5.5</v>
      </c>
      <c r="H710" t="n">
        <v>0</v>
      </c>
      <c r="I710" t="n">
        <v>0</v>
      </c>
      <c r="J710" t="n">
        <v>0</v>
      </c>
      <c r="K710" t="n">
        <v>0</v>
      </c>
      <c r="L710" t="n">
        <v>0</v>
      </c>
      <c r="M710" t="n">
        <v>0</v>
      </c>
      <c r="N710" t="n">
        <v>0</v>
      </c>
      <c r="O710" t="n">
        <v>0</v>
      </c>
      <c r="P710" t="n">
        <v>0</v>
      </c>
      <c r="Q710" t="n">
        <v>0</v>
      </c>
      <c r="R710" s="2" t="inlineStr"/>
    </row>
    <row r="711" ht="15" customHeight="1">
      <c r="A711" t="inlineStr">
        <is>
          <t>A 52139-2022</t>
        </is>
      </c>
      <c r="B711" s="1" t="n">
        <v>44868</v>
      </c>
      <c r="C711" s="1" t="n">
        <v>46050</v>
      </c>
      <c r="D711" t="inlineStr">
        <is>
          <t>STOCKHOLMS LÄN</t>
        </is>
      </c>
      <c r="E711" t="inlineStr">
        <is>
          <t>NORRTÄLJE</t>
        </is>
      </c>
      <c r="G711" t="n">
        <v>3.2</v>
      </c>
      <c r="H711" t="n">
        <v>0</v>
      </c>
      <c r="I711" t="n">
        <v>0</v>
      </c>
      <c r="J711" t="n">
        <v>0</v>
      </c>
      <c r="K711" t="n">
        <v>0</v>
      </c>
      <c r="L711" t="n">
        <v>0</v>
      </c>
      <c r="M711" t="n">
        <v>0</v>
      </c>
      <c r="N711" t="n">
        <v>0</v>
      </c>
      <c r="O711" t="n">
        <v>0</v>
      </c>
      <c r="P711" t="n">
        <v>0</v>
      </c>
      <c r="Q711" t="n">
        <v>0</v>
      </c>
      <c r="R711" s="2" t="inlineStr"/>
      <c r="U711">
        <f>HYPERLINK("https://klasma.github.io/Logging_0188/knärot/A 52139-2022 karta knärot.png", "A 52139-2022")</f>
        <v/>
      </c>
      <c r="V711">
        <f>HYPERLINK("https://klasma.github.io/Logging_0188/klagomål/A 52139-2022 FSC-klagomål.docx", "A 52139-2022")</f>
        <v/>
      </c>
      <c r="W711">
        <f>HYPERLINK("https://klasma.github.io/Logging_0188/klagomålsmail/A 52139-2022 FSC-klagomål mail.docx", "A 52139-2022")</f>
        <v/>
      </c>
      <c r="X711">
        <f>HYPERLINK("https://klasma.github.io/Logging_0188/tillsyn/A 52139-2022 tillsynsbegäran.docx", "A 52139-2022")</f>
        <v/>
      </c>
      <c r="Y711">
        <f>HYPERLINK("https://klasma.github.io/Logging_0188/tillsynsmail/A 52139-2022 tillsynsbegäran mail.docx", "A 52139-2022")</f>
        <v/>
      </c>
    </row>
    <row r="712" ht="15" customHeight="1">
      <c r="A712" t="inlineStr">
        <is>
          <t>A 9446-2021</t>
        </is>
      </c>
      <c r="B712" s="1" t="n">
        <v>44251</v>
      </c>
      <c r="C712" s="1" t="n">
        <v>46050</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42624-2021</t>
        </is>
      </c>
      <c r="B713" s="1" t="n">
        <v>44428</v>
      </c>
      <c r="C713" s="1" t="n">
        <v>46050</v>
      </c>
      <c r="D713" t="inlineStr">
        <is>
          <t>STOCKHOLMS LÄN</t>
        </is>
      </c>
      <c r="E713" t="inlineStr">
        <is>
          <t>VALLENTUNA</t>
        </is>
      </c>
      <c r="G713" t="n">
        <v>0.7</v>
      </c>
      <c r="H713" t="n">
        <v>0</v>
      </c>
      <c r="I713" t="n">
        <v>0</v>
      </c>
      <c r="J713" t="n">
        <v>0</v>
      </c>
      <c r="K713" t="n">
        <v>0</v>
      </c>
      <c r="L713" t="n">
        <v>0</v>
      </c>
      <c r="M713" t="n">
        <v>0</v>
      </c>
      <c r="N713" t="n">
        <v>0</v>
      </c>
      <c r="O713" t="n">
        <v>0</v>
      </c>
      <c r="P713" t="n">
        <v>0</v>
      </c>
      <c r="Q713" t="n">
        <v>0</v>
      </c>
      <c r="R713" s="2" t="inlineStr"/>
    </row>
    <row r="714" ht="15" customHeight="1">
      <c r="A714" t="inlineStr">
        <is>
          <t>A 17673-2021</t>
        </is>
      </c>
      <c r="B714" s="1" t="n">
        <v>44300</v>
      </c>
      <c r="C714" s="1" t="n">
        <v>46050</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c r="T714">
        <f>HYPERLINK("https://klasma.github.io/Logging_0188/kartor/A 17673-2021 karta.png", "A 17673-2021")</f>
        <v/>
      </c>
      <c r="V714">
        <f>HYPERLINK("https://klasma.github.io/Logging_0188/klagomål/A 17673-2021 FSC-klagomål.docx", "A 17673-2021")</f>
        <v/>
      </c>
      <c r="W714">
        <f>HYPERLINK("https://klasma.github.io/Logging_0188/klagomålsmail/A 17673-2021 FSC-klagomål mail.docx", "A 17673-2021")</f>
        <v/>
      </c>
      <c r="X714">
        <f>HYPERLINK("https://klasma.github.io/Logging_0188/tillsyn/A 17673-2021 tillsynsbegäran.docx", "A 17673-2021")</f>
        <v/>
      </c>
      <c r="Y714">
        <f>HYPERLINK("https://klasma.github.io/Logging_0188/tillsynsmail/A 17673-2021 tillsynsbegäran mail.docx", "A 17673-2021")</f>
        <v/>
      </c>
      <c r="Z714">
        <f>HYPERLINK("https://klasma.github.io/Logging_0188/fåglar/A 17673-2021 prioriterade fågelarter.docx", "A 17673-2021")</f>
        <v/>
      </c>
    </row>
    <row r="715" ht="15" customHeight="1">
      <c r="A715" t="inlineStr">
        <is>
          <t>A 27217-2021</t>
        </is>
      </c>
      <c r="B715" s="1" t="n">
        <v>44350</v>
      </c>
      <c r="C715" s="1" t="n">
        <v>46050</v>
      </c>
      <c r="D715" t="inlineStr">
        <is>
          <t>STOCKHOLMS LÄN</t>
        </is>
      </c>
      <c r="E715" t="inlineStr">
        <is>
          <t>NORRTÄLJE</t>
        </is>
      </c>
      <c r="G715" t="n">
        <v>5.5</v>
      </c>
      <c r="H715" t="n">
        <v>0</v>
      </c>
      <c r="I715" t="n">
        <v>0</v>
      </c>
      <c r="J715" t="n">
        <v>0</v>
      </c>
      <c r="K715" t="n">
        <v>0</v>
      </c>
      <c r="L715" t="n">
        <v>0</v>
      </c>
      <c r="M715" t="n">
        <v>0</v>
      </c>
      <c r="N715" t="n">
        <v>0</v>
      </c>
      <c r="O715" t="n">
        <v>0</v>
      </c>
      <c r="P715" t="n">
        <v>0</v>
      </c>
      <c r="Q715" t="n">
        <v>0</v>
      </c>
      <c r="R715" s="2" t="inlineStr"/>
    </row>
    <row r="716" ht="15" customHeight="1">
      <c r="A716" t="inlineStr">
        <is>
          <t>A 62030-2021</t>
        </is>
      </c>
      <c r="B716" s="1" t="n">
        <v>44502</v>
      </c>
      <c r="C716" s="1" t="n">
        <v>46050</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12875-2022</t>
        </is>
      </c>
      <c r="B717" s="1" t="n">
        <v>44642.55565972222</v>
      </c>
      <c r="C717" s="1" t="n">
        <v>46050</v>
      </c>
      <c r="D717" t="inlineStr">
        <is>
          <t>STOCKHOLMS LÄN</t>
        </is>
      </c>
      <c r="E717" t="inlineStr">
        <is>
          <t>NORRTÄLJE</t>
        </is>
      </c>
      <c r="G717" t="n">
        <v>1.6</v>
      </c>
      <c r="H717" t="n">
        <v>0</v>
      </c>
      <c r="I717" t="n">
        <v>0</v>
      </c>
      <c r="J717" t="n">
        <v>0</v>
      </c>
      <c r="K717" t="n">
        <v>0</v>
      </c>
      <c r="L717" t="n">
        <v>0</v>
      </c>
      <c r="M717" t="n">
        <v>0</v>
      </c>
      <c r="N717" t="n">
        <v>0</v>
      </c>
      <c r="O717" t="n">
        <v>0</v>
      </c>
      <c r="P717" t="n">
        <v>0</v>
      </c>
      <c r="Q717" t="n">
        <v>0</v>
      </c>
      <c r="R717" s="2" t="inlineStr"/>
    </row>
    <row r="718" ht="15" customHeight="1">
      <c r="A718" t="inlineStr">
        <is>
          <t>A 10817-2021</t>
        </is>
      </c>
      <c r="B718" s="1" t="n">
        <v>44259</v>
      </c>
      <c r="C718" s="1" t="n">
        <v>46050</v>
      </c>
      <c r="D718" t="inlineStr">
        <is>
          <t>STOCKHOLMS LÄN</t>
        </is>
      </c>
      <c r="E718" t="inlineStr">
        <is>
          <t>BOTKYRKA</t>
        </is>
      </c>
      <c r="G718" t="n">
        <v>0.9</v>
      </c>
      <c r="H718" t="n">
        <v>0</v>
      </c>
      <c r="I718" t="n">
        <v>0</v>
      </c>
      <c r="J718" t="n">
        <v>0</v>
      </c>
      <c r="K718" t="n">
        <v>0</v>
      </c>
      <c r="L718" t="n">
        <v>0</v>
      </c>
      <c r="M718" t="n">
        <v>0</v>
      </c>
      <c r="N718" t="n">
        <v>0</v>
      </c>
      <c r="O718" t="n">
        <v>0</v>
      </c>
      <c r="P718" t="n">
        <v>0</v>
      </c>
      <c r="Q718" t="n">
        <v>0</v>
      </c>
      <c r="R718" s="2" t="inlineStr"/>
    </row>
    <row r="719" ht="15" customHeight="1">
      <c r="A719" t="inlineStr">
        <is>
          <t>A 23453-2021</t>
        </is>
      </c>
      <c r="B719" s="1" t="n">
        <v>44333</v>
      </c>
      <c r="C719" s="1" t="n">
        <v>46050</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10525-2021</t>
        </is>
      </c>
      <c r="B720" s="1" t="n">
        <v>44258</v>
      </c>
      <c r="C720" s="1" t="n">
        <v>46050</v>
      </c>
      <c r="D720" t="inlineStr">
        <is>
          <t>STOCKHOLMS LÄN</t>
        </is>
      </c>
      <c r="E720" t="inlineStr">
        <is>
          <t>NYNÄSHAMN</t>
        </is>
      </c>
      <c r="G720" t="n">
        <v>1.1</v>
      </c>
      <c r="H720" t="n">
        <v>0</v>
      </c>
      <c r="I720" t="n">
        <v>0</v>
      </c>
      <c r="J720" t="n">
        <v>0</v>
      </c>
      <c r="K720" t="n">
        <v>0</v>
      </c>
      <c r="L720" t="n">
        <v>0</v>
      </c>
      <c r="M720" t="n">
        <v>0</v>
      </c>
      <c r="N720" t="n">
        <v>0</v>
      </c>
      <c r="O720" t="n">
        <v>0</v>
      </c>
      <c r="P720" t="n">
        <v>0</v>
      </c>
      <c r="Q720" t="n">
        <v>0</v>
      </c>
      <c r="R720" s="2" t="inlineStr"/>
    </row>
    <row r="721" ht="15" customHeight="1">
      <c r="A721" t="inlineStr">
        <is>
          <t>A 49657-2021</t>
        </is>
      </c>
      <c r="B721" s="1" t="n">
        <v>44455.45670138889</v>
      </c>
      <c r="C721" s="1" t="n">
        <v>46050</v>
      </c>
      <c r="D721" t="inlineStr">
        <is>
          <t>STOCKHOLMS LÄN</t>
        </is>
      </c>
      <c r="E721" t="inlineStr">
        <is>
          <t>NYNÄSHAMN</t>
        </is>
      </c>
      <c r="G721" t="n">
        <v>1</v>
      </c>
      <c r="H721" t="n">
        <v>0</v>
      </c>
      <c r="I721" t="n">
        <v>0</v>
      </c>
      <c r="J721" t="n">
        <v>0</v>
      </c>
      <c r="K721" t="n">
        <v>0</v>
      </c>
      <c r="L721" t="n">
        <v>0</v>
      </c>
      <c r="M721" t="n">
        <v>0</v>
      </c>
      <c r="N721" t="n">
        <v>0</v>
      </c>
      <c r="O721" t="n">
        <v>0</v>
      </c>
      <c r="P721" t="n">
        <v>0</v>
      </c>
      <c r="Q721" t="n">
        <v>0</v>
      </c>
      <c r="R721" s="2" t="inlineStr"/>
    </row>
    <row r="722" ht="15" customHeight="1">
      <c r="A722" t="inlineStr">
        <is>
          <t>A 14725-2022</t>
        </is>
      </c>
      <c r="B722" s="1" t="n">
        <v>44655</v>
      </c>
      <c r="C722" s="1" t="n">
        <v>46050</v>
      </c>
      <c r="D722" t="inlineStr">
        <is>
          <t>STOCKHOLMS LÄN</t>
        </is>
      </c>
      <c r="E722" t="inlineStr">
        <is>
          <t>VALLENTUNA</t>
        </is>
      </c>
      <c r="G722" t="n">
        <v>0.6</v>
      </c>
      <c r="H722" t="n">
        <v>0</v>
      </c>
      <c r="I722" t="n">
        <v>0</v>
      </c>
      <c r="J722" t="n">
        <v>0</v>
      </c>
      <c r="K722" t="n">
        <v>0</v>
      </c>
      <c r="L722" t="n">
        <v>0</v>
      </c>
      <c r="M722" t="n">
        <v>0</v>
      </c>
      <c r="N722" t="n">
        <v>0</v>
      </c>
      <c r="O722" t="n">
        <v>0</v>
      </c>
      <c r="P722" t="n">
        <v>0</v>
      </c>
      <c r="Q722" t="n">
        <v>0</v>
      </c>
      <c r="R722" s="2" t="inlineStr"/>
    </row>
    <row r="723" ht="15" customHeight="1">
      <c r="A723" t="inlineStr">
        <is>
          <t>A 52035-2021</t>
        </is>
      </c>
      <c r="B723" s="1" t="n">
        <v>44463</v>
      </c>
      <c r="C723" s="1" t="n">
        <v>46050</v>
      </c>
      <c r="D723" t="inlineStr">
        <is>
          <t>STOCKHOLMS LÄN</t>
        </is>
      </c>
      <c r="E723" t="inlineStr">
        <is>
          <t>BOTKYRKA</t>
        </is>
      </c>
      <c r="G723" t="n">
        <v>1.2</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46050</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72176-2021</t>
        </is>
      </c>
      <c r="B725" s="1" t="n">
        <v>44544</v>
      </c>
      <c r="C725" s="1" t="n">
        <v>46050</v>
      </c>
      <c r="D725" t="inlineStr">
        <is>
          <t>STOCKHOLMS LÄN</t>
        </is>
      </c>
      <c r="E725" t="inlineStr">
        <is>
          <t>VÄRMDÖ</t>
        </is>
      </c>
      <c r="G725" t="n">
        <v>2.6</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46050</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41822-2021</t>
        </is>
      </c>
      <c r="B727" s="1" t="n">
        <v>44425</v>
      </c>
      <c r="C727" s="1" t="n">
        <v>46050</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41823-2021</t>
        </is>
      </c>
      <c r="B728" s="1" t="n">
        <v>44425</v>
      </c>
      <c r="C728" s="1" t="n">
        <v>46050</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46050</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27214-2021</t>
        </is>
      </c>
      <c r="B730" s="1" t="n">
        <v>44350</v>
      </c>
      <c r="C730" s="1" t="n">
        <v>46050</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8295-2022</t>
        </is>
      </c>
      <c r="B731" s="1" t="n">
        <v>44610</v>
      </c>
      <c r="C731" s="1" t="n">
        <v>46050</v>
      </c>
      <c r="D731" t="inlineStr">
        <is>
          <t>STOCKHOLMS LÄN</t>
        </is>
      </c>
      <c r="E731" t="inlineStr">
        <is>
          <t>NYKVARN</t>
        </is>
      </c>
      <c r="G731" t="n">
        <v>4.5</v>
      </c>
      <c r="H731" t="n">
        <v>0</v>
      </c>
      <c r="I731" t="n">
        <v>0</v>
      </c>
      <c r="J731" t="n">
        <v>0</v>
      </c>
      <c r="K731" t="n">
        <v>0</v>
      </c>
      <c r="L731" t="n">
        <v>0</v>
      </c>
      <c r="M731" t="n">
        <v>0</v>
      </c>
      <c r="N731" t="n">
        <v>0</v>
      </c>
      <c r="O731" t="n">
        <v>0</v>
      </c>
      <c r="P731" t="n">
        <v>0</v>
      </c>
      <c r="Q731" t="n">
        <v>0</v>
      </c>
      <c r="R731" s="2" t="inlineStr"/>
    </row>
    <row r="732" ht="15" customHeight="1">
      <c r="A732" t="inlineStr">
        <is>
          <t>A 20295-2022</t>
        </is>
      </c>
      <c r="B732" s="1" t="n">
        <v>44698</v>
      </c>
      <c r="C732" s="1" t="n">
        <v>46050</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37415-2021</t>
        </is>
      </c>
      <c r="B733" s="1" t="n">
        <v>44397</v>
      </c>
      <c r="C733" s="1" t="n">
        <v>46050</v>
      </c>
      <c r="D733" t="inlineStr">
        <is>
          <t>STOCKHOLMS LÄN</t>
        </is>
      </c>
      <c r="E733" t="inlineStr">
        <is>
          <t>NORRTÄLJE</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35492-2021</t>
        </is>
      </c>
      <c r="B734" s="1" t="n">
        <v>44385</v>
      </c>
      <c r="C734" s="1" t="n">
        <v>46050</v>
      </c>
      <c r="D734" t="inlineStr">
        <is>
          <t>STOCKHOLMS LÄN</t>
        </is>
      </c>
      <c r="E734" t="inlineStr">
        <is>
          <t>BOTKYRKA</t>
        </is>
      </c>
      <c r="G734" t="n">
        <v>2.9</v>
      </c>
      <c r="H734" t="n">
        <v>0</v>
      </c>
      <c r="I734" t="n">
        <v>0</v>
      </c>
      <c r="J734" t="n">
        <v>0</v>
      </c>
      <c r="K734" t="n">
        <v>0</v>
      </c>
      <c r="L734" t="n">
        <v>0</v>
      </c>
      <c r="M734" t="n">
        <v>0</v>
      </c>
      <c r="N734" t="n">
        <v>0</v>
      </c>
      <c r="O734" t="n">
        <v>0</v>
      </c>
      <c r="P734" t="n">
        <v>0</v>
      </c>
      <c r="Q734" t="n">
        <v>0</v>
      </c>
      <c r="R734" s="2" t="inlineStr"/>
    </row>
    <row r="735" ht="15" customHeight="1">
      <c r="A735" t="inlineStr">
        <is>
          <t>A 31160-2022</t>
        </is>
      </c>
      <c r="B735" s="1" t="n">
        <v>44770</v>
      </c>
      <c r="C735" s="1" t="n">
        <v>46050</v>
      </c>
      <c r="D735" t="inlineStr">
        <is>
          <t>STOCKHOLMS LÄN</t>
        </is>
      </c>
      <c r="E735" t="inlineStr">
        <is>
          <t>UPPLANDS-BRO</t>
        </is>
      </c>
      <c r="G735" t="n">
        <v>3.7</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46050</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8160-2022</t>
        </is>
      </c>
      <c r="B737" s="1" t="n">
        <v>44609</v>
      </c>
      <c r="C737" s="1" t="n">
        <v>46050</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7085-2022</t>
        </is>
      </c>
      <c r="B738" s="1" t="n">
        <v>44603</v>
      </c>
      <c r="C738" s="1" t="n">
        <v>46050</v>
      </c>
      <c r="D738" t="inlineStr">
        <is>
          <t>STOCKHOLMS LÄN</t>
        </is>
      </c>
      <c r="E738" t="inlineStr">
        <is>
          <t>VALLENTUNA</t>
        </is>
      </c>
      <c r="G738" t="n">
        <v>1.6</v>
      </c>
      <c r="H738" t="n">
        <v>0</v>
      </c>
      <c r="I738" t="n">
        <v>0</v>
      </c>
      <c r="J738" t="n">
        <v>0</v>
      </c>
      <c r="K738" t="n">
        <v>0</v>
      </c>
      <c r="L738" t="n">
        <v>0</v>
      </c>
      <c r="M738" t="n">
        <v>0</v>
      </c>
      <c r="N738" t="n">
        <v>0</v>
      </c>
      <c r="O738" t="n">
        <v>0</v>
      </c>
      <c r="P738" t="n">
        <v>0</v>
      </c>
      <c r="Q738" t="n">
        <v>0</v>
      </c>
      <c r="R738" s="2" t="inlineStr"/>
    </row>
    <row r="739" ht="15" customHeight="1">
      <c r="A739" t="inlineStr">
        <is>
          <t>A 67220-2021</t>
        </is>
      </c>
      <c r="B739" s="1" t="n">
        <v>44523</v>
      </c>
      <c r="C739" s="1" t="n">
        <v>46050</v>
      </c>
      <c r="D739" t="inlineStr">
        <is>
          <t>STOCKHOLMS LÄN</t>
        </is>
      </c>
      <c r="E739" t="inlineStr">
        <is>
          <t>NYKVARN</t>
        </is>
      </c>
      <c r="G739" t="n">
        <v>3.4</v>
      </c>
      <c r="H739" t="n">
        <v>0</v>
      </c>
      <c r="I739" t="n">
        <v>0</v>
      </c>
      <c r="J739" t="n">
        <v>0</v>
      </c>
      <c r="K739" t="n">
        <v>0</v>
      </c>
      <c r="L739" t="n">
        <v>0</v>
      </c>
      <c r="M739" t="n">
        <v>0</v>
      </c>
      <c r="N739" t="n">
        <v>0</v>
      </c>
      <c r="O739" t="n">
        <v>0</v>
      </c>
      <c r="P739" t="n">
        <v>0</v>
      </c>
      <c r="Q739" t="n">
        <v>0</v>
      </c>
      <c r="R739" s="2" t="inlineStr"/>
    </row>
    <row r="740" ht="15" customHeight="1">
      <c r="A740" t="inlineStr">
        <is>
          <t>A 30286-2022</t>
        </is>
      </c>
      <c r="B740" s="1" t="n">
        <v>44760</v>
      </c>
      <c r="C740" s="1" t="n">
        <v>46050</v>
      </c>
      <c r="D740" t="inlineStr">
        <is>
          <t>STOCKHOLMS LÄN</t>
        </is>
      </c>
      <c r="E740" t="inlineStr">
        <is>
          <t>NORRTÄLJE</t>
        </is>
      </c>
      <c r="G740" t="n">
        <v>0.3</v>
      </c>
      <c r="H740" t="n">
        <v>0</v>
      </c>
      <c r="I740" t="n">
        <v>0</v>
      </c>
      <c r="J740" t="n">
        <v>0</v>
      </c>
      <c r="K740" t="n">
        <v>0</v>
      </c>
      <c r="L740" t="n">
        <v>0</v>
      </c>
      <c r="M740" t="n">
        <v>0</v>
      </c>
      <c r="N740" t="n">
        <v>0</v>
      </c>
      <c r="O740" t="n">
        <v>0</v>
      </c>
      <c r="P740" t="n">
        <v>0</v>
      </c>
      <c r="Q740" t="n">
        <v>0</v>
      </c>
      <c r="R740" s="2" t="inlineStr"/>
    </row>
    <row r="741" ht="15" customHeight="1">
      <c r="A741" t="inlineStr">
        <is>
          <t>A 48647-2022</t>
        </is>
      </c>
      <c r="B741" s="1" t="n">
        <v>44859</v>
      </c>
      <c r="C741" s="1" t="n">
        <v>46050</v>
      </c>
      <c r="D741" t="inlineStr">
        <is>
          <t>STOCKHOLMS LÄN</t>
        </is>
      </c>
      <c r="E741" t="inlineStr">
        <is>
          <t>BOTKYRKA</t>
        </is>
      </c>
      <c r="F741" t="inlineStr">
        <is>
          <t>Övriga Aktiebolag</t>
        </is>
      </c>
      <c r="G741" t="n">
        <v>0.5</v>
      </c>
      <c r="H741" t="n">
        <v>0</v>
      </c>
      <c r="I741" t="n">
        <v>0</v>
      </c>
      <c r="J741" t="n">
        <v>0</v>
      </c>
      <c r="K741" t="n">
        <v>0</v>
      </c>
      <c r="L741" t="n">
        <v>0</v>
      </c>
      <c r="M741" t="n">
        <v>0</v>
      </c>
      <c r="N741" t="n">
        <v>0</v>
      </c>
      <c r="O741" t="n">
        <v>0</v>
      </c>
      <c r="P741" t="n">
        <v>0</v>
      </c>
      <c r="Q741" t="n">
        <v>0</v>
      </c>
      <c r="R741" s="2" t="inlineStr"/>
    </row>
    <row r="742" ht="15" customHeight="1">
      <c r="A742" t="inlineStr">
        <is>
          <t>A 39319-2022</t>
        </is>
      </c>
      <c r="B742" s="1" t="n">
        <v>44817.70516203704</v>
      </c>
      <c r="C742" s="1" t="n">
        <v>46050</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56219-2021</t>
        </is>
      </c>
      <c r="B743" s="1" t="n">
        <v>44477</v>
      </c>
      <c r="C743" s="1" t="n">
        <v>46050</v>
      </c>
      <c r="D743" t="inlineStr">
        <is>
          <t>STOCKHOLMS LÄN</t>
        </is>
      </c>
      <c r="E743" t="inlineStr">
        <is>
          <t>NORRTÄLJE</t>
        </is>
      </c>
      <c r="F743" t="inlineStr">
        <is>
          <t>Kommuner</t>
        </is>
      </c>
      <c r="G743" t="n">
        <v>2.3</v>
      </c>
      <c r="H743" t="n">
        <v>0</v>
      </c>
      <c r="I743" t="n">
        <v>0</v>
      </c>
      <c r="J743" t="n">
        <v>0</v>
      </c>
      <c r="K743" t="n">
        <v>0</v>
      </c>
      <c r="L743" t="n">
        <v>0</v>
      </c>
      <c r="M743" t="n">
        <v>0</v>
      </c>
      <c r="N743" t="n">
        <v>0</v>
      </c>
      <c r="O743" t="n">
        <v>0</v>
      </c>
      <c r="P743" t="n">
        <v>0</v>
      </c>
      <c r="Q743" t="n">
        <v>0</v>
      </c>
      <c r="R743" s="2" t="inlineStr"/>
    </row>
    <row r="744" ht="15" customHeight="1">
      <c r="A744" t="inlineStr">
        <is>
          <t>A 48309-2022</t>
        </is>
      </c>
      <c r="B744" s="1" t="n">
        <v>44854</v>
      </c>
      <c r="C744" s="1" t="n">
        <v>46050</v>
      </c>
      <c r="D744" t="inlineStr">
        <is>
          <t>STOCKHOLMS LÄN</t>
        </is>
      </c>
      <c r="E744" t="inlineStr">
        <is>
          <t>NYNÄSHAMN</t>
        </is>
      </c>
      <c r="F744" t="inlineStr">
        <is>
          <t>Övriga statliga verk och myndigheter</t>
        </is>
      </c>
      <c r="G744" t="n">
        <v>7.4</v>
      </c>
      <c r="H744" t="n">
        <v>0</v>
      </c>
      <c r="I744" t="n">
        <v>0</v>
      </c>
      <c r="J744" t="n">
        <v>0</v>
      </c>
      <c r="K744" t="n">
        <v>0</v>
      </c>
      <c r="L744" t="n">
        <v>0</v>
      </c>
      <c r="M744" t="n">
        <v>0</v>
      </c>
      <c r="N744" t="n">
        <v>0</v>
      </c>
      <c r="O744" t="n">
        <v>0</v>
      </c>
      <c r="P744" t="n">
        <v>0</v>
      </c>
      <c r="Q744" t="n">
        <v>0</v>
      </c>
      <c r="R744" s="2" t="inlineStr"/>
    </row>
    <row r="745" ht="15" customHeight="1">
      <c r="A745" t="inlineStr">
        <is>
          <t>A 14719-2022</t>
        </is>
      </c>
      <c r="B745" s="1" t="n">
        <v>44655</v>
      </c>
      <c r="C745" s="1" t="n">
        <v>46050</v>
      </c>
      <c r="D745" t="inlineStr">
        <is>
          <t>STOCKHOLMS LÄN</t>
        </is>
      </c>
      <c r="E745" t="inlineStr">
        <is>
          <t>UPPLANDS-BRO</t>
        </is>
      </c>
      <c r="F745" t="inlineStr">
        <is>
          <t>Allmännings- och besparingsskogar</t>
        </is>
      </c>
      <c r="G745" t="n">
        <v>1.2</v>
      </c>
      <c r="H745" t="n">
        <v>0</v>
      </c>
      <c r="I745" t="n">
        <v>0</v>
      </c>
      <c r="J745" t="n">
        <v>0</v>
      </c>
      <c r="K745" t="n">
        <v>0</v>
      </c>
      <c r="L745" t="n">
        <v>0</v>
      </c>
      <c r="M745" t="n">
        <v>0</v>
      </c>
      <c r="N745" t="n">
        <v>0</v>
      </c>
      <c r="O745" t="n">
        <v>0</v>
      </c>
      <c r="P745" t="n">
        <v>0</v>
      </c>
      <c r="Q745" t="n">
        <v>0</v>
      </c>
      <c r="R745" s="2" t="inlineStr"/>
    </row>
    <row r="746" ht="15" customHeight="1">
      <c r="A746" t="inlineStr">
        <is>
          <t>A 15226-2022</t>
        </is>
      </c>
      <c r="B746" s="1" t="n">
        <v>44658</v>
      </c>
      <c r="C746" s="1" t="n">
        <v>46050</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3300-2022</t>
        </is>
      </c>
      <c r="B747" s="1" t="n">
        <v>44584.91538194445</v>
      </c>
      <c r="C747" s="1" t="n">
        <v>46050</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17388-2022</t>
        </is>
      </c>
      <c r="B748" s="1" t="n">
        <v>44678</v>
      </c>
      <c r="C748" s="1" t="n">
        <v>46050</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17771-2022</t>
        </is>
      </c>
      <c r="B749" s="1" t="n">
        <v>44682.75924768519</v>
      </c>
      <c r="C749" s="1" t="n">
        <v>46050</v>
      </c>
      <c r="D749" t="inlineStr">
        <is>
          <t>STOCKHOLMS LÄN</t>
        </is>
      </c>
      <c r="E749" t="inlineStr">
        <is>
          <t>NORRTÄLJE</t>
        </is>
      </c>
      <c r="G749" t="n">
        <v>13.3</v>
      </c>
      <c r="H749" t="n">
        <v>0</v>
      </c>
      <c r="I749" t="n">
        <v>0</v>
      </c>
      <c r="J749" t="n">
        <v>0</v>
      </c>
      <c r="K749" t="n">
        <v>0</v>
      </c>
      <c r="L749" t="n">
        <v>0</v>
      </c>
      <c r="M749" t="n">
        <v>0</v>
      </c>
      <c r="N749" t="n">
        <v>0</v>
      </c>
      <c r="O749" t="n">
        <v>0</v>
      </c>
      <c r="P749" t="n">
        <v>0</v>
      </c>
      <c r="Q749" t="n">
        <v>0</v>
      </c>
      <c r="R749" s="2" t="inlineStr"/>
    </row>
    <row r="750" ht="15" customHeight="1">
      <c r="A750" t="inlineStr">
        <is>
          <t>A 17773-2022</t>
        </is>
      </c>
      <c r="B750" s="1" t="n">
        <v>44682.77616898148</v>
      </c>
      <c r="C750" s="1" t="n">
        <v>46050</v>
      </c>
      <c r="D750" t="inlineStr">
        <is>
          <t>STOCKHOLMS LÄN</t>
        </is>
      </c>
      <c r="E750" t="inlineStr">
        <is>
          <t>NORRTÄLJE</t>
        </is>
      </c>
      <c r="G750" t="n">
        <v>10.8</v>
      </c>
      <c r="H750" t="n">
        <v>0</v>
      </c>
      <c r="I750" t="n">
        <v>0</v>
      </c>
      <c r="J750" t="n">
        <v>0</v>
      </c>
      <c r="K750" t="n">
        <v>0</v>
      </c>
      <c r="L750" t="n">
        <v>0</v>
      </c>
      <c r="M750" t="n">
        <v>0</v>
      </c>
      <c r="N750" t="n">
        <v>0</v>
      </c>
      <c r="O750" t="n">
        <v>0</v>
      </c>
      <c r="P750" t="n">
        <v>0</v>
      </c>
      <c r="Q750" t="n">
        <v>0</v>
      </c>
      <c r="R750" s="2" t="inlineStr"/>
    </row>
    <row r="751" ht="15" customHeight="1">
      <c r="A751" t="inlineStr">
        <is>
          <t>A 10521-2022</t>
        </is>
      </c>
      <c r="B751" s="1" t="n">
        <v>44623</v>
      </c>
      <c r="C751" s="1" t="n">
        <v>46050</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18091-2022</t>
        </is>
      </c>
      <c r="B752" s="1" t="n">
        <v>44684</v>
      </c>
      <c r="C752" s="1" t="n">
        <v>46050</v>
      </c>
      <c r="D752" t="inlineStr">
        <is>
          <t>STOCKHOLMS LÄN</t>
        </is>
      </c>
      <c r="E752" t="inlineStr">
        <is>
          <t>ÖSTERÅKER</t>
        </is>
      </c>
      <c r="G752" t="n">
        <v>6.1</v>
      </c>
      <c r="H752" t="n">
        <v>0</v>
      </c>
      <c r="I752" t="n">
        <v>0</v>
      </c>
      <c r="J752" t="n">
        <v>0</v>
      </c>
      <c r="K752" t="n">
        <v>0</v>
      </c>
      <c r="L752" t="n">
        <v>0</v>
      </c>
      <c r="M752" t="n">
        <v>0</v>
      </c>
      <c r="N752" t="n">
        <v>0</v>
      </c>
      <c r="O752" t="n">
        <v>0</v>
      </c>
      <c r="P752" t="n">
        <v>0</v>
      </c>
      <c r="Q752" t="n">
        <v>0</v>
      </c>
      <c r="R752" s="2" t="inlineStr"/>
    </row>
    <row r="753" ht="15" customHeight="1">
      <c r="A753" t="inlineStr">
        <is>
          <t>A 31429-2022</t>
        </is>
      </c>
      <c r="B753" s="1" t="n">
        <v>44774.85231481482</v>
      </c>
      <c r="C753" s="1" t="n">
        <v>46050</v>
      </c>
      <c r="D753" t="inlineStr">
        <is>
          <t>STOCKHOLMS LÄN</t>
        </is>
      </c>
      <c r="E753" t="inlineStr">
        <is>
          <t>SÖDERTÄLJE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16117-2022</t>
        </is>
      </c>
      <c r="B754" s="1" t="n">
        <v>44665.65474537037</v>
      </c>
      <c r="C754" s="1" t="n">
        <v>46050</v>
      </c>
      <c r="D754" t="inlineStr">
        <is>
          <t>STOCKHOLMS LÄN</t>
        </is>
      </c>
      <c r="E754" t="inlineStr">
        <is>
          <t>NORRTÄLJE</t>
        </is>
      </c>
      <c r="G754" t="n">
        <v>8.1</v>
      </c>
      <c r="H754" t="n">
        <v>0</v>
      </c>
      <c r="I754" t="n">
        <v>0</v>
      </c>
      <c r="J754" t="n">
        <v>0</v>
      </c>
      <c r="K754" t="n">
        <v>0</v>
      </c>
      <c r="L754" t="n">
        <v>0</v>
      </c>
      <c r="M754" t="n">
        <v>0</v>
      </c>
      <c r="N754" t="n">
        <v>0</v>
      </c>
      <c r="O754" t="n">
        <v>0</v>
      </c>
      <c r="P754" t="n">
        <v>0</v>
      </c>
      <c r="Q754" t="n">
        <v>0</v>
      </c>
      <c r="R754" s="2" t="inlineStr"/>
    </row>
    <row r="755" ht="15" customHeight="1">
      <c r="A755" t="inlineStr">
        <is>
          <t>A 16132-2022</t>
        </is>
      </c>
      <c r="B755" s="1" t="n">
        <v>44665.78351851852</v>
      </c>
      <c r="C755" s="1" t="n">
        <v>46050</v>
      </c>
      <c r="D755" t="inlineStr">
        <is>
          <t>STOCKHOLMS LÄN</t>
        </is>
      </c>
      <c r="E755" t="inlineStr">
        <is>
          <t>NORRTÄLJE</t>
        </is>
      </c>
      <c r="G755" t="n">
        <v>4.4</v>
      </c>
      <c r="H755" t="n">
        <v>0</v>
      </c>
      <c r="I755" t="n">
        <v>0</v>
      </c>
      <c r="J755" t="n">
        <v>0</v>
      </c>
      <c r="K755" t="n">
        <v>0</v>
      </c>
      <c r="L755" t="n">
        <v>0</v>
      </c>
      <c r="M755" t="n">
        <v>0</v>
      </c>
      <c r="N755" t="n">
        <v>0</v>
      </c>
      <c r="O755" t="n">
        <v>0</v>
      </c>
      <c r="P755" t="n">
        <v>0</v>
      </c>
      <c r="Q755" t="n">
        <v>0</v>
      </c>
      <c r="R755" s="2" t="inlineStr"/>
    </row>
    <row r="756" ht="15" customHeight="1">
      <c r="A756" t="inlineStr">
        <is>
          <t>A 51482-2021</t>
        </is>
      </c>
      <c r="B756" s="1" t="n">
        <v>44460</v>
      </c>
      <c r="C756" s="1" t="n">
        <v>46050</v>
      </c>
      <c r="D756" t="inlineStr">
        <is>
          <t>STOCKHOLMS LÄN</t>
        </is>
      </c>
      <c r="E756" t="inlineStr">
        <is>
          <t>SÖDERTÄLJE</t>
        </is>
      </c>
      <c r="G756" t="n">
        <v>7</v>
      </c>
      <c r="H756" t="n">
        <v>0</v>
      </c>
      <c r="I756" t="n">
        <v>0</v>
      </c>
      <c r="J756" t="n">
        <v>0</v>
      </c>
      <c r="K756" t="n">
        <v>0</v>
      </c>
      <c r="L756" t="n">
        <v>0</v>
      </c>
      <c r="M756" t="n">
        <v>0</v>
      </c>
      <c r="N756" t="n">
        <v>0</v>
      </c>
      <c r="O756" t="n">
        <v>0</v>
      </c>
      <c r="P756" t="n">
        <v>0</v>
      </c>
      <c r="Q756" t="n">
        <v>0</v>
      </c>
      <c r="R756" s="2" t="inlineStr"/>
    </row>
    <row r="757" ht="15" customHeight="1">
      <c r="A757" t="inlineStr">
        <is>
          <t>A 24308-2021</t>
        </is>
      </c>
      <c r="B757" s="1" t="n">
        <v>44336</v>
      </c>
      <c r="C757" s="1" t="n">
        <v>46050</v>
      </c>
      <c r="D757" t="inlineStr">
        <is>
          <t>STOCKHOLMS LÄN</t>
        </is>
      </c>
      <c r="E757" t="inlineStr">
        <is>
          <t>UPPLANDS-BRO</t>
        </is>
      </c>
      <c r="G757" t="n">
        <v>1.4</v>
      </c>
      <c r="H757" t="n">
        <v>0</v>
      </c>
      <c r="I757" t="n">
        <v>0</v>
      </c>
      <c r="J757" t="n">
        <v>0</v>
      </c>
      <c r="K757" t="n">
        <v>0</v>
      </c>
      <c r="L757" t="n">
        <v>0</v>
      </c>
      <c r="M757" t="n">
        <v>0</v>
      </c>
      <c r="N757" t="n">
        <v>0</v>
      </c>
      <c r="O757" t="n">
        <v>0</v>
      </c>
      <c r="P757" t="n">
        <v>0</v>
      </c>
      <c r="Q757" t="n">
        <v>0</v>
      </c>
      <c r="R757" s="2" t="inlineStr"/>
    </row>
    <row r="758" ht="15" customHeight="1">
      <c r="A758" t="inlineStr">
        <is>
          <t>A 70170-2021</t>
        </is>
      </c>
      <c r="B758" s="1" t="n">
        <v>44533</v>
      </c>
      <c r="C758" s="1" t="n">
        <v>46050</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25463-2021</t>
        </is>
      </c>
      <c r="B759" s="1" t="n">
        <v>44342</v>
      </c>
      <c r="C759" s="1" t="n">
        <v>46050</v>
      </c>
      <c r="D759" t="inlineStr">
        <is>
          <t>STOCKHOLMS LÄN</t>
        </is>
      </c>
      <c r="E759" t="inlineStr">
        <is>
          <t>NORRTÄLJE</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11996-2022</t>
        </is>
      </c>
      <c r="B760" s="1" t="n">
        <v>44635</v>
      </c>
      <c r="C760" s="1" t="n">
        <v>46050</v>
      </c>
      <c r="D760" t="inlineStr">
        <is>
          <t>STOCKHOLMS LÄN</t>
        </is>
      </c>
      <c r="E760" t="inlineStr">
        <is>
          <t>NYKVARN</t>
        </is>
      </c>
      <c r="G760" t="n">
        <v>6.4</v>
      </c>
      <c r="H760" t="n">
        <v>0</v>
      </c>
      <c r="I760" t="n">
        <v>0</v>
      </c>
      <c r="J760" t="n">
        <v>0</v>
      </c>
      <c r="K760" t="n">
        <v>0</v>
      </c>
      <c r="L760" t="n">
        <v>0</v>
      </c>
      <c r="M760" t="n">
        <v>0</v>
      </c>
      <c r="N760" t="n">
        <v>0</v>
      </c>
      <c r="O760" t="n">
        <v>0</v>
      </c>
      <c r="P760" t="n">
        <v>0</v>
      </c>
      <c r="Q760" t="n">
        <v>0</v>
      </c>
      <c r="R760" s="2" t="inlineStr"/>
    </row>
    <row r="761" ht="15" customHeight="1">
      <c r="A761" t="inlineStr">
        <is>
          <t>A 71880-2021</t>
        </is>
      </c>
      <c r="B761" s="1" t="n">
        <v>44543</v>
      </c>
      <c r="C761" s="1" t="n">
        <v>46050</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55112-2021</t>
        </is>
      </c>
      <c r="B762" s="1" t="n">
        <v>44474</v>
      </c>
      <c r="C762" s="1" t="n">
        <v>46050</v>
      </c>
      <c r="D762" t="inlineStr">
        <is>
          <t>STOCKHOLMS LÄN</t>
        </is>
      </c>
      <c r="E762" t="inlineStr">
        <is>
          <t>SIGTUNA</t>
        </is>
      </c>
      <c r="G762" t="n">
        <v>0.6</v>
      </c>
      <c r="H762" t="n">
        <v>0</v>
      </c>
      <c r="I762" t="n">
        <v>0</v>
      </c>
      <c r="J762" t="n">
        <v>0</v>
      </c>
      <c r="K762" t="n">
        <v>0</v>
      </c>
      <c r="L762" t="n">
        <v>0</v>
      </c>
      <c r="M762" t="n">
        <v>0</v>
      </c>
      <c r="N762" t="n">
        <v>0</v>
      </c>
      <c r="O762" t="n">
        <v>0</v>
      </c>
      <c r="P762" t="n">
        <v>0</v>
      </c>
      <c r="Q762" t="n">
        <v>0</v>
      </c>
      <c r="R762" s="2" t="inlineStr"/>
    </row>
    <row r="763" ht="15" customHeight="1">
      <c r="A763" t="inlineStr">
        <is>
          <t>A 21102-2022</t>
        </is>
      </c>
      <c r="B763" s="1" t="n">
        <v>44704</v>
      </c>
      <c r="C763" s="1" t="n">
        <v>46050</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17772-2022</t>
        </is>
      </c>
      <c r="B764" s="1" t="n">
        <v>44682.76528935185</v>
      </c>
      <c r="C764" s="1" t="n">
        <v>46050</v>
      </c>
      <c r="D764" t="inlineStr">
        <is>
          <t>STOCKHOLMS LÄN</t>
        </is>
      </c>
      <c r="E764" t="inlineStr">
        <is>
          <t>NORRTÄLJE</t>
        </is>
      </c>
      <c r="G764" t="n">
        <v>4</v>
      </c>
      <c r="H764" t="n">
        <v>0</v>
      </c>
      <c r="I764" t="n">
        <v>0</v>
      </c>
      <c r="J764" t="n">
        <v>0</v>
      </c>
      <c r="K764" t="n">
        <v>0</v>
      </c>
      <c r="L764" t="n">
        <v>0</v>
      </c>
      <c r="M764" t="n">
        <v>0</v>
      </c>
      <c r="N764" t="n">
        <v>0</v>
      </c>
      <c r="O764" t="n">
        <v>0</v>
      </c>
      <c r="P764" t="n">
        <v>0</v>
      </c>
      <c r="Q764" t="n">
        <v>0</v>
      </c>
      <c r="R764" s="2" t="inlineStr"/>
    </row>
    <row r="765" ht="15" customHeight="1">
      <c r="A765" t="inlineStr">
        <is>
          <t>A 24101-2022</t>
        </is>
      </c>
      <c r="B765" s="1" t="n">
        <v>44725</v>
      </c>
      <c r="C765" s="1" t="n">
        <v>46050</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67285-2021</t>
        </is>
      </c>
      <c r="B766" s="1" t="n">
        <v>44523.61635416667</v>
      </c>
      <c r="C766" s="1" t="n">
        <v>46050</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38721-2022</t>
        </is>
      </c>
      <c r="B767" s="1" t="n">
        <v>44815</v>
      </c>
      <c r="C767" s="1" t="n">
        <v>46050</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28399-2022</t>
        </is>
      </c>
      <c r="B768" s="1" t="n">
        <v>44747</v>
      </c>
      <c r="C768" s="1" t="n">
        <v>46050</v>
      </c>
      <c r="D768" t="inlineStr">
        <is>
          <t>STOCKHOLMS LÄN</t>
        </is>
      </c>
      <c r="E768" t="inlineStr">
        <is>
          <t>ÖSTERÅKER</t>
        </is>
      </c>
      <c r="G768" t="n">
        <v>1.3</v>
      </c>
      <c r="H768" t="n">
        <v>0</v>
      </c>
      <c r="I768" t="n">
        <v>0</v>
      </c>
      <c r="J768" t="n">
        <v>0</v>
      </c>
      <c r="K768" t="n">
        <v>0</v>
      </c>
      <c r="L768" t="n">
        <v>0</v>
      </c>
      <c r="M768" t="n">
        <v>0</v>
      </c>
      <c r="N768" t="n">
        <v>0</v>
      </c>
      <c r="O768" t="n">
        <v>0</v>
      </c>
      <c r="P768" t="n">
        <v>0</v>
      </c>
      <c r="Q768" t="n">
        <v>0</v>
      </c>
      <c r="R768" s="2" t="inlineStr"/>
    </row>
    <row r="769" ht="15" customHeight="1">
      <c r="A769" t="inlineStr">
        <is>
          <t>A 60184-2021</t>
        </is>
      </c>
      <c r="B769" s="1" t="n">
        <v>44495</v>
      </c>
      <c r="C769" s="1" t="n">
        <v>46050</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22531-2022</t>
        </is>
      </c>
      <c r="B770" s="1" t="n">
        <v>44713</v>
      </c>
      <c r="C770" s="1" t="n">
        <v>46050</v>
      </c>
      <c r="D770" t="inlineStr">
        <is>
          <t>STOCKHOLMS LÄN</t>
        </is>
      </c>
      <c r="E770" t="inlineStr">
        <is>
          <t>NYKVARN</t>
        </is>
      </c>
      <c r="F770" t="inlineStr">
        <is>
          <t>Allmännings- och besparingsskogar</t>
        </is>
      </c>
      <c r="G770" t="n">
        <v>10.1</v>
      </c>
      <c r="H770" t="n">
        <v>0</v>
      </c>
      <c r="I770" t="n">
        <v>0</v>
      </c>
      <c r="J770" t="n">
        <v>0</v>
      </c>
      <c r="K770" t="n">
        <v>0</v>
      </c>
      <c r="L770" t="n">
        <v>0</v>
      </c>
      <c r="M770" t="n">
        <v>0</v>
      </c>
      <c r="N770" t="n">
        <v>0</v>
      </c>
      <c r="O770" t="n">
        <v>0</v>
      </c>
      <c r="P770" t="n">
        <v>0</v>
      </c>
      <c r="Q770" t="n">
        <v>0</v>
      </c>
      <c r="R770" s="2" t="inlineStr"/>
    </row>
    <row r="771" ht="15" customHeight="1">
      <c r="A771" t="inlineStr">
        <is>
          <t>A 5611-2022</t>
        </is>
      </c>
      <c r="B771" s="1" t="n">
        <v>44595</v>
      </c>
      <c r="C771" s="1" t="n">
        <v>46050</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32055-2021</t>
        </is>
      </c>
      <c r="B772" s="1" t="n">
        <v>44370.72197916666</v>
      </c>
      <c r="C772" s="1" t="n">
        <v>46050</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46688-2021</t>
        </is>
      </c>
      <c r="B773" s="1" t="n">
        <v>44445.63403935185</v>
      </c>
      <c r="C773" s="1" t="n">
        <v>46050</v>
      </c>
      <c r="D773" t="inlineStr">
        <is>
          <t>STOCKHOLMS LÄN</t>
        </is>
      </c>
      <c r="E773" t="inlineStr">
        <is>
          <t>SÖDERTÄLJE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61370-2022</t>
        </is>
      </c>
      <c r="B774" s="1" t="n">
        <v>44915</v>
      </c>
      <c r="C774" s="1" t="n">
        <v>46050</v>
      </c>
      <c r="D774" t="inlineStr">
        <is>
          <t>STOCKHOLMS LÄN</t>
        </is>
      </c>
      <c r="E774" t="inlineStr">
        <is>
          <t>ÖSTERÅKER</t>
        </is>
      </c>
      <c r="G774" t="n">
        <v>3.2</v>
      </c>
      <c r="H774" t="n">
        <v>0</v>
      </c>
      <c r="I774" t="n">
        <v>0</v>
      </c>
      <c r="J774" t="n">
        <v>0</v>
      </c>
      <c r="K774" t="n">
        <v>0</v>
      </c>
      <c r="L774" t="n">
        <v>0</v>
      </c>
      <c r="M774" t="n">
        <v>0</v>
      </c>
      <c r="N774" t="n">
        <v>0</v>
      </c>
      <c r="O774" t="n">
        <v>0</v>
      </c>
      <c r="P774" t="n">
        <v>0</v>
      </c>
      <c r="Q774" t="n">
        <v>0</v>
      </c>
      <c r="R774" s="2" t="inlineStr"/>
    </row>
    <row r="775" ht="15" customHeight="1">
      <c r="A775" t="inlineStr">
        <is>
          <t>A 15915-2023</t>
        </is>
      </c>
      <c r="B775" s="1" t="n">
        <v>45022</v>
      </c>
      <c r="C775" s="1" t="n">
        <v>46050</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26750-2021</t>
        </is>
      </c>
      <c r="B776" s="1" t="n">
        <v>44349</v>
      </c>
      <c r="C776" s="1" t="n">
        <v>46050</v>
      </c>
      <c r="D776" t="inlineStr">
        <is>
          <t>STOCKHOLMS LÄN</t>
        </is>
      </c>
      <c r="E776" t="inlineStr">
        <is>
          <t>NYNÄSHAMN</t>
        </is>
      </c>
      <c r="G776" t="n">
        <v>3</v>
      </c>
      <c r="H776" t="n">
        <v>0</v>
      </c>
      <c r="I776" t="n">
        <v>0</v>
      </c>
      <c r="J776" t="n">
        <v>0</v>
      </c>
      <c r="K776" t="n">
        <v>0</v>
      </c>
      <c r="L776" t="n">
        <v>0</v>
      </c>
      <c r="M776" t="n">
        <v>0</v>
      </c>
      <c r="N776" t="n">
        <v>0</v>
      </c>
      <c r="O776" t="n">
        <v>0</v>
      </c>
      <c r="P776" t="n">
        <v>0</v>
      </c>
      <c r="Q776" t="n">
        <v>0</v>
      </c>
      <c r="R776" s="2" t="inlineStr"/>
    </row>
    <row r="777" ht="15" customHeight="1">
      <c r="A777" t="inlineStr">
        <is>
          <t>A 52911-2024</t>
        </is>
      </c>
      <c r="B777" s="1" t="n">
        <v>45610.70392361111</v>
      </c>
      <c r="C777" s="1" t="n">
        <v>46050</v>
      </c>
      <c r="D777" t="inlineStr">
        <is>
          <t>STOCKHOLMS LÄN</t>
        </is>
      </c>
      <c r="E777" t="inlineStr">
        <is>
          <t>NYNÄSHAMN</t>
        </is>
      </c>
      <c r="G777" t="n">
        <v>0.8</v>
      </c>
      <c r="H777" t="n">
        <v>0</v>
      </c>
      <c r="I777" t="n">
        <v>0</v>
      </c>
      <c r="J777" t="n">
        <v>0</v>
      </c>
      <c r="K777" t="n">
        <v>0</v>
      </c>
      <c r="L777" t="n">
        <v>0</v>
      </c>
      <c r="M777" t="n">
        <v>0</v>
      </c>
      <c r="N777" t="n">
        <v>0</v>
      </c>
      <c r="O777" t="n">
        <v>0</v>
      </c>
      <c r="P777" t="n">
        <v>0</v>
      </c>
      <c r="Q777" t="n">
        <v>0</v>
      </c>
      <c r="R777" s="2" t="inlineStr"/>
    </row>
    <row r="778" ht="15" customHeight="1">
      <c r="A778" t="inlineStr">
        <is>
          <t>A 14202-2025</t>
        </is>
      </c>
      <c r="B778" s="1" t="n">
        <v>45740.57461805556</v>
      </c>
      <c r="C778" s="1" t="n">
        <v>46050</v>
      </c>
      <c r="D778" t="inlineStr">
        <is>
          <t>STOCKHOLMS LÄN</t>
        </is>
      </c>
      <c r="E778" t="inlineStr">
        <is>
          <t>BOTKYRKA</t>
        </is>
      </c>
      <c r="G778" t="n">
        <v>0.9</v>
      </c>
      <c r="H778" t="n">
        <v>0</v>
      </c>
      <c r="I778" t="n">
        <v>0</v>
      </c>
      <c r="J778" t="n">
        <v>0</v>
      </c>
      <c r="K778" t="n">
        <v>0</v>
      </c>
      <c r="L778" t="n">
        <v>0</v>
      </c>
      <c r="M778" t="n">
        <v>0</v>
      </c>
      <c r="N778" t="n">
        <v>0</v>
      </c>
      <c r="O778" t="n">
        <v>0</v>
      </c>
      <c r="P778" t="n">
        <v>0</v>
      </c>
      <c r="Q778" t="n">
        <v>0</v>
      </c>
      <c r="R778" s="2" t="inlineStr"/>
    </row>
    <row r="779" ht="15" customHeight="1">
      <c r="A779" t="inlineStr">
        <is>
          <t>A 55243-2023</t>
        </is>
      </c>
      <c r="B779" s="1" t="n">
        <v>45237</v>
      </c>
      <c r="C779" s="1" t="n">
        <v>46050</v>
      </c>
      <c r="D779" t="inlineStr">
        <is>
          <t>STOCKHOLMS LÄN</t>
        </is>
      </c>
      <c r="E779" t="inlineStr">
        <is>
          <t>NORRTÄLJE</t>
        </is>
      </c>
      <c r="G779" t="n">
        <v>6.5</v>
      </c>
      <c r="H779" t="n">
        <v>0</v>
      </c>
      <c r="I779" t="n">
        <v>0</v>
      </c>
      <c r="J779" t="n">
        <v>0</v>
      </c>
      <c r="K779" t="n">
        <v>0</v>
      </c>
      <c r="L779" t="n">
        <v>0</v>
      </c>
      <c r="M779" t="n">
        <v>0</v>
      </c>
      <c r="N779" t="n">
        <v>0</v>
      </c>
      <c r="O779" t="n">
        <v>0</v>
      </c>
      <c r="P779" t="n">
        <v>0</v>
      </c>
      <c r="Q779" t="n">
        <v>0</v>
      </c>
      <c r="R779" s="2" t="inlineStr"/>
    </row>
    <row r="780" ht="15" customHeight="1">
      <c r="A780" t="inlineStr">
        <is>
          <t>A 55696-2022</t>
        </is>
      </c>
      <c r="B780" s="1" t="n">
        <v>44888</v>
      </c>
      <c r="C780" s="1" t="n">
        <v>46050</v>
      </c>
      <c r="D780" t="inlineStr">
        <is>
          <t>STOCKHOLMS LÄN</t>
        </is>
      </c>
      <c r="E780" t="inlineStr">
        <is>
          <t>NORRTÄLJE</t>
        </is>
      </c>
      <c r="G780" t="n">
        <v>2.2</v>
      </c>
      <c r="H780" t="n">
        <v>0</v>
      </c>
      <c r="I780" t="n">
        <v>0</v>
      </c>
      <c r="J780" t="n">
        <v>0</v>
      </c>
      <c r="K780" t="n">
        <v>0</v>
      </c>
      <c r="L780" t="n">
        <v>0</v>
      </c>
      <c r="M780" t="n">
        <v>0</v>
      </c>
      <c r="N780" t="n">
        <v>0</v>
      </c>
      <c r="O780" t="n">
        <v>0</v>
      </c>
      <c r="P780" t="n">
        <v>0</v>
      </c>
      <c r="Q780" t="n">
        <v>0</v>
      </c>
      <c r="R780" s="2" t="inlineStr"/>
    </row>
    <row r="781" ht="15" customHeight="1">
      <c r="A781" t="inlineStr">
        <is>
          <t>A 3585-2022</t>
        </is>
      </c>
      <c r="B781" s="1" t="n">
        <v>44586</v>
      </c>
      <c r="C781" s="1" t="n">
        <v>46050</v>
      </c>
      <c r="D781" t="inlineStr">
        <is>
          <t>STOCKHOLMS LÄN</t>
        </is>
      </c>
      <c r="E781" t="inlineStr">
        <is>
          <t>SÖDERTÄLJE</t>
        </is>
      </c>
      <c r="G781" t="n">
        <v>4.5</v>
      </c>
      <c r="H781" t="n">
        <v>0</v>
      </c>
      <c r="I781" t="n">
        <v>0</v>
      </c>
      <c r="J781" t="n">
        <v>0</v>
      </c>
      <c r="K781" t="n">
        <v>0</v>
      </c>
      <c r="L781" t="n">
        <v>0</v>
      </c>
      <c r="M781" t="n">
        <v>0</v>
      </c>
      <c r="N781" t="n">
        <v>0</v>
      </c>
      <c r="O781" t="n">
        <v>0</v>
      </c>
      <c r="P781" t="n">
        <v>0</v>
      </c>
      <c r="Q781" t="n">
        <v>0</v>
      </c>
      <c r="R781" s="2" t="inlineStr"/>
    </row>
    <row r="782" ht="15" customHeight="1">
      <c r="A782" t="inlineStr">
        <is>
          <t>A 52260-2022</t>
        </is>
      </c>
      <c r="B782" s="1" t="n">
        <v>44869</v>
      </c>
      <c r="C782" s="1" t="n">
        <v>46050</v>
      </c>
      <c r="D782" t="inlineStr">
        <is>
          <t>STOCKHOLMS LÄN</t>
        </is>
      </c>
      <c r="E782" t="inlineStr">
        <is>
          <t>NORRTÄLJE</t>
        </is>
      </c>
      <c r="G782" t="n">
        <v>3.1</v>
      </c>
      <c r="H782" t="n">
        <v>0</v>
      </c>
      <c r="I782" t="n">
        <v>0</v>
      </c>
      <c r="J782" t="n">
        <v>0</v>
      </c>
      <c r="K782" t="n">
        <v>0</v>
      </c>
      <c r="L782" t="n">
        <v>0</v>
      </c>
      <c r="M782" t="n">
        <v>0</v>
      </c>
      <c r="N782" t="n">
        <v>0</v>
      </c>
      <c r="O782" t="n">
        <v>0</v>
      </c>
      <c r="P782" t="n">
        <v>0</v>
      </c>
      <c r="Q782" t="n">
        <v>0</v>
      </c>
      <c r="R782" s="2" t="inlineStr"/>
    </row>
    <row r="783" ht="15" customHeight="1">
      <c r="A783" t="inlineStr">
        <is>
          <t>A 4297-2024</t>
        </is>
      </c>
      <c r="B783" s="1" t="n">
        <v>45324.62291666667</v>
      </c>
      <c r="C783" s="1" t="n">
        <v>46050</v>
      </c>
      <c r="D783" t="inlineStr">
        <is>
          <t>STOCKHOLMS LÄN</t>
        </is>
      </c>
      <c r="E783" t="inlineStr">
        <is>
          <t>HANINGE</t>
        </is>
      </c>
      <c r="F783" t="inlineStr">
        <is>
          <t>Kommuner</t>
        </is>
      </c>
      <c r="G783" t="n">
        <v>0.4</v>
      </c>
      <c r="H783" t="n">
        <v>0</v>
      </c>
      <c r="I783" t="n">
        <v>0</v>
      </c>
      <c r="J783" t="n">
        <v>0</v>
      </c>
      <c r="K783" t="n">
        <v>0</v>
      </c>
      <c r="L783" t="n">
        <v>0</v>
      </c>
      <c r="M783" t="n">
        <v>0</v>
      </c>
      <c r="N783" t="n">
        <v>0</v>
      </c>
      <c r="O783" t="n">
        <v>0</v>
      </c>
      <c r="P783" t="n">
        <v>0</v>
      </c>
      <c r="Q783" t="n">
        <v>0</v>
      </c>
      <c r="R783" s="2" t="inlineStr"/>
    </row>
    <row r="784" ht="15" customHeight="1">
      <c r="A784" t="inlineStr">
        <is>
          <t>A 22412-2021</t>
        </is>
      </c>
      <c r="B784" s="1" t="n">
        <v>44326.61967592593</v>
      </c>
      <c r="C784" s="1" t="n">
        <v>46050</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24254-2023</t>
        </is>
      </c>
      <c r="B785" s="1" t="n">
        <v>45076</v>
      </c>
      <c r="C785" s="1" t="n">
        <v>46050</v>
      </c>
      <c r="D785" t="inlineStr">
        <is>
          <t>STOCKHOLMS LÄN</t>
        </is>
      </c>
      <c r="E785" t="inlineStr">
        <is>
          <t>HUDDINGE</t>
        </is>
      </c>
      <c r="G785" t="n">
        <v>1.2</v>
      </c>
      <c r="H785" t="n">
        <v>0</v>
      </c>
      <c r="I785" t="n">
        <v>0</v>
      </c>
      <c r="J785" t="n">
        <v>0</v>
      </c>
      <c r="K785" t="n">
        <v>0</v>
      </c>
      <c r="L785" t="n">
        <v>0</v>
      </c>
      <c r="M785" t="n">
        <v>0</v>
      </c>
      <c r="N785" t="n">
        <v>0</v>
      </c>
      <c r="O785" t="n">
        <v>0</v>
      </c>
      <c r="P785" t="n">
        <v>0</v>
      </c>
      <c r="Q785" t="n">
        <v>0</v>
      </c>
      <c r="R785" s="2" t="inlineStr"/>
    </row>
    <row r="786" ht="15" customHeight="1">
      <c r="A786" t="inlineStr">
        <is>
          <t>A 24257-2023</t>
        </is>
      </c>
      <c r="B786" s="1" t="n">
        <v>45076</v>
      </c>
      <c r="C786" s="1" t="n">
        <v>46050</v>
      </c>
      <c r="D786" t="inlineStr">
        <is>
          <t>STOCKHOLMS LÄN</t>
        </is>
      </c>
      <c r="E786" t="inlineStr">
        <is>
          <t>HUDDINGE</t>
        </is>
      </c>
      <c r="G786" t="n">
        <v>1</v>
      </c>
      <c r="H786" t="n">
        <v>0</v>
      </c>
      <c r="I786" t="n">
        <v>0</v>
      </c>
      <c r="J786" t="n">
        <v>0</v>
      </c>
      <c r="K786" t="n">
        <v>0</v>
      </c>
      <c r="L786" t="n">
        <v>0</v>
      </c>
      <c r="M786" t="n">
        <v>0</v>
      </c>
      <c r="N786" t="n">
        <v>0</v>
      </c>
      <c r="O786" t="n">
        <v>0</v>
      </c>
      <c r="P786" t="n">
        <v>0</v>
      </c>
      <c r="Q786" t="n">
        <v>0</v>
      </c>
      <c r="R786" s="2" t="inlineStr"/>
    </row>
    <row r="787" ht="15" customHeight="1">
      <c r="A787" t="inlineStr">
        <is>
          <t>A 25459-2023</t>
        </is>
      </c>
      <c r="B787" s="1" t="n">
        <v>45089</v>
      </c>
      <c r="C787" s="1" t="n">
        <v>46050</v>
      </c>
      <c r="D787" t="inlineStr">
        <is>
          <t>STOCKHOLMS LÄN</t>
        </is>
      </c>
      <c r="E787" t="inlineStr">
        <is>
          <t>SIGTUNA</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25557-2023</t>
        </is>
      </c>
      <c r="B788" s="1" t="n">
        <v>45089</v>
      </c>
      <c r="C788" s="1" t="n">
        <v>46050</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27715-2022</t>
        </is>
      </c>
      <c r="B789" s="1" t="n">
        <v>44743.47407407407</v>
      </c>
      <c r="C789" s="1" t="n">
        <v>46050</v>
      </c>
      <c r="D789" t="inlineStr">
        <is>
          <t>STOCKHOLMS LÄN</t>
        </is>
      </c>
      <c r="E789" t="inlineStr">
        <is>
          <t>NORRTÄLJE</t>
        </is>
      </c>
      <c r="G789" t="n">
        <v>2.2</v>
      </c>
      <c r="H789" t="n">
        <v>0</v>
      </c>
      <c r="I789" t="n">
        <v>0</v>
      </c>
      <c r="J789" t="n">
        <v>0</v>
      </c>
      <c r="K789" t="n">
        <v>0</v>
      </c>
      <c r="L789" t="n">
        <v>0</v>
      </c>
      <c r="M789" t="n">
        <v>0</v>
      </c>
      <c r="N789" t="n">
        <v>0</v>
      </c>
      <c r="O789" t="n">
        <v>0</v>
      </c>
      <c r="P789" t="n">
        <v>0</v>
      </c>
      <c r="Q789" t="n">
        <v>0</v>
      </c>
      <c r="R789" s="2" t="inlineStr"/>
    </row>
    <row r="790" ht="15" customHeight="1">
      <c r="A790" t="inlineStr">
        <is>
          <t>A 55586-2023</t>
        </is>
      </c>
      <c r="B790" s="1" t="n">
        <v>45232</v>
      </c>
      <c r="C790" s="1" t="n">
        <v>46050</v>
      </c>
      <c r="D790" t="inlineStr">
        <is>
          <t>STOCKHOLMS LÄN</t>
        </is>
      </c>
      <c r="E790" t="inlineStr">
        <is>
          <t>UPPLANDS-BRO</t>
        </is>
      </c>
      <c r="F790" t="inlineStr">
        <is>
          <t>Övriga statliga verk och myndigheter</t>
        </is>
      </c>
      <c r="G790" t="n">
        <v>38.9</v>
      </c>
      <c r="H790" t="n">
        <v>0</v>
      </c>
      <c r="I790" t="n">
        <v>0</v>
      </c>
      <c r="J790" t="n">
        <v>0</v>
      </c>
      <c r="K790" t="n">
        <v>0</v>
      </c>
      <c r="L790" t="n">
        <v>0</v>
      </c>
      <c r="M790" t="n">
        <v>0</v>
      </c>
      <c r="N790" t="n">
        <v>0</v>
      </c>
      <c r="O790" t="n">
        <v>0</v>
      </c>
      <c r="P790" t="n">
        <v>0</v>
      </c>
      <c r="Q790" t="n">
        <v>0</v>
      </c>
      <c r="R790" s="2" t="inlineStr"/>
    </row>
    <row r="791" ht="15" customHeight="1">
      <c r="A791" t="inlineStr">
        <is>
          <t>A 31370-2021</t>
        </is>
      </c>
      <c r="B791" s="1" t="n">
        <v>44368</v>
      </c>
      <c r="C791" s="1" t="n">
        <v>46050</v>
      </c>
      <c r="D791" t="inlineStr">
        <is>
          <t>STOCKHOLMS LÄN</t>
        </is>
      </c>
      <c r="E791" t="inlineStr">
        <is>
          <t>UPPLANDS-BRO</t>
        </is>
      </c>
      <c r="G791" t="n">
        <v>4.8</v>
      </c>
      <c r="H791" t="n">
        <v>0</v>
      </c>
      <c r="I791" t="n">
        <v>0</v>
      </c>
      <c r="J791" t="n">
        <v>0</v>
      </c>
      <c r="K791" t="n">
        <v>0</v>
      </c>
      <c r="L791" t="n">
        <v>0</v>
      </c>
      <c r="M791" t="n">
        <v>0</v>
      </c>
      <c r="N791" t="n">
        <v>0</v>
      </c>
      <c r="O791" t="n">
        <v>0</v>
      </c>
      <c r="P791" t="n">
        <v>0</v>
      </c>
      <c r="Q791" t="n">
        <v>0</v>
      </c>
      <c r="R791" s="2" t="inlineStr"/>
    </row>
    <row r="792" ht="15" customHeight="1">
      <c r="A792" t="inlineStr">
        <is>
          <t>A 64105-2023</t>
        </is>
      </c>
      <c r="B792" s="1" t="n">
        <v>45279</v>
      </c>
      <c r="C792" s="1" t="n">
        <v>46050</v>
      </c>
      <c r="D792" t="inlineStr">
        <is>
          <t>STOCKHOLMS LÄN</t>
        </is>
      </c>
      <c r="E792" t="inlineStr">
        <is>
          <t>UPPLANDS-BRO</t>
        </is>
      </c>
      <c r="G792" t="n">
        <v>2.2</v>
      </c>
      <c r="H792" t="n">
        <v>0</v>
      </c>
      <c r="I792" t="n">
        <v>0</v>
      </c>
      <c r="J792" t="n">
        <v>0</v>
      </c>
      <c r="K792" t="n">
        <v>0</v>
      </c>
      <c r="L792" t="n">
        <v>0</v>
      </c>
      <c r="M792" t="n">
        <v>0</v>
      </c>
      <c r="N792" t="n">
        <v>0</v>
      </c>
      <c r="O792" t="n">
        <v>0</v>
      </c>
      <c r="P792" t="n">
        <v>0</v>
      </c>
      <c r="Q792" t="n">
        <v>0</v>
      </c>
      <c r="R792" s="2" t="inlineStr"/>
    </row>
    <row r="793" ht="15" customHeight="1">
      <c r="A793" t="inlineStr">
        <is>
          <t>A 13053-2022</t>
        </is>
      </c>
      <c r="B793" s="1" t="n">
        <v>44643</v>
      </c>
      <c r="C793" s="1" t="n">
        <v>46050</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29972-2024</t>
        </is>
      </c>
      <c r="B794" s="1" t="n">
        <v>45485</v>
      </c>
      <c r="C794" s="1" t="n">
        <v>46050</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27828-2022</t>
        </is>
      </c>
      <c r="B795" s="1" t="n">
        <v>44743.59765046297</v>
      </c>
      <c r="C795" s="1" t="n">
        <v>46050</v>
      </c>
      <c r="D795" t="inlineStr">
        <is>
          <t>STOCKHOLMS LÄN</t>
        </is>
      </c>
      <c r="E795" t="inlineStr">
        <is>
          <t>NORRTÄLJE</t>
        </is>
      </c>
      <c r="F795" t="inlineStr">
        <is>
          <t>Kommuner</t>
        </is>
      </c>
      <c r="G795" t="n">
        <v>1.6</v>
      </c>
      <c r="H795" t="n">
        <v>0</v>
      </c>
      <c r="I795" t="n">
        <v>0</v>
      </c>
      <c r="J795" t="n">
        <v>0</v>
      </c>
      <c r="K795" t="n">
        <v>0</v>
      </c>
      <c r="L795" t="n">
        <v>0</v>
      </c>
      <c r="M795" t="n">
        <v>0</v>
      </c>
      <c r="N795" t="n">
        <v>0</v>
      </c>
      <c r="O795" t="n">
        <v>0</v>
      </c>
      <c r="P795" t="n">
        <v>0</v>
      </c>
      <c r="Q795" t="n">
        <v>0</v>
      </c>
      <c r="R795" s="2" t="inlineStr"/>
    </row>
    <row r="796" ht="15" customHeight="1">
      <c r="A796" t="inlineStr">
        <is>
          <t>A 21285-2023</t>
        </is>
      </c>
      <c r="B796" s="1" t="n">
        <v>45062</v>
      </c>
      <c r="C796" s="1" t="n">
        <v>46050</v>
      </c>
      <c r="D796" t="inlineStr">
        <is>
          <t>STOCKHOLMS LÄN</t>
        </is>
      </c>
      <c r="E796" t="inlineStr">
        <is>
          <t>BOTKYRKA</t>
        </is>
      </c>
      <c r="G796" t="n">
        <v>0.8</v>
      </c>
      <c r="H796" t="n">
        <v>0</v>
      </c>
      <c r="I796" t="n">
        <v>0</v>
      </c>
      <c r="J796" t="n">
        <v>0</v>
      </c>
      <c r="K796" t="n">
        <v>0</v>
      </c>
      <c r="L796" t="n">
        <v>0</v>
      </c>
      <c r="M796" t="n">
        <v>0</v>
      </c>
      <c r="N796" t="n">
        <v>0</v>
      </c>
      <c r="O796" t="n">
        <v>0</v>
      </c>
      <c r="P796" t="n">
        <v>0</v>
      </c>
      <c r="Q796" t="n">
        <v>0</v>
      </c>
      <c r="R796" s="2" t="inlineStr"/>
    </row>
    <row r="797" ht="15" customHeight="1">
      <c r="A797" t="inlineStr">
        <is>
          <t>A 64137-2021</t>
        </is>
      </c>
      <c r="B797" s="1" t="n">
        <v>44510.51422453704</v>
      </c>
      <c r="C797" s="1" t="n">
        <v>46050</v>
      </c>
      <c r="D797" t="inlineStr">
        <is>
          <t>STOCKHOLMS LÄN</t>
        </is>
      </c>
      <c r="E797" t="inlineStr">
        <is>
          <t>NORRTÄLJE</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48716-2023</t>
        </is>
      </c>
      <c r="B798" s="1" t="n">
        <v>45208.69671296296</v>
      </c>
      <c r="C798" s="1" t="n">
        <v>46050</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49592-2023</t>
        </is>
      </c>
      <c r="B799" s="1" t="n">
        <v>45211.68196759259</v>
      </c>
      <c r="C799" s="1" t="n">
        <v>46050</v>
      </c>
      <c r="D799" t="inlineStr">
        <is>
          <t>STOCKHOLMS LÄN</t>
        </is>
      </c>
      <c r="E799" t="inlineStr">
        <is>
          <t>SIGTUNA</t>
        </is>
      </c>
      <c r="G799" t="n">
        <v>0.5</v>
      </c>
      <c r="H799" t="n">
        <v>0</v>
      </c>
      <c r="I799" t="n">
        <v>0</v>
      </c>
      <c r="J799" t="n">
        <v>0</v>
      </c>
      <c r="K799" t="n">
        <v>0</v>
      </c>
      <c r="L799" t="n">
        <v>0</v>
      </c>
      <c r="M799" t="n">
        <v>0</v>
      </c>
      <c r="N799" t="n">
        <v>0</v>
      </c>
      <c r="O799" t="n">
        <v>0</v>
      </c>
      <c r="P799" t="n">
        <v>0</v>
      </c>
      <c r="Q799" t="n">
        <v>0</v>
      </c>
      <c r="R799" s="2" t="inlineStr"/>
    </row>
    <row r="800" ht="15" customHeight="1">
      <c r="A800" t="inlineStr">
        <is>
          <t>A 5027-2025</t>
        </is>
      </c>
      <c r="B800" s="1" t="n">
        <v>45691.41101851852</v>
      </c>
      <c r="C800" s="1" t="n">
        <v>46050</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20091-2025</t>
        </is>
      </c>
      <c r="B801" s="1" t="n">
        <v>45771</v>
      </c>
      <c r="C801" s="1" t="n">
        <v>46050</v>
      </c>
      <c r="D801" t="inlineStr">
        <is>
          <t>STOCKHOLMS LÄN</t>
        </is>
      </c>
      <c r="E801" t="inlineStr">
        <is>
          <t>SÖDERTÄLJE</t>
        </is>
      </c>
      <c r="G801" t="n">
        <v>8</v>
      </c>
      <c r="H801" t="n">
        <v>0</v>
      </c>
      <c r="I801" t="n">
        <v>0</v>
      </c>
      <c r="J801" t="n">
        <v>0</v>
      </c>
      <c r="K801" t="n">
        <v>0</v>
      </c>
      <c r="L801" t="n">
        <v>0</v>
      </c>
      <c r="M801" t="n">
        <v>0</v>
      </c>
      <c r="N801" t="n">
        <v>0</v>
      </c>
      <c r="O801" t="n">
        <v>0</v>
      </c>
      <c r="P801" t="n">
        <v>0</v>
      </c>
      <c r="Q801" t="n">
        <v>0</v>
      </c>
      <c r="R801" s="2" t="inlineStr"/>
    </row>
    <row r="802" ht="15" customHeight="1">
      <c r="A802" t="inlineStr">
        <is>
          <t>A 61242-2022</t>
        </is>
      </c>
      <c r="B802" s="1" t="n">
        <v>44915</v>
      </c>
      <c r="C802" s="1" t="n">
        <v>46050</v>
      </c>
      <c r="D802" t="inlineStr">
        <is>
          <t>STOCKHOLMS LÄN</t>
        </is>
      </c>
      <c r="E802" t="inlineStr">
        <is>
          <t>BOTKYRKA</t>
        </is>
      </c>
      <c r="G802" t="n">
        <v>2.8</v>
      </c>
      <c r="H802" t="n">
        <v>0</v>
      </c>
      <c r="I802" t="n">
        <v>0</v>
      </c>
      <c r="J802" t="n">
        <v>0</v>
      </c>
      <c r="K802" t="n">
        <v>0</v>
      </c>
      <c r="L802" t="n">
        <v>0</v>
      </c>
      <c r="M802" t="n">
        <v>0</v>
      </c>
      <c r="N802" t="n">
        <v>0</v>
      </c>
      <c r="O802" t="n">
        <v>0</v>
      </c>
      <c r="P802" t="n">
        <v>0</v>
      </c>
      <c r="Q802" t="n">
        <v>0</v>
      </c>
      <c r="R802" s="2" t="inlineStr"/>
    </row>
    <row r="803" ht="15" customHeight="1">
      <c r="A803" t="inlineStr">
        <is>
          <t>A 52878-2022</t>
        </is>
      </c>
      <c r="B803" s="1" t="n">
        <v>44872</v>
      </c>
      <c r="C803" s="1" t="n">
        <v>46050</v>
      </c>
      <c r="D803" t="inlineStr">
        <is>
          <t>STOCKHOLMS LÄN</t>
        </is>
      </c>
      <c r="E803" t="inlineStr">
        <is>
          <t>NYKVARN</t>
        </is>
      </c>
      <c r="G803" t="n">
        <v>4.5</v>
      </c>
      <c r="H803" t="n">
        <v>0</v>
      </c>
      <c r="I803" t="n">
        <v>0</v>
      </c>
      <c r="J803" t="n">
        <v>0</v>
      </c>
      <c r="K803" t="n">
        <v>0</v>
      </c>
      <c r="L803" t="n">
        <v>0</v>
      </c>
      <c r="M803" t="n">
        <v>0</v>
      </c>
      <c r="N803" t="n">
        <v>0</v>
      </c>
      <c r="O803" t="n">
        <v>0</v>
      </c>
      <c r="P803" t="n">
        <v>0</v>
      </c>
      <c r="Q803" t="n">
        <v>0</v>
      </c>
      <c r="R803" s="2" t="inlineStr"/>
    </row>
    <row r="804" ht="15" customHeight="1">
      <c r="A804" t="inlineStr">
        <is>
          <t>A 9946-2024</t>
        </is>
      </c>
      <c r="B804" s="1" t="n">
        <v>45363.59789351852</v>
      </c>
      <c r="C804" s="1" t="n">
        <v>46050</v>
      </c>
      <c r="D804" t="inlineStr">
        <is>
          <t>STOCKHOLMS LÄN</t>
        </is>
      </c>
      <c r="E804" t="inlineStr">
        <is>
          <t>HANINGE</t>
        </is>
      </c>
      <c r="G804" t="n">
        <v>3.8</v>
      </c>
      <c r="H804" t="n">
        <v>0</v>
      </c>
      <c r="I804" t="n">
        <v>0</v>
      </c>
      <c r="J804" t="n">
        <v>0</v>
      </c>
      <c r="K804" t="n">
        <v>0</v>
      </c>
      <c r="L804" t="n">
        <v>0</v>
      </c>
      <c r="M804" t="n">
        <v>0</v>
      </c>
      <c r="N804" t="n">
        <v>0</v>
      </c>
      <c r="O804" t="n">
        <v>0</v>
      </c>
      <c r="P804" t="n">
        <v>0</v>
      </c>
      <c r="Q804" t="n">
        <v>0</v>
      </c>
      <c r="R804" s="2" t="inlineStr"/>
    </row>
    <row r="805" ht="15" customHeight="1">
      <c r="A805" t="inlineStr">
        <is>
          <t>A 16229-2022</t>
        </is>
      </c>
      <c r="B805" s="1" t="n">
        <v>44670.4190162037</v>
      </c>
      <c r="C805" s="1" t="n">
        <v>46050</v>
      </c>
      <c r="D805" t="inlineStr">
        <is>
          <t>STOCKHOLMS LÄN</t>
        </is>
      </c>
      <c r="E805" t="inlineStr">
        <is>
          <t>NORRTÄLJE</t>
        </is>
      </c>
      <c r="G805" t="n">
        <v>7.4</v>
      </c>
      <c r="H805" t="n">
        <v>0</v>
      </c>
      <c r="I805" t="n">
        <v>0</v>
      </c>
      <c r="J805" t="n">
        <v>0</v>
      </c>
      <c r="K805" t="n">
        <v>0</v>
      </c>
      <c r="L805" t="n">
        <v>0</v>
      </c>
      <c r="M805" t="n">
        <v>0</v>
      </c>
      <c r="N805" t="n">
        <v>0</v>
      </c>
      <c r="O805" t="n">
        <v>0</v>
      </c>
      <c r="P805" t="n">
        <v>0</v>
      </c>
      <c r="Q805" t="n">
        <v>0</v>
      </c>
      <c r="R805" s="2" t="inlineStr"/>
    </row>
    <row r="806" ht="15" customHeight="1">
      <c r="A806" t="inlineStr">
        <is>
          <t>A 11122-2021</t>
        </is>
      </c>
      <c r="B806" s="1" t="n">
        <v>44260</v>
      </c>
      <c r="C806" s="1" t="n">
        <v>46050</v>
      </c>
      <c r="D806" t="inlineStr">
        <is>
          <t>STOCKHOLMS LÄN</t>
        </is>
      </c>
      <c r="E806" t="inlineStr">
        <is>
          <t>NORRTÄLJE</t>
        </is>
      </c>
      <c r="F806" t="inlineStr">
        <is>
          <t>Holmen skog AB</t>
        </is>
      </c>
      <c r="G806" t="n">
        <v>2.1</v>
      </c>
      <c r="H806" t="n">
        <v>0</v>
      </c>
      <c r="I806" t="n">
        <v>0</v>
      </c>
      <c r="J806" t="n">
        <v>0</v>
      </c>
      <c r="K806" t="n">
        <v>0</v>
      </c>
      <c r="L806" t="n">
        <v>0</v>
      </c>
      <c r="M806" t="n">
        <v>0</v>
      </c>
      <c r="N806" t="n">
        <v>0</v>
      </c>
      <c r="O806" t="n">
        <v>0</v>
      </c>
      <c r="P806" t="n">
        <v>0</v>
      </c>
      <c r="Q806" t="n">
        <v>0</v>
      </c>
      <c r="R806" s="2" t="inlineStr"/>
    </row>
    <row r="807" ht="15" customHeight="1">
      <c r="A807" t="inlineStr">
        <is>
          <t>A 40643-2024</t>
        </is>
      </c>
      <c r="B807" s="1" t="n">
        <v>45558</v>
      </c>
      <c r="C807" s="1" t="n">
        <v>46050</v>
      </c>
      <c r="D807" t="inlineStr">
        <is>
          <t>STOCKHOLMS LÄN</t>
        </is>
      </c>
      <c r="E807" t="inlineStr">
        <is>
          <t>SIGTUNA</t>
        </is>
      </c>
      <c r="G807" t="n">
        <v>1.7</v>
      </c>
      <c r="H807" t="n">
        <v>0</v>
      </c>
      <c r="I807" t="n">
        <v>0</v>
      </c>
      <c r="J807" t="n">
        <v>0</v>
      </c>
      <c r="K807" t="n">
        <v>0</v>
      </c>
      <c r="L807" t="n">
        <v>0</v>
      </c>
      <c r="M807" t="n">
        <v>0</v>
      </c>
      <c r="N807" t="n">
        <v>0</v>
      </c>
      <c r="O807" t="n">
        <v>0</v>
      </c>
      <c r="P807" t="n">
        <v>0</v>
      </c>
      <c r="Q807" t="n">
        <v>0</v>
      </c>
      <c r="R807" s="2" t="inlineStr"/>
    </row>
    <row r="808" ht="15" customHeight="1">
      <c r="A808" t="inlineStr">
        <is>
          <t>A 62311-2023</t>
        </is>
      </c>
      <c r="B808" s="1" t="n">
        <v>45266</v>
      </c>
      <c r="C808" s="1" t="n">
        <v>46050</v>
      </c>
      <c r="D808" t="inlineStr">
        <is>
          <t>STOCKHOLMS LÄN</t>
        </is>
      </c>
      <c r="E808" t="inlineStr">
        <is>
          <t>SÖDERTÄLJE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58928-2022</t>
        </is>
      </c>
      <c r="B809" s="1" t="n">
        <v>44903</v>
      </c>
      <c r="C809" s="1" t="n">
        <v>46050</v>
      </c>
      <c r="D809" t="inlineStr">
        <is>
          <t>STOCKHOLMS LÄN</t>
        </is>
      </c>
      <c r="E809" t="inlineStr">
        <is>
          <t>SÖDERTÄLJE</t>
        </is>
      </c>
      <c r="F809" t="inlineStr">
        <is>
          <t>Kommuner</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12268-2022</t>
        </is>
      </c>
      <c r="B810" s="1" t="n">
        <v>44637</v>
      </c>
      <c r="C810" s="1" t="n">
        <v>46050</v>
      </c>
      <c r="D810" t="inlineStr">
        <is>
          <t>STOCKHOLMS LÄN</t>
        </is>
      </c>
      <c r="E810" t="inlineStr">
        <is>
          <t>NORRTÄLJE</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20015-2023</t>
        </is>
      </c>
      <c r="B811" s="1" t="n">
        <v>45054</v>
      </c>
      <c r="C811" s="1" t="n">
        <v>46050</v>
      </c>
      <c r="D811" t="inlineStr">
        <is>
          <t>STOCKHOLMS LÄN</t>
        </is>
      </c>
      <c r="E811" t="inlineStr">
        <is>
          <t>NORRTÄLJE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3273-2025</t>
        </is>
      </c>
      <c r="B812" s="1" t="n">
        <v>45679</v>
      </c>
      <c r="C812" s="1" t="n">
        <v>46050</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24245-2024</t>
        </is>
      </c>
      <c r="B813" s="1" t="n">
        <v>45457</v>
      </c>
      <c r="C813" s="1" t="n">
        <v>46050</v>
      </c>
      <c r="D813" t="inlineStr">
        <is>
          <t>STOCKHOLMS LÄN</t>
        </is>
      </c>
      <c r="E813" t="inlineStr">
        <is>
          <t>NORRTÄLJE</t>
        </is>
      </c>
      <c r="F813" t="inlineStr">
        <is>
          <t>Holmen skog AB</t>
        </is>
      </c>
      <c r="G813" t="n">
        <v>3.4</v>
      </c>
      <c r="H813" t="n">
        <v>0</v>
      </c>
      <c r="I813" t="n">
        <v>0</v>
      </c>
      <c r="J813" t="n">
        <v>0</v>
      </c>
      <c r="K813" t="n">
        <v>0</v>
      </c>
      <c r="L813" t="n">
        <v>0</v>
      </c>
      <c r="M813" t="n">
        <v>0</v>
      </c>
      <c r="N813" t="n">
        <v>0</v>
      </c>
      <c r="O813" t="n">
        <v>0</v>
      </c>
      <c r="P813" t="n">
        <v>0</v>
      </c>
      <c r="Q813" t="n">
        <v>0</v>
      </c>
      <c r="R813" s="2" t="inlineStr"/>
    </row>
    <row r="814" ht="15" customHeight="1">
      <c r="A814" t="inlineStr">
        <is>
          <t>A 2602-2024</t>
        </is>
      </c>
      <c r="B814" s="1" t="n">
        <v>45313.73068287037</v>
      </c>
      <c r="C814" s="1" t="n">
        <v>46050</v>
      </c>
      <c r="D814" t="inlineStr">
        <is>
          <t>STOCKHOLMS LÄN</t>
        </is>
      </c>
      <c r="E814" t="inlineStr">
        <is>
          <t>UPPLANDS-BRO</t>
        </is>
      </c>
      <c r="G814" t="n">
        <v>0.7</v>
      </c>
      <c r="H814" t="n">
        <v>0</v>
      </c>
      <c r="I814" t="n">
        <v>0</v>
      </c>
      <c r="J814" t="n">
        <v>0</v>
      </c>
      <c r="K814" t="n">
        <v>0</v>
      </c>
      <c r="L814" t="n">
        <v>0</v>
      </c>
      <c r="M814" t="n">
        <v>0</v>
      </c>
      <c r="N814" t="n">
        <v>0</v>
      </c>
      <c r="O814" t="n">
        <v>0</v>
      </c>
      <c r="P814" t="n">
        <v>0</v>
      </c>
      <c r="Q814" t="n">
        <v>0</v>
      </c>
      <c r="R814" s="2" t="inlineStr"/>
    </row>
    <row r="815" ht="15" customHeight="1">
      <c r="A815" t="inlineStr">
        <is>
          <t>A 21291-2021</t>
        </is>
      </c>
      <c r="B815" s="1" t="n">
        <v>44319</v>
      </c>
      <c r="C815" s="1" t="n">
        <v>46050</v>
      </c>
      <c r="D815" t="inlineStr">
        <is>
          <t>STOCKHOLMS LÄN</t>
        </is>
      </c>
      <c r="E815" t="inlineStr">
        <is>
          <t>NORRTÄLJE</t>
        </is>
      </c>
      <c r="G815" t="n">
        <v>12.7</v>
      </c>
      <c r="H815" t="n">
        <v>0</v>
      </c>
      <c r="I815" t="n">
        <v>0</v>
      </c>
      <c r="J815" t="n">
        <v>0</v>
      </c>
      <c r="K815" t="n">
        <v>0</v>
      </c>
      <c r="L815" t="n">
        <v>0</v>
      </c>
      <c r="M815" t="n">
        <v>0</v>
      </c>
      <c r="N815" t="n">
        <v>0</v>
      </c>
      <c r="O815" t="n">
        <v>0</v>
      </c>
      <c r="P815" t="n">
        <v>0</v>
      </c>
      <c r="Q815" t="n">
        <v>0</v>
      </c>
      <c r="R815" s="2" t="inlineStr"/>
    </row>
    <row r="816" ht="15" customHeight="1">
      <c r="A816" t="inlineStr">
        <is>
          <t>A 1603-2023</t>
        </is>
      </c>
      <c r="B816" s="1" t="n">
        <v>44937.68086805556</v>
      </c>
      <c r="C816" s="1" t="n">
        <v>46050</v>
      </c>
      <c r="D816" t="inlineStr">
        <is>
          <t>STOCKHOLMS LÄN</t>
        </is>
      </c>
      <c r="E816" t="inlineStr">
        <is>
          <t>ÖSTERÅKER</t>
        </is>
      </c>
      <c r="G816" t="n">
        <v>1.7</v>
      </c>
      <c r="H816" t="n">
        <v>0</v>
      </c>
      <c r="I816" t="n">
        <v>0</v>
      </c>
      <c r="J816" t="n">
        <v>0</v>
      </c>
      <c r="K816" t="n">
        <v>0</v>
      </c>
      <c r="L816" t="n">
        <v>0</v>
      </c>
      <c r="M816" t="n">
        <v>0</v>
      </c>
      <c r="N816" t="n">
        <v>0</v>
      </c>
      <c r="O816" t="n">
        <v>0</v>
      </c>
      <c r="P816" t="n">
        <v>0</v>
      </c>
      <c r="Q816" t="n">
        <v>0</v>
      </c>
      <c r="R816" s="2" t="inlineStr"/>
    </row>
    <row r="817" ht="15" customHeight="1">
      <c r="A817" t="inlineStr">
        <is>
          <t>A 1605-2023</t>
        </is>
      </c>
      <c r="B817" s="1" t="n">
        <v>44937.68299768519</v>
      </c>
      <c r="C817" s="1" t="n">
        <v>46050</v>
      </c>
      <c r="D817" t="inlineStr">
        <is>
          <t>STOCKHOLMS LÄN</t>
        </is>
      </c>
      <c r="E817" t="inlineStr">
        <is>
          <t>ÖSTERÅKER</t>
        </is>
      </c>
      <c r="G817" t="n">
        <v>2.9</v>
      </c>
      <c r="H817" t="n">
        <v>0</v>
      </c>
      <c r="I817" t="n">
        <v>0</v>
      </c>
      <c r="J817" t="n">
        <v>0</v>
      </c>
      <c r="K817" t="n">
        <v>0</v>
      </c>
      <c r="L817" t="n">
        <v>0</v>
      </c>
      <c r="M817" t="n">
        <v>0</v>
      </c>
      <c r="N817" t="n">
        <v>0</v>
      </c>
      <c r="O817" t="n">
        <v>0</v>
      </c>
      <c r="P817" t="n">
        <v>0</v>
      </c>
      <c r="Q817" t="n">
        <v>0</v>
      </c>
      <c r="R817" s="2" t="inlineStr"/>
    </row>
    <row r="818" ht="15" customHeight="1">
      <c r="A818" t="inlineStr">
        <is>
          <t>A 15256-2023</t>
        </is>
      </c>
      <c r="B818" s="1" t="n">
        <v>45019.3959837963</v>
      </c>
      <c r="C818" s="1" t="n">
        <v>46050</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30925-2023</t>
        </is>
      </c>
      <c r="B819" s="1" t="n">
        <v>45113</v>
      </c>
      <c r="C819" s="1" t="n">
        <v>46050</v>
      </c>
      <c r="D819" t="inlineStr">
        <is>
          <t>STOCKHOLMS LÄN</t>
        </is>
      </c>
      <c r="E819" t="inlineStr">
        <is>
          <t>BOTKYRKA</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20428-2024</t>
        </is>
      </c>
      <c r="B820" s="1" t="n">
        <v>45435</v>
      </c>
      <c r="C820" s="1" t="n">
        <v>46050</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33226-2024</t>
        </is>
      </c>
      <c r="B821" s="1" t="n">
        <v>45518</v>
      </c>
      <c r="C821" s="1" t="n">
        <v>46050</v>
      </c>
      <c r="D821" t="inlineStr">
        <is>
          <t>STOCKHOLMS LÄN</t>
        </is>
      </c>
      <c r="E821" t="inlineStr">
        <is>
          <t>NORRTÄLJE</t>
        </is>
      </c>
      <c r="G821" t="n">
        <v>13.8</v>
      </c>
      <c r="H821" t="n">
        <v>0</v>
      </c>
      <c r="I821" t="n">
        <v>0</v>
      </c>
      <c r="J821" t="n">
        <v>0</v>
      </c>
      <c r="K821" t="n">
        <v>0</v>
      </c>
      <c r="L821" t="n">
        <v>0</v>
      </c>
      <c r="M821" t="n">
        <v>0</v>
      </c>
      <c r="N821" t="n">
        <v>0</v>
      </c>
      <c r="O821" t="n">
        <v>0</v>
      </c>
      <c r="P821" t="n">
        <v>0</v>
      </c>
      <c r="Q821" t="n">
        <v>0</v>
      </c>
      <c r="R821" s="2" t="inlineStr"/>
    </row>
    <row r="822" ht="15" customHeight="1">
      <c r="A822" t="inlineStr">
        <is>
          <t>A 15465-2025</t>
        </is>
      </c>
      <c r="B822" s="1" t="n">
        <v>45747.51586805555</v>
      </c>
      <c r="C822" s="1" t="n">
        <v>46050</v>
      </c>
      <c r="D822" t="inlineStr">
        <is>
          <t>STOCKHOLMS LÄN</t>
        </is>
      </c>
      <c r="E822" t="inlineStr">
        <is>
          <t>NYNÄSHAMN</t>
        </is>
      </c>
      <c r="G822" t="n">
        <v>1.7</v>
      </c>
      <c r="H822" t="n">
        <v>0</v>
      </c>
      <c r="I822" t="n">
        <v>0</v>
      </c>
      <c r="J822" t="n">
        <v>0</v>
      </c>
      <c r="K822" t="n">
        <v>0</v>
      </c>
      <c r="L822" t="n">
        <v>0</v>
      </c>
      <c r="M822" t="n">
        <v>0</v>
      </c>
      <c r="N822" t="n">
        <v>0</v>
      </c>
      <c r="O822" t="n">
        <v>0</v>
      </c>
      <c r="P822" t="n">
        <v>0</v>
      </c>
      <c r="Q822" t="n">
        <v>0</v>
      </c>
      <c r="R822" s="2" t="inlineStr"/>
    </row>
    <row r="823" ht="15" customHeight="1">
      <c r="A823" t="inlineStr">
        <is>
          <t>A 13172-2025</t>
        </is>
      </c>
      <c r="B823" s="1" t="n">
        <v>45735.36873842592</v>
      </c>
      <c r="C823" s="1" t="n">
        <v>46050</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59844-2022</t>
        </is>
      </c>
      <c r="B824" s="1" t="n">
        <v>44901</v>
      </c>
      <c r="C824" s="1" t="n">
        <v>46050</v>
      </c>
      <c r="D824" t="inlineStr">
        <is>
          <t>STOCKHOLMS LÄN</t>
        </is>
      </c>
      <c r="E824" t="inlineStr">
        <is>
          <t>UPPLANDS-BRO</t>
        </is>
      </c>
      <c r="F824" t="inlineStr">
        <is>
          <t>Övriga statliga verk och myndigheter</t>
        </is>
      </c>
      <c r="G824" t="n">
        <v>11.9</v>
      </c>
      <c r="H824" t="n">
        <v>0</v>
      </c>
      <c r="I824" t="n">
        <v>0</v>
      </c>
      <c r="J824" t="n">
        <v>0</v>
      </c>
      <c r="K824" t="n">
        <v>0</v>
      </c>
      <c r="L824" t="n">
        <v>0</v>
      </c>
      <c r="M824" t="n">
        <v>0</v>
      </c>
      <c r="N824" t="n">
        <v>0</v>
      </c>
      <c r="O824" t="n">
        <v>0</v>
      </c>
      <c r="P824" t="n">
        <v>0</v>
      </c>
      <c r="Q824" t="n">
        <v>0</v>
      </c>
      <c r="R824" s="2" t="inlineStr"/>
    </row>
    <row r="825" ht="15" customHeight="1">
      <c r="A825" t="inlineStr">
        <is>
          <t>A 22456-2023</t>
        </is>
      </c>
      <c r="B825" s="1" t="n">
        <v>45070</v>
      </c>
      <c r="C825" s="1" t="n">
        <v>46050</v>
      </c>
      <c r="D825" t="inlineStr">
        <is>
          <t>STOCKHOLMS LÄN</t>
        </is>
      </c>
      <c r="E825" t="inlineStr">
        <is>
          <t>NORRTÄLJE</t>
        </is>
      </c>
      <c r="G825" t="n">
        <v>3.1</v>
      </c>
      <c r="H825" t="n">
        <v>0</v>
      </c>
      <c r="I825" t="n">
        <v>0</v>
      </c>
      <c r="J825" t="n">
        <v>0</v>
      </c>
      <c r="K825" t="n">
        <v>0</v>
      </c>
      <c r="L825" t="n">
        <v>0</v>
      </c>
      <c r="M825" t="n">
        <v>0</v>
      </c>
      <c r="N825" t="n">
        <v>0</v>
      </c>
      <c r="O825" t="n">
        <v>0</v>
      </c>
      <c r="P825" t="n">
        <v>0</v>
      </c>
      <c r="Q825" t="n">
        <v>0</v>
      </c>
      <c r="R825" s="2" t="inlineStr"/>
    </row>
    <row r="826" ht="15" customHeight="1">
      <c r="A826" t="inlineStr">
        <is>
          <t>A 3219-2022</t>
        </is>
      </c>
      <c r="B826" s="1" t="n">
        <v>44582</v>
      </c>
      <c r="C826" s="1" t="n">
        <v>46050</v>
      </c>
      <c r="D826" t="inlineStr">
        <is>
          <t>STOCKHOLMS LÄN</t>
        </is>
      </c>
      <c r="E826" t="inlineStr">
        <is>
          <t>EKERÖ</t>
        </is>
      </c>
      <c r="G826" t="n">
        <v>0.5</v>
      </c>
      <c r="H826" t="n">
        <v>0</v>
      </c>
      <c r="I826" t="n">
        <v>0</v>
      </c>
      <c r="J826" t="n">
        <v>0</v>
      </c>
      <c r="K826" t="n">
        <v>0</v>
      </c>
      <c r="L826" t="n">
        <v>0</v>
      </c>
      <c r="M826" t="n">
        <v>0</v>
      </c>
      <c r="N826" t="n">
        <v>0</v>
      </c>
      <c r="O826" t="n">
        <v>0</v>
      </c>
      <c r="P826" t="n">
        <v>0</v>
      </c>
      <c r="Q826" t="n">
        <v>0</v>
      </c>
      <c r="R826" s="2" t="inlineStr"/>
    </row>
    <row r="827" ht="15" customHeight="1">
      <c r="A827" t="inlineStr">
        <is>
          <t>A 3221-2022</t>
        </is>
      </c>
      <c r="B827" s="1" t="n">
        <v>44582.80788194444</v>
      </c>
      <c r="C827" s="1" t="n">
        <v>46050</v>
      </c>
      <c r="D827" t="inlineStr">
        <is>
          <t>STOCKHOLMS LÄN</t>
        </is>
      </c>
      <c r="E827" t="inlineStr">
        <is>
          <t>EKERÖ</t>
        </is>
      </c>
      <c r="G827" t="n">
        <v>0.5</v>
      </c>
      <c r="H827" t="n">
        <v>0</v>
      </c>
      <c r="I827" t="n">
        <v>0</v>
      </c>
      <c r="J827" t="n">
        <v>0</v>
      </c>
      <c r="K827" t="n">
        <v>0</v>
      </c>
      <c r="L827" t="n">
        <v>0</v>
      </c>
      <c r="M827" t="n">
        <v>0</v>
      </c>
      <c r="N827" t="n">
        <v>0</v>
      </c>
      <c r="O827" t="n">
        <v>0</v>
      </c>
      <c r="P827" t="n">
        <v>0</v>
      </c>
      <c r="Q827" t="n">
        <v>0</v>
      </c>
      <c r="R827" s="2" t="inlineStr"/>
    </row>
    <row r="828" ht="15" customHeight="1">
      <c r="A828" t="inlineStr">
        <is>
          <t>A 37037-2023</t>
        </is>
      </c>
      <c r="B828" s="1" t="n">
        <v>45155</v>
      </c>
      <c r="C828" s="1" t="n">
        <v>46050</v>
      </c>
      <c r="D828" t="inlineStr">
        <is>
          <t>STOCKHOLMS LÄN</t>
        </is>
      </c>
      <c r="E828" t="inlineStr">
        <is>
          <t>ÖSTERÅKER</t>
        </is>
      </c>
      <c r="G828" t="n">
        <v>2</v>
      </c>
      <c r="H828" t="n">
        <v>0</v>
      </c>
      <c r="I828" t="n">
        <v>0</v>
      </c>
      <c r="J828" t="n">
        <v>0</v>
      </c>
      <c r="K828" t="n">
        <v>0</v>
      </c>
      <c r="L828" t="n">
        <v>0</v>
      </c>
      <c r="M828" t="n">
        <v>0</v>
      </c>
      <c r="N828" t="n">
        <v>0</v>
      </c>
      <c r="O828" t="n">
        <v>0</v>
      </c>
      <c r="P828" t="n">
        <v>0</v>
      </c>
      <c r="Q828" t="n">
        <v>0</v>
      </c>
      <c r="R828" s="2" t="inlineStr"/>
    </row>
    <row r="829" ht="15" customHeight="1">
      <c r="A829" t="inlineStr">
        <is>
          <t>A 64145-2021</t>
        </is>
      </c>
      <c r="B829" s="1" t="n">
        <v>44510</v>
      </c>
      <c r="C829" s="1" t="n">
        <v>46050</v>
      </c>
      <c r="D829" t="inlineStr">
        <is>
          <t>STOCKHOLMS LÄN</t>
        </is>
      </c>
      <c r="E829" t="inlineStr">
        <is>
          <t>NORRTÄLJE</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17785-2024</t>
        </is>
      </c>
      <c r="B830" s="1" t="n">
        <v>45418.6968287037</v>
      </c>
      <c r="C830" s="1" t="n">
        <v>46050</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1740-2023</t>
        </is>
      </c>
      <c r="B831" s="1" t="n">
        <v>44938</v>
      </c>
      <c r="C831" s="1" t="n">
        <v>46050</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4596-2023</t>
        </is>
      </c>
      <c r="B832" s="1" t="n">
        <v>44956</v>
      </c>
      <c r="C832" s="1" t="n">
        <v>46050</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22008-2024</t>
        </is>
      </c>
      <c r="B833" s="1" t="n">
        <v>45443</v>
      </c>
      <c r="C833" s="1" t="n">
        <v>46050</v>
      </c>
      <c r="D833" t="inlineStr">
        <is>
          <t>STOCKHOLMS LÄN</t>
        </is>
      </c>
      <c r="E833" t="inlineStr">
        <is>
          <t>NORRTÄLJE</t>
        </is>
      </c>
      <c r="G833" t="n">
        <v>2</v>
      </c>
      <c r="H833" t="n">
        <v>0</v>
      </c>
      <c r="I833" t="n">
        <v>0</v>
      </c>
      <c r="J833" t="n">
        <v>0</v>
      </c>
      <c r="K833" t="n">
        <v>0</v>
      </c>
      <c r="L833" t="n">
        <v>0</v>
      </c>
      <c r="M833" t="n">
        <v>0</v>
      </c>
      <c r="N833" t="n">
        <v>0</v>
      </c>
      <c r="O833" t="n">
        <v>0</v>
      </c>
      <c r="P833" t="n">
        <v>0</v>
      </c>
      <c r="Q833" t="n">
        <v>0</v>
      </c>
      <c r="R833" s="2" t="inlineStr"/>
    </row>
    <row r="834" ht="15" customHeight="1">
      <c r="A834" t="inlineStr">
        <is>
          <t>A 6826-2025</t>
        </is>
      </c>
      <c r="B834" s="1" t="n">
        <v>45700.73123842593</v>
      </c>
      <c r="C834" s="1" t="n">
        <v>46050</v>
      </c>
      <c r="D834" t="inlineStr">
        <is>
          <t>STOCKHOLMS LÄN</t>
        </is>
      </c>
      <c r="E834" t="inlineStr">
        <is>
          <t>SIGTUNA</t>
        </is>
      </c>
      <c r="G834" t="n">
        <v>1.1</v>
      </c>
      <c r="H834" t="n">
        <v>0</v>
      </c>
      <c r="I834" t="n">
        <v>0</v>
      </c>
      <c r="J834" t="n">
        <v>0</v>
      </c>
      <c r="K834" t="n">
        <v>0</v>
      </c>
      <c r="L834" t="n">
        <v>0</v>
      </c>
      <c r="M834" t="n">
        <v>0</v>
      </c>
      <c r="N834" t="n">
        <v>0</v>
      </c>
      <c r="O834" t="n">
        <v>0</v>
      </c>
      <c r="P834" t="n">
        <v>0</v>
      </c>
      <c r="Q834" t="n">
        <v>0</v>
      </c>
      <c r="R834" s="2" t="inlineStr"/>
    </row>
    <row r="835" ht="15" customHeight="1">
      <c r="A835" t="inlineStr">
        <is>
          <t>A 6678-2025</t>
        </is>
      </c>
      <c r="B835" s="1" t="n">
        <v>45700</v>
      </c>
      <c r="C835" s="1" t="n">
        <v>46050</v>
      </c>
      <c r="D835" t="inlineStr">
        <is>
          <t>STOCKHOLMS LÄN</t>
        </is>
      </c>
      <c r="E835" t="inlineStr">
        <is>
          <t>NORRTÄLJE</t>
        </is>
      </c>
      <c r="F835" t="inlineStr">
        <is>
          <t>Övriga Aktiebolag</t>
        </is>
      </c>
      <c r="G835" t="n">
        <v>6.6</v>
      </c>
      <c r="H835" t="n">
        <v>0</v>
      </c>
      <c r="I835" t="n">
        <v>0</v>
      </c>
      <c r="J835" t="n">
        <v>0</v>
      </c>
      <c r="K835" t="n">
        <v>0</v>
      </c>
      <c r="L835" t="n">
        <v>0</v>
      </c>
      <c r="M835" t="n">
        <v>0</v>
      </c>
      <c r="N835" t="n">
        <v>0</v>
      </c>
      <c r="O835" t="n">
        <v>0</v>
      </c>
      <c r="P835" t="n">
        <v>0</v>
      </c>
      <c r="Q835" t="n">
        <v>0</v>
      </c>
      <c r="R835" s="2" t="inlineStr"/>
    </row>
    <row r="836" ht="15" customHeight="1">
      <c r="A836" t="inlineStr">
        <is>
          <t>A 24288-2024</t>
        </is>
      </c>
      <c r="B836" s="1" t="n">
        <v>45457.4562037037</v>
      </c>
      <c r="C836" s="1" t="n">
        <v>46050</v>
      </c>
      <c r="D836" t="inlineStr">
        <is>
          <t>STOCKHOLMS LÄN</t>
        </is>
      </c>
      <c r="E836" t="inlineStr">
        <is>
          <t>NYNÄSHAMN</t>
        </is>
      </c>
      <c r="G836" t="n">
        <v>1.3</v>
      </c>
      <c r="H836" t="n">
        <v>0</v>
      </c>
      <c r="I836" t="n">
        <v>0</v>
      </c>
      <c r="J836" t="n">
        <v>0</v>
      </c>
      <c r="K836" t="n">
        <v>0</v>
      </c>
      <c r="L836" t="n">
        <v>0</v>
      </c>
      <c r="M836" t="n">
        <v>0</v>
      </c>
      <c r="N836" t="n">
        <v>0</v>
      </c>
      <c r="O836" t="n">
        <v>0</v>
      </c>
      <c r="P836" t="n">
        <v>0</v>
      </c>
      <c r="Q836" t="n">
        <v>0</v>
      </c>
      <c r="R836" s="2" t="inlineStr"/>
    </row>
    <row r="837" ht="15" customHeight="1">
      <c r="A837" t="inlineStr">
        <is>
          <t>A 15690-2023</t>
        </is>
      </c>
      <c r="B837" s="1" t="n">
        <v>45020</v>
      </c>
      <c r="C837" s="1" t="n">
        <v>46050</v>
      </c>
      <c r="D837" t="inlineStr">
        <is>
          <t>STOCKHOLMS LÄN</t>
        </is>
      </c>
      <c r="E837" t="inlineStr">
        <is>
          <t>BOTKYRKA</t>
        </is>
      </c>
      <c r="G837" t="n">
        <v>5</v>
      </c>
      <c r="H837" t="n">
        <v>0</v>
      </c>
      <c r="I837" t="n">
        <v>0</v>
      </c>
      <c r="J837" t="n">
        <v>0</v>
      </c>
      <c r="K837" t="n">
        <v>0</v>
      </c>
      <c r="L837" t="n">
        <v>0</v>
      </c>
      <c r="M837" t="n">
        <v>0</v>
      </c>
      <c r="N837" t="n">
        <v>0</v>
      </c>
      <c r="O837" t="n">
        <v>0</v>
      </c>
      <c r="P837" t="n">
        <v>0</v>
      </c>
      <c r="Q837" t="n">
        <v>0</v>
      </c>
      <c r="R837" s="2" t="inlineStr"/>
    </row>
    <row r="838" ht="15" customHeight="1">
      <c r="A838" t="inlineStr">
        <is>
          <t>A 10676-2025</t>
        </is>
      </c>
      <c r="B838" s="1" t="n">
        <v>45721.88684027778</v>
      </c>
      <c r="C838" s="1" t="n">
        <v>46050</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20852-2023</t>
        </is>
      </c>
      <c r="B839" s="1" t="n">
        <v>45058.78607638889</v>
      </c>
      <c r="C839" s="1" t="n">
        <v>46050</v>
      </c>
      <c r="D839" t="inlineStr">
        <is>
          <t>STOCKHOLMS LÄN</t>
        </is>
      </c>
      <c r="E839" t="inlineStr">
        <is>
          <t>NORRTÄLJE</t>
        </is>
      </c>
      <c r="G839" t="n">
        <v>3.5</v>
      </c>
      <c r="H839" t="n">
        <v>0</v>
      </c>
      <c r="I839" t="n">
        <v>0</v>
      </c>
      <c r="J839" t="n">
        <v>0</v>
      </c>
      <c r="K839" t="n">
        <v>0</v>
      </c>
      <c r="L839" t="n">
        <v>0</v>
      </c>
      <c r="M839" t="n">
        <v>0</v>
      </c>
      <c r="N839" t="n">
        <v>0</v>
      </c>
      <c r="O839" t="n">
        <v>0</v>
      </c>
      <c r="P839" t="n">
        <v>0</v>
      </c>
      <c r="Q839" t="n">
        <v>0</v>
      </c>
      <c r="R839" s="2" t="inlineStr"/>
    </row>
    <row r="840" ht="15" customHeight="1">
      <c r="A840" t="inlineStr">
        <is>
          <t>A 44917-2022</t>
        </is>
      </c>
      <c r="B840" s="1" t="n">
        <v>44841.52804398148</v>
      </c>
      <c r="C840" s="1" t="n">
        <v>46050</v>
      </c>
      <c r="D840" t="inlineStr">
        <is>
          <t>STOCKHOLMS LÄN</t>
        </is>
      </c>
      <c r="E840" t="inlineStr">
        <is>
          <t>NORRTÄLJE</t>
        </is>
      </c>
      <c r="F840" t="inlineStr">
        <is>
          <t>Holmen skog AB</t>
        </is>
      </c>
      <c r="G840" t="n">
        <v>3.3</v>
      </c>
      <c r="H840" t="n">
        <v>0</v>
      </c>
      <c r="I840" t="n">
        <v>0</v>
      </c>
      <c r="J840" t="n">
        <v>0</v>
      </c>
      <c r="K840" t="n">
        <v>0</v>
      </c>
      <c r="L840" t="n">
        <v>0</v>
      </c>
      <c r="M840" t="n">
        <v>0</v>
      </c>
      <c r="N840" t="n">
        <v>0</v>
      </c>
      <c r="O840" t="n">
        <v>0</v>
      </c>
      <c r="P840" t="n">
        <v>0</v>
      </c>
      <c r="Q840" t="n">
        <v>0</v>
      </c>
      <c r="R840" s="2" t="inlineStr"/>
    </row>
    <row r="841" ht="15" customHeight="1">
      <c r="A841" t="inlineStr">
        <is>
          <t>A 20373-2025</t>
        </is>
      </c>
      <c r="B841" s="1" t="n">
        <v>45775.4216087963</v>
      </c>
      <c r="C841" s="1" t="n">
        <v>46050</v>
      </c>
      <c r="D841" t="inlineStr">
        <is>
          <t>STOCKHOLMS LÄN</t>
        </is>
      </c>
      <c r="E841" t="inlineStr">
        <is>
          <t>VÄRMDÖ</t>
        </is>
      </c>
      <c r="G841" t="n">
        <v>0.5</v>
      </c>
      <c r="H841" t="n">
        <v>0</v>
      </c>
      <c r="I841" t="n">
        <v>0</v>
      </c>
      <c r="J841" t="n">
        <v>0</v>
      </c>
      <c r="K841" t="n">
        <v>0</v>
      </c>
      <c r="L841" t="n">
        <v>0</v>
      </c>
      <c r="M841" t="n">
        <v>0</v>
      </c>
      <c r="N841" t="n">
        <v>0</v>
      </c>
      <c r="O841" t="n">
        <v>0</v>
      </c>
      <c r="P841" t="n">
        <v>0</v>
      </c>
      <c r="Q841" t="n">
        <v>0</v>
      </c>
      <c r="R841" s="2" t="inlineStr"/>
    </row>
    <row r="842" ht="15" customHeight="1">
      <c r="A842" t="inlineStr">
        <is>
          <t>A 55058-2021</t>
        </is>
      </c>
      <c r="B842" s="1" t="n">
        <v>44474.62141203704</v>
      </c>
      <c r="C842" s="1" t="n">
        <v>46050</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46050</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26390-2023</t>
        </is>
      </c>
      <c r="B844" s="1" t="n">
        <v>45086</v>
      </c>
      <c r="C844" s="1" t="n">
        <v>46050</v>
      </c>
      <c r="D844" t="inlineStr">
        <is>
          <t>STOCKHOLMS LÄN</t>
        </is>
      </c>
      <c r="E844" t="inlineStr">
        <is>
          <t>VALLENTUNA</t>
        </is>
      </c>
      <c r="G844" t="n">
        <v>1.6</v>
      </c>
      <c r="H844" t="n">
        <v>0</v>
      </c>
      <c r="I844" t="n">
        <v>0</v>
      </c>
      <c r="J844" t="n">
        <v>0</v>
      </c>
      <c r="K844" t="n">
        <v>0</v>
      </c>
      <c r="L844" t="n">
        <v>0</v>
      </c>
      <c r="M844" t="n">
        <v>0</v>
      </c>
      <c r="N844" t="n">
        <v>0</v>
      </c>
      <c r="O844" t="n">
        <v>0</v>
      </c>
      <c r="P844" t="n">
        <v>0</v>
      </c>
      <c r="Q844" t="n">
        <v>0</v>
      </c>
      <c r="R844" s="2" t="inlineStr"/>
    </row>
    <row r="845" ht="15" customHeight="1">
      <c r="A845" t="inlineStr">
        <is>
          <t>A 26190-2022</t>
        </is>
      </c>
      <c r="B845" s="1" t="n">
        <v>44735</v>
      </c>
      <c r="C845" s="1" t="n">
        <v>46050</v>
      </c>
      <c r="D845" t="inlineStr">
        <is>
          <t>STOCKHOLMS LÄN</t>
        </is>
      </c>
      <c r="E845" t="inlineStr">
        <is>
          <t>NYNÄSHAMN</t>
        </is>
      </c>
      <c r="G845" t="n">
        <v>2</v>
      </c>
      <c r="H845" t="n">
        <v>0</v>
      </c>
      <c r="I845" t="n">
        <v>0</v>
      </c>
      <c r="J845" t="n">
        <v>0</v>
      </c>
      <c r="K845" t="n">
        <v>0</v>
      </c>
      <c r="L845" t="n">
        <v>0</v>
      </c>
      <c r="M845" t="n">
        <v>0</v>
      </c>
      <c r="N845" t="n">
        <v>0</v>
      </c>
      <c r="O845" t="n">
        <v>0</v>
      </c>
      <c r="P845" t="n">
        <v>0</v>
      </c>
      <c r="Q845" t="n">
        <v>0</v>
      </c>
      <c r="R845" s="2" t="inlineStr"/>
    </row>
    <row r="846" ht="15" customHeight="1">
      <c r="A846" t="inlineStr">
        <is>
          <t>A 33262-2021</t>
        </is>
      </c>
      <c r="B846" s="1" t="n">
        <v>44377.35033564815</v>
      </c>
      <c r="C846" s="1" t="n">
        <v>46050</v>
      </c>
      <c r="D846" t="inlineStr">
        <is>
          <t>STOCKHOLMS LÄN</t>
        </is>
      </c>
      <c r="E846" t="inlineStr">
        <is>
          <t>SALEM</t>
        </is>
      </c>
      <c r="G846" t="n">
        <v>0.7</v>
      </c>
      <c r="H846" t="n">
        <v>0</v>
      </c>
      <c r="I846" t="n">
        <v>0</v>
      </c>
      <c r="J846" t="n">
        <v>0</v>
      </c>
      <c r="K846" t="n">
        <v>0</v>
      </c>
      <c r="L846" t="n">
        <v>0</v>
      </c>
      <c r="M846" t="n">
        <v>0</v>
      </c>
      <c r="N846" t="n">
        <v>0</v>
      </c>
      <c r="O846" t="n">
        <v>0</v>
      </c>
      <c r="P846" t="n">
        <v>0</v>
      </c>
      <c r="Q846" t="n">
        <v>0</v>
      </c>
      <c r="R846" s="2" t="inlineStr"/>
    </row>
    <row r="847" ht="15" customHeight="1">
      <c r="A847" t="inlineStr">
        <is>
          <t>A 52989-2023</t>
        </is>
      </c>
      <c r="B847" s="1" t="n">
        <v>45226</v>
      </c>
      <c r="C847" s="1" t="n">
        <v>46050</v>
      </c>
      <c r="D847" t="inlineStr">
        <is>
          <t>STOCKHOLMS LÄN</t>
        </is>
      </c>
      <c r="E847" t="inlineStr">
        <is>
          <t>VALLENTUNA</t>
        </is>
      </c>
      <c r="G847" t="n">
        <v>1.1</v>
      </c>
      <c r="H847" t="n">
        <v>0</v>
      </c>
      <c r="I847" t="n">
        <v>0</v>
      </c>
      <c r="J847" t="n">
        <v>0</v>
      </c>
      <c r="K847" t="n">
        <v>0</v>
      </c>
      <c r="L847" t="n">
        <v>0</v>
      </c>
      <c r="M847" t="n">
        <v>0</v>
      </c>
      <c r="N847" t="n">
        <v>0</v>
      </c>
      <c r="O847" t="n">
        <v>0</v>
      </c>
      <c r="P847" t="n">
        <v>0</v>
      </c>
      <c r="Q847" t="n">
        <v>0</v>
      </c>
      <c r="R847" s="2" t="inlineStr"/>
    </row>
    <row r="848" ht="15" customHeight="1">
      <c r="A848" t="inlineStr">
        <is>
          <t>A 50355-2024</t>
        </is>
      </c>
      <c r="B848" s="1" t="n">
        <v>45600.86128472222</v>
      </c>
      <c r="C848" s="1" t="n">
        <v>46050</v>
      </c>
      <c r="D848" t="inlineStr">
        <is>
          <t>STOCKHOLMS LÄN</t>
        </is>
      </c>
      <c r="E848" t="inlineStr">
        <is>
          <t>NORRTÄLJE</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27748-2023</t>
        </is>
      </c>
      <c r="B849" s="1" t="n">
        <v>45098</v>
      </c>
      <c r="C849" s="1" t="n">
        <v>46050</v>
      </c>
      <c r="D849" t="inlineStr">
        <is>
          <t>STOCKHOLMS LÄN</t>
        </is>
      </c>
      <c r="E849" t="inlineStr">
        <is>
          <t>NYNÄSHAMN</t>
        </is>
      </c>
      <c r="G849" t="n">
        <v>1.2</v>
      </c>
      <c r="H849" t="n">
        <v>0</v>
      </c>
      <c r="I849" t="n">
        <v>0</v>
      </c>
      <c r="J849" t="n">
        <v>0</v>
      </c>
      <c r="K849" t="n">
        <v>0</v>
      </c>
      <c r="L849" t="n">
        <v>0</v>
      </c>
      <c r="M849" t="n">
        <v>0</v>
      </c>
      <c r="N849" t="n">
        <v>0</v>
      </c>
      <c r="O849" t="n">
        <v>0</v>
      </c>
      <c r="P849" t="n">
        <v>0</v>
      </c>
      <c r="Q849" t="n">
        <v>0</v>
      </c>
      <c r="R849" s="2" t="inlineStr"/>
    </row>
    <row r="850" ht="15" customHeight="1">
      <c r="A850" t="inlineStr">
        <is>
          <t>A 55012-2024</t>
        </is>
      </c>
      <c r="B850" s="1" t="n">
        <v>45621.34813657407</v>
      </c>
      <c r="C850" s="1" t="n">
        <v>46050</v>
      </c>
      <c r="D850" t="inlineStr">
        <is>
          <t>STOCKHOLMS LÄN</t>
        </is>
      </c>
      <c r="E850" t="inlineStr">
        <is>
          <t>NORRTÄLJE</t>
        </is>
      </c>
      <c r="F850" t="inlineStr">
        <is>
          <t>Sveaskog</t>
        </is>
      </c>
      <c r="G850" t="n">
        <v>5.2</v>
      </c>
      <c r="H850" t="n">
        <v>0</v>
      </c>
      <c r="I850" t="n">
        <v>0</v>
      </c>
      <c r="J850" t="n">
        <v>0</v>
      </c>
      <c r="K850" t="n">
        <v>0</v>
      </c>
      <c r="L850" t="n">
        <v>0</v>
      </c>
      <c r="M850" t="n">
        <v>0</v>
      </c>
      <c r="N850" t="n">
        <v>0</v>
      </c>
      <c r="O850" t="n">
        <v>0</v>
      </c>
      <c r="P850" t="n">
        <v>0</v>
      </c>
      <c r="Q850" t="n">
        <v>0</v>
      </c>
      <c r="R850" s="2" t="inlineStr"/>
    </row>
    <row r="851" ht="15" customHeight="1">
      <c r="A851" t="inlineStr">
        <is>
          <t>A 7180-2024</t>
        </is>
      </c>
      <c r="B851" s="1" t="n">
        <v>45344</v>
      </c>
      <c r="C851" s="1" t="n">
        <v>46050</v>
      </c>
      <c r="D851" t="inlineStr">
        <is>
          <t>STOCKHOLMS LÄN</t>
        </is>
      </c>
      <c r="E851" t="inlineStr">
        <is>
          <t>NYNÄSHAMN</t>
        </is>
      </c>
      <c r="G851" t="n">
        <v>1.5</v>
      </c>
      <c r="H851" t="n">
        <v>0</v>
      </c>
      <c r="I851" t="n">
        <v>0</v>
      </c>
      <c r="J851" t="n">
        <v>0</v>
      </c>
      <c r="K851" t="n">
        <v>0</v>
      </c>
      <c r="L851" t="n">
        <v>0</v>
      </c>
      <c r="M851" t="n">
        <v>0</v>
      </c>
      <c r="N851" t="n">
        <v>0</v>
      </c>
      <c r="O851" t="n">
        <v>0</v>
      </c>
      <c r="P851" t="n">
        <v>0</v>
      </c>
      <c r="Q851" t="n">
        <v>0</v>
      </c>
      <c r="R851" s="2" t="inlineStr"/>
    </row>
    <row r="852" ht="15" customHeight="1">
      <c r="A852" t="inlineStr">
        <is>
          <t>A 16520-2025</t>
        </is>
      </c>
      <c r="B852" s="1" t="n">
        <v>45751.63434027778</v>
      </c>
      <c r="C852" s="1" t="n">
        <v>46050</v>
      </c>
      <c r="D852" t="inlineStr">
        <is>
          <t>STOCKHOLMS LÄN</t>
        </is>
      </c>
      <c r="E852" t="inlineStr">
        <is>
          <t>SÖDERTÄLJE</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7413-2024</t>
        </is>
      </c>
      <c r="B853" s="1" t="n">
        <v>45345.6059837963</v>
      </c>
      <c r="C853" s="1" t="n">
        <v>46050</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12251-2025</t>
        </is>
      </c>
      <c r="B854" s="1" t="n">
        <v>45729.60859953704</v>
      </c>
      <c r="C854" s="1" t="n">
        <v>46050</v>
      </c>
      <c r="D854" t="inlineStr">
        <is>
          <t>STOCKHOLMS LÄN</t>
        </is>
      </c>
      <c r="E854" t="inlineStr">
        <is>
          <t>NORRTÄLJE</t>
        </is>
      </c>
      <c r="F854" t="inlineStr">
        <is>
          <t>Holmen skog AB</t>
        </is>
      </c>
      <c r="G854" t="n">
        <v>5.9</v>
      </c>
      <c r="H854" t="n">
        <v>0</v>
      </c>
      <c r="I854" t="n">
        <v>0</v>
      </c>
      <c r="J854" t="n">
        <v>0</v>
      </c>
      <c r="K854" t="n">
        <v>0</v>
      </c>
      <c r="L854" t="n">
        <v>0</v>
      </c>
      <c r="M854" t="n">
        <v>0</v>
      </c>
      <c r="N854" t="n">
        <v>0</v>
      </c>
      <c r="O854" t="n">
        <v>0</v>
      </c>
      <c r="P854" t="n">
        <v>0</v>
      </c>
      <c r="Q854" t="n">
        <v>0</v>
      </c>
      <c r="R854" s="2" t="inlineStr"/>
    </row>
    <row r="855" ht="15" customHeight="1">
      <c r="A855" t="inlineStr">
        <is>
          <t>A 58863-2024</t>
        </is>
      </c>
      <c r="B855" s="1" t="n">
        <v>45636.41572916666</v>
      </c>
      <c r="C855" s="1" t="n">
        <v>46050</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11900-2024</t>
        </is>
      </c>
      <c r="B856" s="1" t="n">
        <v>45376.55484953704</v>
      </c>
      <c r="C856" s="1" t="n">
        <v>46050</v>
      </c>
      <c r="D856" t="inlineStr">
        <is>
          <t>STOCKHOLMS LÄN</t>
        </is>
      </c>
      <c r="E856" t="inlineStr">
        <is>
          <t>NORRTÄLJE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33158-2024</t>
        </is>
      </c>
      <c r="B857" s="1" t="n">
        <v>45518</v>
      </c>
      <c r="C857" s="1" t="n">
        <v>46050</v>
      </c>
      <c r="D857" t="inlineStr">
        <is>
          <t>STOCKHOLMS LÄN</t>
        </is>
      </c>
      <c r="E857" t="inlineStr">
        <is>
          <t>ÖSTERÅKER</t>
        </is>
      </c>
      <c r="G857" t="n">
        <v>1.6</v>
      </c>
      <c r="H857" t="n">
        <v>0</v>
      </c>
      <c r="I857" t="n">
        <v>0</v>
      </c>
      <c r="J857" t="n">
        <v>0</v>
      </c>
      <c r="K857" t="n">
        <v>0</v>
      </c>
      <c r="L857" t="n">
        <v>0</v>
      </c>
      <c r="M857" t="n">
        <v>0</v>
      </c>
      <c r="N857" t="n">
        <v>0</v>
      </c>
      <c r="O857" t="n">
        <v>0</v>
      </c>
      <c r="P857" t="n">
        <v>0</v>
      </c>
      <c r="Q857" t="n">
        <v>0</v>
      </c>
      <c r="R857" s="2" t="inlineStr"/>
    </row>
    <row r="858" ht="15" customHeight="1">
      <c r="A858" t="inlineStr">
        <is>
          <t>A 27970-2022</t>
        </is>
      </c>
      <c r="B858" s="1" t="n">
        <v>44744</v>
      </c>
      <c r="C858" s="1" t="n">
        <v>46050</v>
      </c>
      <c r="D858" t="inlineStr">
        <is>
          <t>STOCKHOLMS LÄN</t>
        </is>
      </c>
      <c r="E858" t="inlineStr">
        <is>
          <t>SÖDERTÄLJE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27972-2022</t>
        </is>
      </c>
      <c r="B859" s="1" t="n">
        <v>44744</v>
      </c>
      <c r="C859" s="1" t="n">
        <v>46050</v>
      </c>
      <c r="D859" t="inlineStr">
        <is>
          <t>STOCKHOLMS LÄN</t>
        </is>
      </c>
      <c r="E859" t="inlineStr">
        <is>
          <t>SÖDERTÄLJE</t>
        </is>
      </c>
      <c r="G859" t="n">
        <v>3.4</v>
      </c>
      <c r="H859" t="n">
        <v>0</v>
      </c>
      <c r="I859" t="n">
        <v>0</v>
      </c>
      <c r="J859" t="n">
        <v>0</v>
      </c>
      <c r="K859" t="n">
        <v>0</v>
      </c>
      <c r="L859" t="n">
        <v>0</v>
      </c>
      <c r="M859" t="n">
        <v>0</v>
      </c>
      <c r="N859" t="n">
        <v>0</v>
      </c>
      <c r="O859" t="n">
        <v>0</v>
      </c>
      <c r="P859" t="n">
        <v>0</v>
      </c>
      <c r="Q859" t="n">
        <v>0</v>
      </c>
      <c r="R859" s="2" t="inlineStr"/>
    </row>
    <row r="860" ht="15" customHeight="1">
      <c r="A860" t="inlineStr">
        <is>
          <t>A 50154-2024</t>
        </is>
      </c>
      <c r="B860" s="1" t="n">
        <v>45600.4558912037</v>
      </c>
      <c r="C860" s="1" t="n">
        <v>46050</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58277-2023</t>
        </is>
      </c>
      <c r="B861" s="1" t="n">
        <v>45245</v>
      </c>
      <c r="C861" s="1" t="n">
        <v>46050</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3828-2023</t>
        </is>
      </c>
      <c r="B862" s="1" t="n">
        <v>44951</v>
      </c>
      <c r="C862" s="1" t="n">
        <v>46050</v>
      </c>
      <c r="D862" t="inlineStr">
        <is>
          <t>STOCKHOLMS LÄN</t>
        </is>
      </c>
      <c r="E862" t="inlineStr">
        <is>
          <t>ÖSTERÅKER</t>
        </is>
      </c>
      <c r="F862" t="inlineStr">
        <is>
          <t>Kommuner</t>
        </is>
      </c>
      <c r="G862" t="n">
        <v>3.2</v>
      </c>
      <c r="H862" t="n">
        <v>0</v>
      </c>
      <c r="I862" t="n">
        <v>0</v>
      </c>
      <c r="J862" t="n">
        <v>0</v>
      </c>
      <c r="K862" t="n">
        <v>0</v>
      </c>
      <c r="L862" t="n">
        <v>0</v>
      </c>
      <c r="M862" t="n">
        <v>0</v>
      </c>
      <c r="N862" t="n">
        <v>0</v>
      </c>
      <c r="O862" t="n">
        <v>0</v>
      </c>
      <c r="P862" t="n">
        <v>0</v>
      </c>
      <c r="Q862" t="n">
        <v>0</v>
      </c>
      <c r="R862" s="2" t="inlineStr"/>
    </row>
    <row r="863" ht="15" customHeight="1">
      <c r="A863" t="inlineStr">
        <is>
          <t>A 42075-2023</t>
        </is>
      </c>
      <c r="B863" s="1" t="n">
        <v>45177</v>
      </c>
      <c r="C863" s="1" t="n">
        <v>46050</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14217-2025</t>
        </is>
      </c>
      <c r="B864" s="1" t="n">
        <v>45740.58534722222</v>
      </c>
      <c r="C864" s="1" t="n">
        <v>46050</v>
      </c>
      <c r="D864" t="inlineStr">
        <is>
          <t>STOCKHOLMS LÄN</t>
        </is>
      </c>
      <c r="E864" t="inlineStr">
        <is>
          <t>BOTKYRKA</t>
        </is>
      </c>
      <c r="G864" t="n">
        <v>3.4</v>
      </c>
      <c r="H864" t="n">
        <v>0</v>
      </c>
      <c r="I864" t="n">
        <v>0</v>
      </c>
      <c r="J864" t="n">
        <v>0</v>
      </c>
      <c r="K864" t="n">
        <v>0</v>
      </c>
      <c r="L864" t="n">
        <v>0</v>
      </c>
      <c r="M864" t="n">
        <v>0</v>
      </c>
      <c r="N864" t="n">
        <v>0</v>
      </c>
      <c r="O864" t="n">
        <v>0</v>
      </c>
      <c r="P864" t="n">
        <v>0</v>
      </c>
      <c r="Q864" t="n">
        <v>0</v>
      </c>
      <c r="R864" s="2" t="inlineStr"/>
    </row>
    <row r="865" ht="15" customHeight="1">
      <c r="A865" t="inlineStr">
        <is>
          <t>A 42867-2022</t>
        </is>
      </c>
      <c r="B865" s="1" t="n">
        <v>44832</v>
      </c>
      <c r="C865" s="1" t="n">
        <v>46050</v>
      </c>
      <c r="D865" t="inlineStr">
        <is>
          <t>STOCKHOLMS LÄN</t>
        </is>
      </c>
      <c r="E865" t="inlineStr">
        <is>
          <t>NORRTÄLJE</t>
        </is>
      </c>
      <c r="G865" t="n">
        <v>6.4</v>
      </c>
      <c r="H865" t="n">
        <v>0</v>
      </c>
      <c r="I865" t="n">
        <v>0</v>
      </c>
      <c r="J865" t="n">
        <v>0</v>
      </c>
      <c r="K865" t="n">
        <v>0</v>
      </c>
      <c r="L865" t="n">
        <v>0</v>
      </c>
      <c r="M865" t="n">
        <v>0</v>
      </c>
      <c r="N865" t="n">
        <v>0</v>
      </c>
      <c r="O865" t="n">
        <v>0</v>
      </c>
      <c r="P865" t="n">
        <v>0</v>
      </c>
      <c r="Q865" t="n">
        <v>0</v>
      </c>
      <c r="R865" s="2" t="inlineStr"/>
    </row>
    <row r="866" ht="15" customHeight="1">
      <c r="A866" t="inlineStr">
        <is>
          <t>A 11940-2023</t>
        </is>
      </c>
      <c r="B866" s="1" t="n">
        <v>44995</v>
      </c>
      <c r="C866" s="1" t="n">
        <v>46050</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2367-2023</t>
        </is>
      </c>
      <c r="B867" s="1" t="n">
        <v>44942.67042824074</v>
      </c>
      <c r="C867" s="1" t="n">
        <v>46050</v>
      </c>
      <c r="D867" t="inlineStr">
        <is>
          <t>STOCKHOLMS LÄN</t>
        </is>
      </c>
      <c r="E867" t="inlineStr">
        <is>
          <t>NYNÄSHAMN</t>
        </is>
      </c>
      <c r="G867" t="n">
        <v>1.2</v>
      </c>
      <c r="H867" t="n">
        <v>0</v>
      </c>
      <c r="I867" t="n">
        <v>0</v>
      </c>
      <c r="J867" t="n">
        <v>0</v>
      </c>
      <c r="K867" t="n">
        <v>0</v>
      </c>
      <c r="L867" t="n">
        <v>0</v>
      </c>
      <c r="M867" t="n">
        <v>0</v>
      </c>
      <c r="N867" t="n">
        <v>0</v>
      </c>
      <c r="O867" t="n">
        <v>0</v>
      </c>
      <c r="P867" t="n">
        <v>0</v>
      </c>
      <c r="Q867" t="n">
        <v>0</v>
      </c>
      <c r="R867" s="2" t="inlineStr"/>
    </row>
    <row r="868" ht="15" customHeight="1">
      <c r="A868" t="inlineStr">
        <is>
          <t>A 9966-2024</t>
        </is>
      </c>
      <c r="B868" s="1" t="n">
        <v>45363.65841435185</v>
      </c>
      <c r="C868" s="1" t="n">
        <v>46050</v>
      </c>
      <c r="D868" t="inlineStr">
        <is>
          <t>STOCKHOLMS LÄN</t>
        </is>
      </c>
      <c r="E868" t="inlineStr">
        <is>
          <t>VÄRMDÖ</t>
        </is>
      </c>
      <c r="G868" t="n">
        <v>6</v>
      </c>
      <c r="H868" t="n">
        <v>0</v>
      </c>
      <c r="I868" t="n">
        <v>0</v>
      </c>
      <c r="J868" t="n">
        <v>0</v>
      </c>
      <c r="K868" t="n">
        <v>0</v>
      </c>
      <c r="L868" t="n">
        <v>0</v>
      </c>
      <c r="M868" t="n">
        <v>0</v>
      </c>
      <c r="N868" t="n">
        <v>0</v>
      </c>
      <c r="O868" t="n">
        <v>0</v>
      </c>
      <c r="P868" t="n">
        <v>0</v>
      </c>
      <c r="Q868" t="n">
        <v>0</v>
      </c>
      <c r="R868" s="2" t="inlineStr"/>
    </row>
    <row r="869" ht="15" customHeight="1">
      <c r="A869" t="inlineStr">
        <is>
          <t>A 32705-2022</t>
        </is>
      </c>
      <c r="B869" s="1" t="n">
        <v>44783</v>
      </c>
      <c r="C869" s="1" t="n">
        <v>46050</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41809-2021</t>
        </is>
      </c>
      <c r="B870" s="1" t="n">
        <v>44425</v>
      </c>
      <c r="C870" s="1" t="n">
        <v>46050</v>
      </c>
      <c r="D870" t="inlineStr">
        <is>
          <t>STOCKHOLMS LÄN</t>
        </is>
      </c>
      <c r="E870" t="inlineStr">
        <is>
          <t>HANINGE</t>
        </is>
      </c>
      <c r="G870" t="n">
        <v>0.9</v>
      </c>
      <c r="H870" t="n">
        <v>0</v>
      </c>
      <c r="I870" t="n">
        <v>0</v>
      </c>
      <c r="J870" t="n">
        <v>0</v>
      </c>
      <c r="K870" t="n">
        <v>0</v>
      </c>
      <c r="L870" t="n">
        <v>0</v>
      </c>
      <c r="M870" t="n">
        <v>0</v>
      </c>
      <c r="N870" t="n">
        <v>0</v>
      </c>
      <c r="O870" t="n">
        <v>0</v>
      </c>
      <c r="P870" t="n">
        <v>0</v>
      </c>
      <c r="Q870" t="n">
        <v>0</v>
      </c>
      <c r="R870" s="2" t="inlineStr"/>
    </row>
    <row r="871" ht="15" customHeight="1">
      <c r="A871" t="inlineStr">
        <is>
          <t>A 2281-2024</t>
        </is>
      </c>
      <c r="B871" s="1" t="n">
        <v>45310.40628472222</v>
      </c>
      <c r="C871" s="1" t="n">
        <v>46050</v>
      </c>
      <c r="D871" t="inlineStr">
        <is>
          <t>STOCKHOLMS LÄN</t>
        </is>
      </c>
      <c r="E871" t="inlineStr">
        <is>
          <t>NORRTÄLJE</t>
        </is>
      </c>
      <c r="G871" t="n">
        <v>2.7</v>
      </c>
      <c r="H871" t="n">
        <v>0</v>
      </c>
      <c r="I871" t="n">
        <v>0</v>
      </c>
      <c r="J871" t="n">
        <v>0</v>
      </c>
      <c r="K871" t="n">
        <v>0</v>
      </c>
      <c r="L871" t="n">
        <v>0</v>
      </c>
      <c r="M871" t="n">
        <v>0</v>
      </c>
      <c r="N871" t="n">
        <v>0</v>
      </c>
      <c r="O871" t="n">
        <v>0</v>
      </c>
      <c r="P871" t="n">
        <v>0</v>
      </c>
      <c r="Q871" t="n">
        <v>0</v>
      </c>
      <c r="R871" s="2" t="inlineStr"/>
    </row>
    <row r="872" ht="15" customHeight="1">
      <c r="A872" t="inlineStr">
        <is>
          <t>A 47481-2024</t>
        </is>
      </c>
      <c r="B872" s="1" t="n">
        <v>45587</v>
      </c>
      <c r="C872" s="1" t="n">
        <v>46050</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57037-2022</t>
        </is>
      </c>
      <c r="B873" s="1" t="n">
        <v>44895</v>
      </c>
      <c r="C873" s="1" t="n">
        <v>46050</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50108-2021</t>
        </is>
      </c>
      <c r="B874" s="1" t="n">
        <v>44456</v>
      </c>
      <c r="C874" s="1" t="n">
        <v>46050</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60525-2022</t>
        </is>
      </c>
      <c r="B875" s="1" t="n">
        <v>44904</v>
      </c>
      <c r="C875" s="1" t="n">
        <v>46050</v>
      </c>
      <c r="D875" t="inlineStr">
        <is>
          <t>STOCKHOLMS LÄN</t>
        </is>
      </c>
      <c r="E875" t="inlineStr">
        <is>
          <t>NORRTÄLJE</t>
        </is>
      </c>
      <c r="G875" t="n">
        <v>13.4</v>
      </c>
      <c r="H875" t="n">
        <v>0</v>
      </c>
      <c r="I875" t="n">
        <v>0</v>
      </c>
      <c r="J875" t="n">
        <v>0</v>
      </c>
      <c r="K875" t="n">
        <v>0</v>
      </c>
      <c r="L875" t="n">
        <v>0</v>
      </c>
      <c r="M875" t="n">
        <v>0</v>
      </c>
      <c r="N875" t="n">
        <v>0</v>
      </c>
      <c r="O875" t="n">
        <v>0</v>
      </c>
      <c r="P875" t="n">
        <v>0</v>
      </c>
      <c r="Q875" t="n">
        <v>0</v>
      </c>
      <c r="R875" s="2" t="inlineStr"/>
    </row>
    <row r="876" ht="15" customHeight="1">
      <c r="A876" t="inlineStr">
        <is>
          <t>A 9856-2024</t>
        </is>
      </c>
      <c r="B876" s="1" t="n">
        <v>45363</v>
      </c>
      <c r="C876" s="1" t="n">
        <v>46050</v>
      </c>
      <c r="D876" t="inlineStr">
        <is>
          <t>STOCKHOLMS LÄN</t>
        </is>
      </c>
      <c r="E876" t="inlineStr">
        <is>
          <t>SIGTUNA</t>
        </is>
      </c>
      <c r="G876" t="n">
        <v>1.3</v>
      </c>
      <c r="H876" t="n">
        <v>0</v>
      </c>
      <c r="I876" t="n">
        <v>0</v>
      </c>
      <c r="J876" t="n">
        <v>0</v>
      </c>
      <c r="K876" t="n">
        <v>0</v>
      </c>
      <c r="L876" t="n">
        <v>0</v>
      </c>
      <c r="M876" t="n">
        <v>0</v>
      </c>
      <c r="N876" t="n">
        <v>0</v>
      </c>
      <c r="O876" t="n">
        <v>0</v>
      </c>
      <c r="P876" t="n">
        <v>0</v>
      </c>
      <c r="Q876" t="n">
        <v>0</v>
      </c>
      <c r="R876" s="2" t="inlineStr"/>
    </row>
    <row r="877" ht="15" customHeight="1">
      <c r="A877" t="inlineStr">
        <is>
          <t>A 7903-2021</t>
        </is>
      </c>
      <c r="B877" s="1" t="n">
        <v>44243.33587962963</v>
      </c>
      <c r="C877" s="1" t="n">
        <v>46050</v>
      </c>
      <c r="D877" t="inlineStr">
        <is>
          <t>STOCKHOLMS LÄN</t>
        </is>
      </c>
      <c r="E877" t="inlineStr">
        <is>
          <t>NORRTÄLJE</t>
        </is>
      </c>
      <c r="G877" t="n">
        <v>3.5</v>
      </c>
      <c r="H877" t="n">
        <v>0</v>
      </c>
      <c r="I877" t="n">
        <v>0</v>
      </c>
      <c r="J877" t="n">
        <v>0</v>
      </c>
      <c r="K877" t="n">
        <v>0</v>
      </c>
      <c r="L877" t="n">
        <v>0</v>
      </c>
      <c r="M877" t="n">
        <v>0</v>
      </c>
      <c r="N877" t="n">
        <v>0</v>
      </c>
      <c r="O877" t="n">
        <v>0</v>
      </c>
      <c r="P877" t="n">
        <v>0</v>
      </c>
      <c r="Q877" t="n">
        <v>0</v>
      </c>
      <c r="R877" s="2" t="inlineStr"/>
    </row>
    <row r="878" ht="15" customHeight="1">
      <c r="A878" t="inlineStr">
        <is>
          <t>A 23749-2024</t>
        </is>
      </c>
      <c r="B878" s="1" t="n">
        <v>45455.33037037037</v>
      </c>
      <c r="C878" s="1" t="n">
        <v>46050</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39213-2022</t>
        </is>
      </c>
      <c r="B879" s="1" t="n">
        <v>44817.56120370371</v>
      </c>
      <c r="C879" s="1" t="n">
        <v>46050</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30378-2024</t>
        </is>
      </c>
      <c r="B880" s="1" t="n">
        <v>45491</v>
      </c>
      <c r="C880" s="1" t="n">
        <v>46050</v>
      </c>
      <c r="D880" t="inlineStr">
        <is>
          <t>STOCKHOLMS LÄN</t>
        </is>
      </c>
      <c r="E880" t="inlineStr">
        <is>
          <t>BOTKYRKA</t>
        </is>
      </c>
      <c r="G880" t="n">
        <v>0.3</v>
      </c>
      <c r="H880" t="n">
        <v>0</v>
      </c>
      <c r="I880" t="n">
        <v>0</v>
      </c>
      <c r="J880" t="n">
        <v>0</v>
      </c>
      <c r="K880" t="n">
        <v>0</v>
      </c>
      <c r="L880" t="n">
        <v>0</v>
      </c>
      <c r="M880" t="n">
        <v>0</v>
      </c>
      <c r="N880" t="n">
        <v>0</v>
      </c>
      <c r="O880" t="n">
        <v>0</v>
      </c>
      <c r="P880" t="n">
        <v>0</v>
      </c>
      <c r="Q880" t="n">
        <v>0</v>
      </c>
      <c r="R880" s="2" t="inlineStr"/>
    </row>
    <row r="881" ht="15" customHeight="1">
      <c r="A881" t="inlineStr">
        <is>
          <t>A 51325-2023</t>
        </is>
      </c>
      <c r="B881" s="1" t="n">
        <v>45219</v>
      </c>
      <c r="C881" s="1" t="n">
        <v>46050</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41976-2024</t>
        </is>
      </c>
      <c r="B882" s="1" t="n">
        <v>45561.62141203704</v>
      </c>
      <c r="C882" s="1" t="n">
        <v>46050</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59534-2024</t>
        </is>
      </c>
      <c r="B883" s="1" t="n">
        <v>45638.5987037037</v>
      </c>
      <c r="C883" s="1" t="n">
        <v>46050</v>
      </c>
      <c r="D883" t="inlineStr">
        <is>
          <t>STOCKHOLMS LÄN</t>
        </is>
      </c>
      <c r="E883" t="inlineStr">
        <is>
          <t>NORRTÄLJE</t>
        </is>
      </c>
      <c r="F883" t="inlineStr">
        <is>
          <t>Holmen skog AB</t>
        </is>
      </c>
      <c r="G883" t="n">
        <v>1.3</v>
      </c>
      <c r="H883" t="n">
        <v>0</v>
      </c>
      <c r="I883" t="n">
        <v>0</v>
      </c>
      <c r="J883" t="n">
        <v>0</v>
      </c>
      <c r="K883" t="n">
        <v>0</v>
      </c>
      <c r="L883" t="n">
        <v>0</v>
      </c>
      <c r="M883" t="n">
        <v>0</v>
      </c>
      <c r="N883" t="n">
        <v>0</v>
      </c>
      <c r="O883" t="n">
        <v>0</v>
      </c>
      <c r="P883" t="n">
        <v>0</v>
      </c>
      <c r="Q883" t="n">
        <v>0</v>
      </c>
      <c r="R883" s="2" t="inlineStr"/>
    </row>
    <row r="884" ht="15" customHeight="1">
      <c r="A884" t="inlineStr">
        <is>
          <t>A 31107-2022</t>
        </is>
      </c>
      <c r="B884" s="1" t="n">
        <v>44769.66864583334</v>
      </c>
      <c r="C884" s="1" t="n">
        <v>46050</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13860-2023</t>
        </is>
      </c>
      <c r="B885" s="1" t="n">
        <v>45007</v>
      </c>
      <c r="C885" s="1" t="n">
        <v>46050</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6855-2025</t>
        </is>
      </c>
      <c r="B886" s="1" t="n">
        <v>45700</v>
      </c>
      <c r="C886" s="1" t="n">
        <v>46050</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2172-2024</t>
        </is>
      </c>
      <c r="B887" s="1" t="n">
        <v>45309.63112268518</v>
      </c>
      <c r="C887" s="1" t="n">
        <v>46050</v>
      </c>
      <c r="D887" t="inlineStr">
        <is>
          <t>STOCKHOLMS LÄN</t>
        </is>
      </c>
      <c r="E887" t="inlineStr">
        <is>
          <t>NYKVARN</t>
        </is>
      </c>
      <c r="G887" t="n">
        <v>2</v>
      </c>
      <c r="H887" t="n">
        <v>0</v>
      </c>
      <c r="I887" t="n">
        <v>0</v>
      </c>
      <c r="J887" t="n">
        <v>0</v>
      </c>
      <c r="K887" t="n">
        <v>0</v>
      </c>
      <c r="L887" t="n">
        <v>0</v>
      </c>
      <c r="M887" t="n">
        <v>0</v>
      </c>
      <c r="N887" t="n">
        <v>0</v>
      </c>
      <c r="O887" t="n">
        <v>0</v>
      </c>
      <c r="P887" t="n">
        <v>0</v>
      </c>
      <c r="Q887" t="n">
        <v>0</v>
      </c>
      <c r="R887" s="2" t="inlineStr"/>
    </row>
    <row r="888" ht="15" customHeight="1">
      <c r="A888" t="inlineStr">
        <is>
          <t>A 37392-2024</t>
        </is>
      </c>
      <c r="B888" s="1" t="n">
        <v>45540</v>
      </c>
      <c r="C888" s="1" t="n">
        <v>46050</v>
      </c>
      <c r="D888" t="inlineStr">
        <is>
          <t>STOCKHOLMS LÄN</t>
        </is>
      </c>
      <c r="E888" t="inlineStr">
        <is>
          <t>SIGTUNA</t>
        </is>
      </c>
      <c r="G888" t="n">
        <v>2.1</v>
      </c>
      <c r="H888" t="n">
        <v>0</v>
      </c>
      <c r="I888" t="n">
        <v>0</v>
      </c>
      <c r="J888" t="n">
        <v>0</v>
      </c>
      <c r="K888" t="n">
        <v>0</v>
      </c>
      <c r="L888" t="n">
        <v>0</v>
      </c>
      <c r="M888" t="n">
        <v>0</v>
      </c>
      <c r="N888" t="n">
        <v>0</v>
      </c>
      <c r="O888" t="n">
        <v>0</v>
      </c>
      <c r="P888" t="n">
        <v>0</v>
      </c>
      <c r="Q888" t="n">
        <v>0</v>
      </c>
      <c r="R888" s="2" t="inlineStr"/>
    </row>
    <row r="889" ht="15" customHeight="1">
      <c r="A889" t="inlineStr">
        <is>
          <t>A 44969-2022</t>
        </is>
      </c>
      <c r="B889" s="1" t="n">
        <v>44841.58752314815</v>
      </c>
      <c r="C889" s="1" t="n">
        <v>46050</v>
      </c>
      <c r="D889" t="inlineStr">
        <is>
          <t>STOCKHOLMS LÄN</t>
        </is>
      </c>
      <c r="E889" t="inlineStr">
        <is>
          <t>NYKVARN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34432-2021</t>
        </is>
      </c>
      <c r="B890" s="1" t="n">
        <v>44380.77346064815</v>
      </c>
      <c r="C890" s="1" t="n">
        <v>46050</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61320-2024</t>
        </is>
      </c>
      <c r="B891" s="1" t="n">
        <v>45646.33262731481</v>
      </c>
      <c r="C891" s="1" t="n">
        <v>46050</v>
      </c>
      <c r="D891" t="inlineStr">
        <is>
          <t>STOCKHOLMS LÄN</t>
        </is>
      </c>
      <c r="E891" t="inlineStr">
        <is>
          <t>BOTKYRKA</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37491-2022</t>
        </is>
      </c>
      <c r="B892" s="1" t="n">
        <v>44809</v>
      </c>
      <c r="C892" s="1" t="n">
        <v>46050</v>
      </c>
      <c r="D892" t="inlineStr">
        <is>
          <t>STOCKHOLMS LÄN</t>
        </is>
      </c>
      <c r="E892" t="inlineStr">
        <is>
          <t>NYNÄSHAMN</t>
        </is>
      </c>
      <c r="G892" t="n">
        <v>4.3</v>
      </c>
      <c r="H892" t="n">
        <v>0</v>
      </c>
      <c r="I892" t="n">
        <v>0</v>
      </c>
      <c r="J892" t="n">
        <v>0</v>
      </c>
      <c r="K892" t="n">
        <v>0</v>
      </c>
      <c r="L892" t="n">
        <v>0</v>
      </c>
      <c r="M892" t="n">
        <v>0</v>
      </c>
      <c r="N892" t="n">
        <v>0</v>
      </c>
      <c r="O892" t="n">
        <v>0</v>
      </c>
      <c r="P892" t="n">
        <v>0</v>
      </c>
      <c r="Q892" t="n">
        <v>0</v>
      </c>
      <c r="R892" s="2" t="inlineStr"/>
    </row>
    <row r="893" ht="15" customHeight="1">
      <c r="A893" t="inlineStr">
        <is>
          <t>A 8300-2024</t>
        </is>
      </c>
      <c r="B893" s="1" t="n">
        <v>45352.44717592592</v>
      </c>
      <c r="C893" s="1" t="n">
        <v>46050</v>
      </c>
      <c r="D893" t="inlineStr">
        <is>
          <t>STOCKHOLMS LÄN</t>
        </is>
      </c>
      <c r="E893" t="inlineStr">
        <is>
          <t>SALEM</t>
        </is>
      </c>
      <c r="F893" t="inlineStr">
        <is>
          <t>Kommuner</t>
        </is>
      </c>
      <c r="G893" t="n">
        <v>3.4</v>
      </c>
      <c r="H893" t="n">
        <v>0</v>
      </c>
      <c r="I893" t="n">
        <v>0</v>
      </c>
      <c r="J893" t="n">
        <v>0</v>
      </c>
      <c r="K893" t="n">
        <v>0</v>
      </c>
      <c r="L893" t="n">
        <v>0</v>
      </c>
      <c r="M893" t="n">
        <v>0</v>
      </c>
      <c r="N893" t="n">
        <v>0</v>
      </c>
      <c r="O893" t="n">
        <v>0</v>
      </c>
      <c r="P893" t="n">
        <v>0</v>
      </c>
      <c r="Q893" t="n">
        <v>0</v>
      </c>
      <c r="R893" s="2" t="inlineStr"/>
    </row>
    <row r="894" ht="15" customHeight="1">
      <c r="A894" t="inlineStr">
        <is>
          <t>A 13046-2022</t>
        </is>
      </c>
      <c r="B894" s="1" t="n">
        <v>44643</v>
      </c>
      <c r="C894" s="1" t="n">
        <v>46050</v>
      </c>
      <c r="D894" t="inlineStr">
        <is>
          <t>STOCKHOLMS LÄN</t>
        </is>
      </c>
      <c r="E894" t="inlineStr">
        <is>
          <t>HANINGE</t>
        </is>
      </c>
      <c r="G894" t="n">
        <v>2.3</v>
      </c>
      <c r="H894" t="n">
        <v>0</v>
      </c>
      <c r="I894" t="n">
        <v>0</v>
      </c>
      <c r="J894" t="n">
        <v>0</v>
      </c>
      <c r="K894" t="n">
        <v>0</v>
      </c>
      <c r="L894" t="n">
        <v>0</v>
      </c>
      <c r="M894" t="n">
        <v>0</v>
      </c>
      <c r="N894" t="n">
        <v>0</v>
      </c>
      <c r="O894" t="n">
        <v>0</v>
      </c>
      <c r="P894" t="n">
        <v>0</v>
      </c>
      <c r="Q894" t="n">
        <v>0</v>
      </c>
      <c r="R894" s="2" t="inlineStr"/>
    </row>
    <row r="895" ht="15" customHeight="1">
      <c r="A895" t="inlineStr">
        <is>
          <t>A 3630-2023</t>
        </is>
      </c>
      <c r="B895" s="1" t="n">
        <v>44950</v>
      </c>
      <c r="C895" s="1" t="n">
        <v>46050</v>
      </c>
      <c r="D895" t="inlineStr">
        <is>
          <t>STOCKHOLMS LÄN</t>
        </is>
      </c>
      <c r="E895" t="inlineStr">
        <is>
          <t>UPPLANDS-BRO</t>
        </is>
      </c>
      <c r="G895" t="n">
        <v>1.4</v>
      </c>
      <c r="H895" t="n">
        <v>0</v>
      </c>
      <c r="I895" t="n">
        <v>0</v>
      </c>
      <c r="J895" t="n">
        <v>0</v>
      </c>
      <c r="K895" t="n">
        <v>0</v>
      </c>
      <c r="L895" t="n">
        <v>0</v>
      </c>
      <c r="M895" t="n">
        <v>0</v>
      </c>
      <c r="N895" t="n">
        <v>0</v>
      </c>
      <c r="O895" t="n">
        <v>0</v>
      </c>
      <c r="P895" t="n">
        <v>0</v>
      </c>
      <c r="Q895" t="n">
        <v>0</v>
      </c>
      <c r="R895" s="2" t="inlineStr"/>
    </row>
    <row r="896" ht="15" customHeight="1">
      <c r="A896" t="inlineStr">
        <is>
          <t>A 13314-2025</t>
        </is>
      </c>
      <c r="B896" s="1" t="n">
        <v>45735.59287037037</v>
      </c>
      <c r="C896" s="1" t="n">
        <v>46050</v>
      </c>
      <c r="D896" t="inlineStr">
        <is>
          <t>STOCKHOLMS LÄN</t>
        </is>
      </c>
      <c r="E896" t="inlineStr">
        <is>
          <t>NORRTÄLJE</t>
        </is>
      </c>
      <c r="G896" t="n">
        <v>2.4</v>
      </c>
      <c r="H896" t="n">
        <v>0</v>
      </c>
      <c r="I896" t="n">
        <v>0</v>
      </c>
      <c r="J896" t="n">
        <v>0</v>
      </c>
      <c r="K896" t="n">
        <v>0</v>
      </c>
      <c r="L896" t="n">
        <v>0</v>
      </c>
      <c r="M896" t="n">
        <v>0</v>
      </c>
      <c r="N896" t="n">
        <v>0</v>
      </c>
      <c r="O896" t="n">
        <v>0</v>
      </c>
      <c r="P896" t="n">
        <v>0</v>
      </c>
      <c r="Q896" t="n">
        <v>0</v>
      </c>
      <c r="R896" s="2" t="inlineStr"/>
    </row>
    <row r="897" ht="15" customHeight="1">
      <c r="A897" t="inlineStr">
        <is>
          <t>A 23093-2024</t>
        </is>
      </c>
      <c r="B897" s="1" t="n">
        <v>45450</v>
      </c>
      <c r="C897" s="1" t="n">
        <v>46050</v>
      </c>
      <c r="D897" t="inlineStr">
        <is>
          <t>STOCKHOLMS LÄN</t>
        </is>
      </c>
      <c r="E897" t="inlineStr">
        <is>
          <t>UPPLANDS-BRO</t>
        </is>
      </c>
      <c r="F897" t="inlineStr">
        <is>
          <t>Övriga statliga verk och myndigheter</t>
        </is>
      </c>
      <c r="G897" t="n">
        <v>0.9</v>
      </c>
      <c r="H897" t="n">
        <v>0</v>
      </c>
      <c r="I897" t="n">
        <v>0</v>
      </c>
      <c r="J897" t="n">
        <v>0</v>
      </c>
      <c r="K897" t="n">
        <v>0</v>
      </c>
      <c r="L897" t="n">
        <v>0</v>
      </c>
      <c r="M897" t="n">
        <v>0</v>
      </c>
      <c r="N897" t="n">
        <v>0</v>
      </c>
      <c r="O897" t="n">
        <v>0</v>
      </c>
      <c r="P897" t="n">
        <v>0</v>
      </c>
      <c r="Q897" t="n">
        <v>0</v>
      </c>
      <c r="R897" s="2" t="inlineStr"/>
    </row>
    <row r="898" ht="15" customHeight="1">
      <c r="A898" t="inlineStr">
        <is>
          <t>A 23149-2024</t>
        </is>
      </c>
      <c r="B898" s="1" t="n">
        <v>45450.64208333333</v>
      </c>
      <c r="C898" s="1" t="n">
        <v>46050</v>
      </c>
      <c r="D898" t="inlineStr">
        <is>
          <t>STOCKHOLMS LÄN</t>
        </is>
      </c>
      <c r="E898" t="inlineStr">
        <is>
          <t>NORRTÄLJE</t>
        </is>
      </c>
      <c r="F898" t="inlineStr">
        <is>
          <t>Kommuner</t>
        </is>
      </c>
      <c r="G898" t="n">
        <v>1.3</v>
      </c>
      <c r="H898" t="n">
        <v>0</v>
      </c>
      <c r="I898" t="n">
        <v>0</v>
      </c>
      <c r="J898" t="n">
        <v>0</v>
      </c>
      <c r="K898" t="n">
        <v>0</v>
      </c>
      <c r="L898" t="n">
        <v>0</v>
      </c>
      <c r="M898" t="n">
        <v>0</v>
      </c>
      <c r="N898" t="n">
        <v>0</v>
      </c>
      <c r="O898" t="n">
        <v>0</v>
      </c>
      <c r="P898" t="n">
        <v>0</v>
      </c>
      <c r="Q898" t="n">
        <v>0</v>
      </c>
      <c r="R898" s="2" t="inlineStr"/>
    </row>
    <row r="899" ht="15" customHeight="1">
      <c r="A899" t="inlineStr">
        <is>
          <t>A 23151-2024</t>
        </is>
      </c>
      <c r="B899" s="1" t="n">
        <v>45450</v>
      </c>
      <c r="C899" s="1" t="n">
        <v>46050</v>
      </c>
      <c r="D899" t="inlineStr">
        <is>
          <t>STOCKHOLMS LÄN</t>
        </is>
      </c>
      <c r="E899" t="inlineStr">
        <is>
          <t>NORRTÄLJE</t>
        </is>
      </c>
      <c r="F899" t="inlineStr">
        <is>
          <t>Kommuner</t>
        </is>
      </c>
      <c r="G899" t="n">
        <v>1.2</v>
      </c>
      <c r="H899" t="n">
        <v>0</v>
      </c>
      <c r="I899" t="n">
        <v>0</v>
      </c>
      <c r="J899" t="n">
        <v>0</v>
      </c>
      <c r="K899" t="n">
        <v>0</v>
      </c>
      <c r="L899" t="n">
        <v>0</v>
      </c>
      <c r="M899" t="n">
        <v>0</v>
      </c>
      <c r="N899" t="n">
        <v>0</v>
      </c>
      <c r="O899" t="n">
        <v>0</v>
      </c>
      <c r="P899" t="n">
        <v>0</v>
      </c>
      <c r="Q899" t="n">
        <v>0</v>
      </c>
      <c r="R899" s="2" t="inlineStr"/>
    </row>
    <row r="900" ht="15" customHeight="1">
      <c r="A900" t="inlineStr">
        <is>
          <t>A 24105-2025</t>
        </is>
      </c>
      <c r="B900" s="1" t="n">
        <v>45796.60096064815</v>
      </c>
      <c r="C900" s="1" t="n">
        <v>46050</v>
      </c>
      <c r="D900" t="inlineStr">
        <is>
          <t>STOCKHOLMS LÄN</t>
        </is>
      </c>
      <c r="E900" t="inlineStr">
        <is>
          <t>SIGTUNA</t>
        </is>
      </c>
      <c r="G900" t="n">
        <v>3</v>
      </c>
      <c r="H900" t="n">
        <v>0</v>
      </c>
      <c r="I900" t="n">
        <v>0</v>
      </c>
      <c r="J900" t="n">
        <v>0</v>
      </c>
      <c r="K900" t="n">
        <v>0</v>
      </c>
      <c r="L900" t="n">
        <v>0</v>
      </c>
      <c r="M900" t="n">
        <v>0</v>
      </c>
      <c r="N900" t="n">
        <v>0</v>
      </c>
      <c r="O900" t="n">
        <v>0</v>
      </c>
      <c r="P900" t="n">
        <v>0</v>
      </c>
      <c r="Q900" t="n">
        <v>0</v>
      </c>
      <c r="R900" s="2" t="inlineStr"/>
    </row>
    <row r="901" ht="15" customHeight="1">
      <c r="A901" t="inlineStr">
        <is>
          <t>A 73194-2021</t>
        </is>
      </c>
      <c r="B901" s="1" t="n">
        <v>44550.61508101852</v>
      </c>
      <c r="C901" s="1" t="n">
        <v>46050</v>
      </c>
      <c r="D901" t="inlineStr">
        <is>
          <t>STOCKHOLMS LÄN</t>
        </is>
      </c>
      <c r="E901" t="inlineStr">
        <is>
          <t>BOTKYRKA</t>
        </is>
      </c>
      <c r="G901" t="n">
        <v>1.1</v>
      </c>
      <c r="H901" t="n">
        <v>0</v>
      </c>
      <c r="I901" t="n">
        <v>0</v>
      </c>
      <c r="J901" t="n">
        <v>0</v>
      </c>
      <c r="K901" t="n">
        <v>0</v>
      </c>
      <c r="L901" t="n">
        <v>0</v>
      </c>
      <c r="M901" t="n">
        <v>0</v>
      </c>
      <c r="N901" t="n">
        <v>0</v>
      </c>
      <c r="O901" t="n">
        <v>0</v>
      </c>
      <c r="P901" t="n">
        <v>0</v>
      </c>
      <c r="Q901" t="n">
        <v>0</v>
      </c>
      <c r="R901" s="2" t="inlineStr"/>
    </row>
    <row r="902" ht="15" customHeight="1">
      <c r="A902" t="inlineStr">
        <is>
          <t>A 12901-2024</t>
        </is>
      </c>
      <c r="B902" s="1" t="n">
        <v>45385.37922453704</v>
      </c>
      <c r="C902" s="1" t="n">
        <v>46050</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8950-2025</t>
        </is>
      </c>
      <c r="B903" s="1" t="n">
        <v>45713</v>
      </c>
      <c r="C903" s="1" t="n">
        <v>46050</v>
      </c>
      <c r="D903" t="inlineStr">
        <is>
          <t>STOCKHOLMS LÄN</t>
        </is>
      </c>
      <c r="E903" t="inlineStr">
        <is>
          <t>NORRTÄLJE</t>
        </is>
      </c>
      <c r="F903" t="inlineStr">
        <is>
          <t>Övriga Aktiebolag</t>
        </is>
      </c>
      <c r="G903" t="n">
        <v>3.6</v>
      </c>
      <c r="H903" t="n">
        <v>0</v>
      </c>
      <c r="I903" t="n">
        <v>0</v>
      </c>
      <c r="J903" t="n">
        <v>0</v>
      </c>
      <c r="K903" t="n">
        <v>0</v>
      </c>
      <c r="L903" t="n">
        <v>0</v>
      </c>
      <c r="M903" t="n">
        <v>0</v>
      </c>
      <c r="N903" t="n">
        <v>0</v>
      </c>
      <c r="O903" t="n">
        <v>0</v>
      </c>
      <c r="P903" t="n">
        <v>0</v>
      </c>
      <c r="Q903" t="n">
        <v>0</v>
      </c>
      <c r="R903" s="2" t="inlineStr"/>
    </row>
    <row r="904" ht="15" customHeight="1">
      <c r="A904" t="inlineStr">
        <is>
          <t>A 24191-2025</t>
        </is>
      </c>
      <c r="B904" s="1" t="n">
        <v>45796.86738425926</v>
      </c>
      <c r="C904" s="1" t="n">
        <v>46050</v>
      </c>
      <c r="D904" t="inlineStr">
        <is>
          <t>STOCKHOLMS LÄN</t>
        </is>
      </c>
      <c r="E904" t="inlineStr">
        <is>
          <t>HANINGE</t>
        </is>
      </c>
      <c r="G904" t="n">
        <v>2.8</v>
      </c>
      <c r="H904" t="n">
        <v>0</v>
      </c>
      <c r="I904" t="n">
        <v>0</v>
      </c>
      <c r="J904" t="n">
        <v>0</v>
      </c>
      <c r="K904" t="n">
        <v>0</v>
      </c>
      <c r="L904" t="n">
        <v>0</v>
      </c>
      <c r="M904" t="n">
        <v>0</v>
      </c>
      <c r="N904" t="n">
        <v>0</v>
      </c>
      <c r="O904" t="n">
        <v>0</v>
      </c>
      <c r="P904" t="n">
        <v>0</v>
      </c>
      <c r="Q904" t="n">
        <v>0</v>
      </c>
      <c r="R904" s="2" t="inlineStr"/>
    </row>
    <row r="905" ht="15" customHeight="1">
      <c r="A905" t="inlineStr">
        <is>
          <t>A 24193-2025</t>
        </is>
      </c>
      <c r="B905" s="1" t="n">
        <v>45796.89591435185</v>
      </c>
      <c r="C905" s="1" t="n">
        <v>46050</v>
      </c>
      <c r="D905" t="inlineStr">
        <is>
          <t>STOCKHOLMS LÄN</t>
        </is>
      </c>
      <c r="E905" t="inlineStr">
        <is>
          <t>HANINGE</t>
        </is>
      </c>
      <c r="G905" t="n">
        <v>0.4</v>
      </c>
      <c r="H905" t="n">
        <v>0</v>
      </c>
      <c r="I905" t="n">
        <v>0</v>
      </c>
      <c r="J905" t="n">
        <v>0</v>
      </c>
      <c r="K905" t="n">
        <v>0</v>
      </c>
      <c r="L905" t="n">
        <v>0</v>
      </c>
      <c r="M905" t="n">
        <v>0</v>
      </c>
      <c r="N905" t="n">
        <v>0</v>
      </c>
      <c r="O905" t="n">
        <v>0</v>
      </c>
      <c r="P905" t="n">
        <v>0</v>
      </c>
      <c r="Q905" t="n">
        <v>0</v>
      </c>
      <c r="R905" s="2" t="inlineStr"/>
    </row>
    <row r="906" ht="15" customHeight="1">
      <c r="A906" t="inlineStr">
        <is>
          <t>A 12301-2025</t>
        </is>
      </c>
      <c r="B906" s="1" t="n">
        <v>45729.7271875</v>
      </c>
      <c r="C906" s="1" t="n">
        <v>46050</v>
      </c>
      <c r="D906" t="inlineStr">
        <is>
          <t>STOCKHOLMS LÄN</t>
        </is>
      </c>
      <c r="E906" t="inlineStr">
        <is>
          <t>NORRTÄLJE</t>
        </is>
      </c>
      <c r="G906" t="n">
        <v>3.2</v>
      </c>
      <c r="H906" t="n">
        <v>0</v>
      </c>
      <c r="I906" t="n">
        <v>0</v>
      </c>
      <c r="J906" t="n">
        <v>0</v>
      </c>
      <c r="K906" t="n">
        <v>0</v>
      </c>
      <c r="L906" t="n">
        <v>0</v>
      </c>
      <c r="M906" t="n">
        <v>0</v>
      </c>
      <c r="N906" t="n">
        <v>0</v>
      </c>
      <c r="O906" t="n">
        <v>0</v>
      </c>
      <c r="P906" t="n">
        <v>0</v>
      </c>
      <c r="Q906" t="n">
        <v>0</v>
      </c>
      <c r="R906" s="2" t="inlineStr"/>
    </row>
    <row r="907" ht="15" customHeight="1">
      <c r="A907" t="inlineStr">
        <is>
          <t>A 52001-2023</t>
        </is>
      </c>
      <c r="B907" s="1" t="n">
        <v>45223</v>
      </c>
      <c r="C907" s="1" t="n">
        <v>46050</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24115-2025</t>
        </is>
      </c>
      <c r="B908" s="1" t="n">
        <v>45796.61494212963</v>
      </c>
      <c r="C908" s="1" t="n">
        <v>46050</v>
      </c>
      <c r="D908" t="inlineStr">
        <is>
          <t>STOCKHOLMS LÄN</t>
        </is>
      </c>
      <c r="E908" t="inlineStr">
        <is>
          <t>HANINGE</t>
        </is>
      </c>
      <c r="G908" t="n">
        <v>2</v>
      </c>
      <c r="H908" t="n">
        <v>0</v>
      </c>
      <c r="I908" t="n">
        <v>0</v>
      </c>
      <c r="J908" t="n">
        <v>0</v>
      </c>
      <c r="K908" t="n">
        <v>0</v>
      </c>
      <c r="L908" t="n">
        <v>0</v>
      </c>
      <c r="M908" t="n">
        <v>0</v>
      </c>
      <c r="N908" t="n">
        <v>0</v>
      </c>
      <c r="O908" t="n">
        <v>0</v>
      </c>
      <c r="P908" t="n">
        <v>0</v>
      </c>
      <c r="Q908" t="n">
        <v>0</v>
      </c>
      <c r="R908" s="2" t="inlineStr"/>
    </row>
    <row r="909" ht="15" customHeight="1">
      <c r="A909" t="inlineStr">
        <is>
          <t>A 60185-2024</t>
        </is>
      </c>
      <c r="B909" s="1" t="n">
        <v>45642.64634259259</v>
      </c>
      <c r="C909" s="1" t="n">
        <v>46050</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24351-2025</t>
        </is>
      </c>
      <c r="B910" s="1" t="n">
        <v>45797.58399305555</v>
      </c>
      <c r="C910" s="1" t="n">
        <v>46050</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13283-2025</t>
        </is>
      </c>
      <c r="B911" s="1" t="n">
        <v>45735</v>
      </c>
      <c r="C911" s="1" t="n">
        <v>46050</v>
      </c>
      <c r="D911" t="inlineStr">
        <is>
          <t>STOCKHOLMS LÄN</t>
        </is>
      </c>
      <c r="E911" t="inlineStr">
        <is>
          <t>NORRTÄLJE</t>
        </is>
      </c>
      <c r="G911" t="n">
        <v>4.9</v>
      </c>
      <c r="H911" t="n">
        <v>0</v>
      </c>
      <c r="I911" t="n">
        <v>0</v>
      </c>
      <c r="J911" t="n">
        <v>0</v>
      </c>
      <c r="K911" t="n">
        <v>0</v>
      </c>
      <c r="L911" t="n">
        <v>0</v>
      </c>
      <c r="M911" t="n">
        <v>0</v>
      </c>
      <c r="N911" t="n">
        <v>0</v>
      </c>
      <c r="O911" t="n">
        <v>0</v>
      </c>
      <c r="P911" t="n">
        <v>0</v>
      </c>
      <c r="Q911" t="n">
        <v>0</v>
      </c>
      <c r="R911" s="2" t="inlineStr"/>
    </row>
    <row r="912" ht="15" customHeight="1">
      <c r="A912" t="inlineStr">
        <is>
          <t>A 8932-2023</t>
        </is>
      </c>
      <c r="B912" s="1" t="n">
        <v>44979</v>
      </c>
      <c r="C912" s="1" t="n">
        <v>46050</v>
      </c>
      <c r="D912" t="inlineStr">
        <is>
          <t>STOCKHOLMS LÄN</t>
        </is>
      </c>
      <c r="E912" t="inlineStr">
        <is>
          <t>NYNÄSHAMN</t>
        </is>
      </c>
      <c r="G912" t="n">
        <v>2.3</v>
      </c>
      <c r="H912" t="n">
        <v>0</v>
      </c>
      <c r="I912" t="n">
        <v>0</v>
      </c>
      <c r="J912" t="n">
        <v>0</v>
      </c>
      <c r="K912" t="n">
        <v>0</v>
      </c>
      <c r="L912" t="n">
        <v>0</v>
      </c>
      <c r="M912" t="n">
        <v>0</v>
      </c>
      <c r="N912" t="n">
        <v>0</v>
      </c>
      <c r="O912" t="n">
        <v>0</v>
      </c>
      <c r="P912" t="n">
        <v>0</v>
      </c>
      <c r="Q912" t="n">
        <v>0</v>
      </c>
      <c r="R912" s="2" t="inlineStr"/>
    </row>
    <row r="913" ht="15" customHeight="1">
      <c r="A913" t="inlineStr">
        <is>
          <t>A 48686-2023</t>
        </is>
      </c>
      <c r="B913" s="1" t="n">
        <v>45208</v>
      </c>
      <c r="C913" s="1" t="n">
        <v>46050</v>
      </c>
      <c r="D913" t="inlineStr">
        <is>
          <t>STOCKHOLMS LÄN</t>
        </is>
      </c>
      <c r="E913" t="inlineStr">
        <is>
          <t>NORRTÄLJE</t>
        </is>
      </c>
      <c r="G913" t="n">
        <v>6</v>
      </c>
      <c r="H913" t="n">
        <v>0</v>
      </c>
      <c r="I913" t="n">
        <v>0</v>
      </c>
      <c r="J913" t="n">
        <v>0</v>
      </c>
      <c r="K913" t="n">
        <v>0</v>
      </c>
      <c r="L913" t="n">
        <v>0</v>
      </c>
      <c r="M913" t="n">
        <v>0</v>
      </c>
      <c r="N913" t="n">
        <v>0</v>
      </c>
      <c r="O913" t="n">
        <v>0</v>
      </c>
      <c r="P913" t="n">
        <v>0</v>
      </c>
      <c r="Q913" t="n">
        <v>0</v>
      </c>
      <c r="R913" s="2" t="inlineStr"/>
    </row>
    <row r="914" ht="15" customHeight="1">
      <c r="A914" t="inlineStr">
        <is>
          <t>A 48691-2023</t>
        </is>
      </c>
      <c r="B914" s="1" t="n">
        <v>45208</v>
      </c>
      <c r="C914" s="1" t="n">
        <v>46050</v>
      </c>
      <c r="D914" t="inlineStr">
        <is>
          <t>STOCKHOLMS LÄN</t>
        </is>
      </c>
      <c r="E914" t="inlineStr">
        <is>
          <t>NORRTÄLJE</t>
        </is>
      </c>
      <c r="G914" t="n">
        <v>5.8</v>
      </c>
      <c r="H914" t="n">
        <v>0</v>
      </c>
      <c r="I914" t="n">
        <v>0</v>
      </c>
      <c r="J914" t="n">
        <v>0</v>
      </c>
      <c r="K914" t="n">
        <v>0</v>
      </c>
      <c r="L914" t="n">
        <v>0</v>
      </c>
      <c r="M914" t="n">
        <v>0</v>
      </c>
      <c r="N914" t="n">
        <v>0</v>
      </c>
      <c r="O914" t="n">
        <v>0</v>
      </c>
      <c r="P914" t="n">
        <v>0</v>
      </c>
      <c r="Q914" t="n">
        <v>0</v>
      </c>
      <c r="R914" s="2" t="inlineStr"/>
    </row>
    <row r="915" ht="15" customHeight="1">
      <c r="A915" t="inlineStr">
        <is>
          <t>A 32286-2023</t>
        </is>
      </c>
      <c r="B915" s="1" t="n">
        <v>45120</v>
      </c>
      <c r="C915" s="1" t="n">
        <v>46050</v>
      </c>
      <c r="D915" t="inlineStr">
        <is>
          <t>STOCKHOLMS LÄN</t>
        </is>
      </c>
      <c r="E915" t="inlineStr">
        <is>
          <t>VÄRMDÖ</t>
        </is>
      </c>
      <c r="G915" t="n">
        <v>0.1</v>
      </c>
      <c r="H915" t="n">
        <v>0</v>
      </c>
      <c r="I915" t="n">
        <v>0</v>
      </c>
      <c r="J915" t="n">
        <v>0</v>
      </c>
      <c r="K915" t="n">
        <v>0</v>
      </c>
      <c r="L915" t="n">
        <v>0</v>
      </c>
      <c r="M915" t="n">
        <v>0</v>
      </c>
      <c r="N915" t="n">
        <v>0</v>
      </c>
      <c r="O915" t="n">
        <v>0</v>
      </c>
      <c r="P915" t="n">
        <v>0</v>
      </c>
      <c r="Q915" t="n">
        <v>0</v>
      </c>
      <c r="R915" s="2" t="inlineStr"/>
    </row>
    <row r="916" ht="15" customHeight="1">
      <c r="A916" t="inlineStr">
        <is>
          <t>A 38720-2025</t>
        </is>
      </c>
      <c r="B916" s="1" t="n">
        <v>45886</v>
      </c>
      <c r="C916" s="1" t="n">
        <v>46050</v>
      </c>
      <c r="D916" t="inlineStr">
        <is>
          <t>STOCKHOLMS LÄN</t>
        </is>
      </c>
      <c r="E916" t="inlineStr">
        <is>
          <t>NORRTÄLJE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24687-2025</t>
        </is>
      </c>
      <c r="B917" s="1" t="n">
        <v>45798.66767361111</v>
      </c>
      <c r="C917" s="1" t="n">
        <v>46050</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24636-2023</t>
        </is>
      </c>
      <c r="B918" s="1" t="n">
        <v>45084</v>
      </c>
      <c r="C918" s="1" t="n">
        <v>46050</v>
      </c>
      <c r="D918" t="inlineStr">
        <is>
          <t>STOCKHOLMS LÄN</t>
        </is>
      </c>
      <c r="E918" t="inlineStr">
        <is>
          <t>SIGTUNA</t>
        </is>
      </c>
      <c r="G918" t="n">
        <v>0.9</v>
      </c>
      <c r="H918" t="n">
        <v>0</v>
      </c>
      <c r="I918" t="n">
        <v>0</v>
      </c>
      <c r="J918" t="n">
        <v>0</v>
      </c>
      <c r="K918" t="n">
        <v>0</v>
      </c>
      <c r="L918" t="n">
        <v>0</v>
      </c>
      <c r="M918" t="n">
        <v>0</v>
      </c>
      <c r="N918" t="n">
        <v>0</v>
      </c>
      <c r="O918" t="n">
        <v>0</v>
      </c>
      <c r="P918" t="n">
        <v>0</v>
      </c>
      <c r="Q918" t="n">
        <v>0</v>
      </c>
      <c r="R918" s="2" t="inlineStr"/>
    </row>
    <row r="919" ht="15" customHeight="1">
      <c r="A919" t="inlineStr">
        <is>
          <t>A 21726-2022</t>
        </is>
      </c>
      <c r="B919" s="1" t="n">
        <v>44708</v>
      </c>
      <c r="C919" s="1" t="n">
        <v>46050</v>
      </c>
      <c r="D919" t="inlineStr">
        <is>
          <t>STOCKHOLMS LÄN</t>
        </is>
      </c>
      <c r="E919" t="inlineStr">
        <is>
          <t>NORRTÄLJE</t>
        </is>
      </c>
      <c r="G919" t="n">
        <v>0.2</v>
      </c>
      <c r="H919" t="n">
        <v>0</v>
      </c>
      <c r="I919" t="n">
        <v>0</v>
      </c>
      <c r="J919" t="n">
        <v>0</v>
      </c>
      <c r="K919" t="n">
        <v>0</v>
      </c>
      <c r="L919" t="n">
        <v>0</v>
      </c>
      <c r="M919" t="n">
        <v>0</v>
      </c>
      <c r="N919" t="n">
        <v>0</v>
      </c>
      <c r="O919" t="n">
        <v>0</v>
      </c>
      <c r="P919" t="n">
        <v>0</v>
      </c>
      <c r="Q919" t="n">
        <v>0</v>
      </c>
      <c r="R919" s="2" t="inlineStr"/>
    </row>
    <row r="920" ht="15" customHeight="1">
      <c r="A920" t="inlineStr">
        <is>
          <t>A 21739-2022</t>
        </is>
      </c>
      <c r="B920" s="1" t="n">
        <v>44708.36708333333</v>
      </c>
      <c r="C920" s="1" t="n">
        <v>46050</v>
      </c>
      <c r="D920" t="inlineStr">
        <is>
          <t>STOCKHOLMS LÄN</t>
        </is>
      </c>
      <c r="E920" t="inlineStr">
        <is>
          <t>NORRTÄLJE</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35210-2023</t>
        </is>
      </c>
      <c r="B921" s="1" t="n">
        <v>45145.63584490741</v>
      </c>
      <c r="C921" s="1" t="n">
        <v>46050</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59767-2022</t>
        </is>
      </c>
      <c r="B922" s="1" t="n">
        <v>44900</v>
      </c>
      <c r="C922" s="1" t="n">
        <v>46050</v>
      </c>
      <c r="D922" t="inlineStr">
        <is>
          <t>STOCKHOLMS LÄN</t>
        </is>
      </c>
      <c r="E922" t="inlineStr">
        <is>
          <t>NORRTÄLJE</t>
        </is>
      </c>
      <c r="G922" t="n">
        <v>2.2</v>
      </c>
      <c r="H922" t="n">
        <v>0</v>
      </c>
      <c r="I922" t="n">
        <v>0</v>
      </c>
      <c r="J922" t="n">
        <v>0</v>
      </c>
      <c r="K922" t="n">
        <v>0</v>
      </c>
      <c r="L922" t="n">
        <v>0</v>
      </c>
      <c r="M922" t="n">
        <v>0</v>
      </c>
      <c r="N922" t="n">
        <v>0</v>
      </c>
      <c r="O922" t="n">
        <v>0</v>
      </c>
      <c r="P922" t="n">
        <v>0</v>
      </c>
      <c r="Q922" t="n">
        <v>0</v>
      </c>
      <c r="R922" s="2" t="inlineStr"/>
    </row>
    <row r="923" ht="15" customHeight="1">
      <c r="A923" t="inlineStr">
        <is>
          <t>A 64075-2023</t>
        </is>
      </c>
      <c r="B923" s="1" t="n">
        <v>45279</v>
      </c>
      <c r="C923" s="1" t="n">
        <v>46050</v>
      </c>
      <c r="D923" t="inlineStr">
        <is>
          <t>STOCKHOLMS LÄN</t>
        </is>
      </c>
      <c r="E923" t="inlineStr">
        <is>
          <t>HANINGE</t>
        </is>
      </c>
      <c r="G923" t="n">
        <v>2.6</v>
      </c>
      <c r="H923" t="n">
        <v>0</v>
      </c>
      <c r="I923" t="n">
        <v>0</v>
      </c>
      <c r="J923" t="n">
        <v>0</v>
      </c>
      <c r="K923" t="n">
        <v>0</v>
      </c>
      <c r="L923" t="n">
        <v>0</v>
      </c>
      <c r="M923" t="n">
        <v>0</v>
      </c>
      <c r="N923" t="n">
        <v>0</v>
      </c>
      <c r="O923" t="n">
        <v>0</v>
      </c>
      <c r="P923" t="n">
        <v>0</v>
      </c>
      <c r="Q923" t="n">
        <v>0</v>
      </c>
      <c r="R923" s="2" t="inlineStr"/>
    </row>
    <row r="924" ht="15" customHeight="1">
      <c r="A924" t="inlineStr">
        <is>
          <t>A 5823-2023</t>
        </is>
      </c>
      <c r="B924" s="1" t="n">
        <v>44963</v>
      </c>
      <c r="C924" s="1" t="n">
        <v>46050</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19915-2024</t>
        </is>
      </c>
      <c r="B925" s="1" t="n">
        <v>45433.58431712963</v>
      </c>
      <c r="C925" s="1" t="n">
        <v>46050</v>
      </c>
      <c r="D925" t="inlineStr">
        <is>
          <t>STOCKHOLMS LÄN</t>
        </is>
      </c>
      <c r="E925" t="inlineStr">
        <is>
          <t>NORRTÄLJE</t>
        </is>
      </c>
      <c r="G925" t="n">
        <v>2</v>
      </c>
      <c r="H925" t="n">
        <v>0</v>
      </c>
      <c r="I925" t="n">
        <v>0</v>
      </c>
      <c r="J925" t="n">
        <v>0</v>
      </c>
      <c r="K925" t="n">
        <v>0</v>
      </c>
      <c r="L925" t="n">
        <v>0</v>
      </c>
      <c r="M925" t="n">
        <v>0</v>
      </c>
      <c r="N925" t="n">
        <v>0</v>
      </c>
      <c r="O925" t="n">
        <v>0</v>
      </c>
      <c r="P925" t="n">
        <v>0</v>
      </c>
      <c r="Q925" t="n">
        <v>0</v>
      </c>
      <c r="R925" s="2" t="inlineStr"/>
    </row>
    <row r="926" ht="15" customHeight="1">
      <c r="A926" t="inlineStr">
        <is>
          <t>A 15217-2023</t>
        </is>
      </c>
      <c r="B926" s="1" t="n">
        <v>45019.28847222222</v>
      </c>
      <c r="C926" s="1" t="n">
        <v>46050</v>
      </c>
      <c r="D926" t="inlineStr">
        <is>
          <t>STOCKHOLMS LÄN</t>
        </is>
      </c>
      <c r="E926" t="inlineStr">
        <is>
          <t>NORRTÄLJE</t>
        </is>
      </c>
      <c r="G926" t="n">
        <v>3.6</v>
      </c>
      <c r="H926" t="n">
        <v>0</v>
      </c>
      <c r="I926" t="n">
        <v>0</v>
      </c>
      <c r="J926" t="n">
        <v>0</v>
      </c>
      <c r="K926" t="n">
        <v>0</v>
      </c>
      <c r="L926" t="n">
        <v>0</v>
      </c>
      <c r="M926" t="n">
        <v>0</v>
      </c>
      <c r="N926" t="n">
        <v>0</v>
      </c>
      <c r="O926" t="n">
        <v>0</v>
      </c>
      <c r="P926" t="n">
        <v>0</v>
      </c>
      <c r="Q926" t="n">
        <v>0</v>
      </c>
      <c r="R926" s="2" t="inlineStr"/>
    </row>
    <row r="927" ht="15" customHeight="1">
      <c r="A927" t="inlineStr">
        <is>
          <t>A 15300-2023</t>
        </is>
      </c>
      <c r="B927" s="1" t="n">
        <v>45019</v>
      </c>
      <c r="C927" s="1" t="n">
        <v>46050</v>
      </c>
      <c r="D927" t="inlineStr">
        <is>
          <t>STOCKHOLMS LÄN</t>
        </is>
      </c>
      <c r="E927" t="inlineStr">
        <is>
          <t>VALLENTUNA</t>
        </is>
      </c>
      <c r="G927" t="n">
        <v>1.7</v>
      </c>
      <c r="H927" t="n">
        <v>0</v>
      </c>
      <c r="I927" t="n">
        <v>0</v>
      </c>
      <c r="J927" t="n">
        <v>0</v>
      </c>
      <c r="K927" t="n">
        <v>0</v>
      </c>
      <c r="L927" t="n">
        <v>0</v>
      </c>
      <c r="M927" t="n">
        <v>0</v>
      </c>
      <c r="N927" t="n">
        <v>0</v>
      </c>
      <c r="O927" t="n">
        <v>0</v>
      </c>
      <c r="P927" t="n">
        <v>0</v>
      </c>
      <c r="Q927" t="n">
        <v>0</v>
      </c>
      <c r="R927" s="2" t="inlineStr"/>
    </row>
    <row r="928" ht="15" customHeight="1">
      <c r="A928" t="inlineStr">
        <is>
          <t>A 11319-2024</t>
        </is>
      </c>
      <c r="B928" s="1" t="n">
        <v>45371.91613425926</v>
      </c>
      <c r="C928" s="1" t="n">
        <v>46050</v>
      </c>
      <c r="D928" t="inlineStr">
        <is>
          <t>STOCKHOLMS LÄN</t>
        </is>
      </c>
      <c r="E928" t="inlineStr">
        <is>
          <t>SÖDERTÄLJE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24638-2025</t>
        </is>
      </c>
      <c r="B929" s="1" t="n">
        <v>45798</v>
      </c>
      <c r="C929" s="1" t="n">
        <v>46050</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60934-2023</t>
        </is>
      </c>
      <c r="B930" s="1" t="n">
        <v>45261.42775462963</v>
      </c>
      <c r="C930" s="1" t="n">
        <v>46050</v>
      </c>
      <c r="D930" t="inlineStr">
        <is>
          <t>STOCKHOLMS LÄN</t>
        </is>
      </c>
      <c r="E930" t="inlineStr">
        <is>
          <t>SIGTUNA</t>
        </is>
      </c>
      <c r="G930" t="n">
        <v>1.1</v>
      </c>
      <c r="H930" t="n">
        <v>0</v>
      </c>
      <c r="I930" t="n">
        <v>0</v>
      </c>
      <c r="J930" t="n">
        <v>0</v>
      </c>
      <c r="K930" t="n">
        <v>0</v>
      </c>
      <c r="L930" t="n">
        <v>0</v>
      </c>
      <c r="M930" t="n">
        <v>0</v>
      </c>
      <c r="N930" t="n">
        <v>0</v>
      </c>
      <c r="O930" t="n">
        <v>0</v>
      </c>
      <c r="P930" t="n">
        <v>0</v>
      </c>
      <c r="Q930" t="n">
        <v>0</v>
      </c>
      <c r="R930" s="2" t="inlineStr"/>
    </row>
    <row r="931" ht="15" customHeight="1">
      <c r="A931" t="inlineStr">
        <is>
          <t>A 50143-2023</t>
        </is>
      </c>
      <c r="B931" s="1" t="n">
        <v>45215</v>
      </c>
      <c r="C931" s="1" t="n">
        <v>46050</v>
      </c>
      <c r="D931" t="inlineStr">
        <is>
          <t>STOCKHOLMS LÄN</t>
        </is>
      </c>
      <c r="E931" t="inlineStr">
        <is>
          <t>NORRTÄLJE</t>
        </is>
      </c>
      <c r="G931" t="n">
        <v>10.3</v>
      </c>
      <c r="H931" t="n">
        <v>0</v>
      </c>
      <c r="I931" t="n">
        <v>0</v>
      </c>
      <c r="J931" t="n">
        <v>0</v>
      </c>
      <c r="K931" t="n">
        <v>0</v>
      </c>
      <c r="L931" t="n">
        <v>0</v>
      </c>
      <c r="M931" t="n">
        <v>0</v>
      </c>
      <c r="N931" t="n">
        <v>0</v>
      </c>
      <c r="O931" t="n">
        <v>0</v>
      </c>
      <c r="P931" t="n">
        <v>0</v>
      </c>
      <c r="Q931" t="n">
        <v>0</v>
      </c>
      <c r="R931" s="2" t="inlineStr"/>
    </row>
    <row r="932" ht="15" customHeight="1">
      <c r="A932" t="inlineStr">
        <is>
          <t>A 1658-2022</t>
        </is>
      </c>
      <c r="B932" s="1" t="n">
        <v>44574</v>
      </c>
      <c r="C932" s="1" t="n">
        <v>46050</v>
      </c>
      <c r="D932" t="inlineStr">
        <is>
          <t>STOCKHOLMS LÄN</t>
        </is>
      </c>
      <c r="E932" t="inlineStr">
        <is>
          <t>NYNÄSHAMN</t>
        </is>
      </c>
      <c r="F932" t="inlineStr">
        <is>
          <t>Kommuner</t>
        </is>
      </c>
      <c r="G932" t="n">
        <v>2.5</v>
      </c>
      <c r="H932" t="n">
        <v>0</v>
      </c>
      <c r="I932" t="n">
        <v>0</v>
      </c>
      <c r="J932" t="n">
        <v>0</v>
      </c>
      <c r="K932" t="n">
        <v>0</v>
      </c>
      <c r="L932" t="n">
        <v>0</v>
      </c>
      <c r="M932" t="n">
        <v>0</v>
      </c>
      <c r="N932" t="n">
        <v>0</v>
      </c>
      <c r="O932" t="n">
        <v>0</v>
      </c>
      <c r="P932" t="n">
        <v>0</v>
      </c>
      <c r="Q932" t="n">
        <v>0</v>
      </c>
      <c r="R932" s="2" t="inlineStr"/>
    </row>
    <row r="933" ht="15" customHeight="1">
      <c r="A933" t="inlineStr">
        <is>
          <t>A 29176-2024</t>
        </is>
      </c>
      <c r="B933" s="1" t="n">
        <v>45482.53388888889</v>
      </c>
      <c r="C933" s="1" t="n">
        <v>46050</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36430-2024</t>
        </is>
      </c>
      <c r="B934" s="1" t="n">
        <v>45536</v>
      </c>
      <c r="C934" s="1" t="n">
        <v>46050</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54222-2023</t>
        </is>
      </c>
      <c r="B935" s="1" t="n">
        <v>45225</v>
      </c>
      <c r="C935" s="1" t="n">
        <v>46050</v>
      </c>
      <c r="D935" t="inlineStr">
        <is>
          <t>STOCKHOLMS LÄN</t>
        </is>
      </c>
      <c r="E935" t="inlineStr">
        <is>
          <t>UPPLANDS-BRO</t>
        </is>
      </c>
      <c r="F935" t="inlineStr">
        <is>
          <t>Övriga statliga verk och myndigheter</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51312-2023</t>
        </is>
      </c>
      <c r="B936" s="1" t="n">
        <v>45219.56697916667</v>
      </c>
      <c r="C936" s="1" t="n">
        <v>46050</v>
      </c>
      <c r="D936" t="inlineStr">
        <is>
          <t>STOCKHOLMS LÄN</t>
        </is>
      </c>
      <c r="E936" t="inlineStr">
        <is>
          <t>NORRTÄLJE</t>
        </is>
      </c>
      <c r="G936" t="n">
        <v>1.9</v>
      </c>
      <c r="H936" t="n">
        <v>0</v>
      </c>
      <c r="I936" t="n">
        <v>0</v>
      </c>
      <c r="J936" t="n">
        <v>0</v>
      </c>
      <c r="K936" t="n">
        <v>0</v>
      </c>
      <c r="L936" t="n">
        <v>0</v>
      </c>
      <c r="M936" t="n">
        <v>0</v>
      </c>
      <c r="N936" t="n">
        <v>0</v>
      </c>
      <c r="O936" t="n">
        <v>0</v>
      </c>
      <c r="P936" t="n">
        <v>0</v>
      </c>
      <c r="Q936" t="n">
        <v>0</v>
      </c>
      <c r="R936" s="2" t="inlineStr"/>
    </row>
    <row r="937" ht="15" customHeight="1">
      <c r="A937" t="inlineStr">
        <is>
          <t>A 46671-2021</t>
        </is>
      </c>
      <c r="B937" s="1" t="n">
        <v>44445</v>
      </c>
      <c r="C937" s="1" t="n">
        <v>46050</v>
      </c>
      <c r="D937" t="inlineStr">
        <is>
          <t>STOCKHOLMS LÄN</t>
        </is>
      </c>
      <c r="E937" t="inlineStr">
        <is>
          <t>SÖDERTÄLJE</t>
        </is>
      </c>
      <c r="G937" t="n">
        <v>8.1</v>
      </c>
      <c r="H937" t="n">
        <v>0</v>
      </c>
      <c r="I937" t="n">
        <v>0</v>
      </c>
      <c r="J937" t="n">
        <v>0</v>
      </c>
      <c r="K937" t="n">
        <v>0</v>
      </c>
      <c r="L937" t="n">
        <v>0</v>
      </c>
      <c r="M937" t="n">
        <v>0</v>
      </c>
      <c r="N937" t="n">
        <v>0</v>
      </c>
      <c r="O937" t="n">
        <v>0</v>
      </c>
      <c r="P937" t="n">
        <v>0</v>
      </c>
      <c r="Q937" t="n">
        <v>0</v>
      </c>
      <c r="R937" s="2" t="inlineStr"/>
    </row>
    <row r="938" ht="15" customHeight="1">
      <c r="A938" t="inlineStr">
        <is>
          <t>A 35640-2024</t>
        </is>
      </c>
      <c r="B938" s="1" t="n">
        <v>45531</v>
      </c>
      <c r="C938" s="1" t="n">
        <v>46050</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28603-2024</t>
        </is>
      </c>
      <c r="B939" s="1" t="n">
        <v>45478.42887731481</v>
      </c>
      <c r="C939" s="1" t="n">
        <v>46050</v>
      </c>
      <c r="D939" t="inlineStr">
        <is>
          <t>STOCKHOLMS LÄN</t>
        </is>
      </c>
      <c r="E939" t="inlineStr">
        <is>
          <t>NORRTÄLJE</t>
        </is>
      </c>
      <c r="G939" t="n">
        <v>5.6</v>
      </c>
      <c r="H939" t="n">
        <v>0</v>
      </c>
      <c r="I939" t="n">
        <v>0</v>
      </c>
      <c r="J939" t="n">
        <v>0</v>
      </c>
      <c r="K939" t="n">
        <v>0</v>
      </c>
      <c r="L939" t="n">
        <v>0</v>
      </c>
      <c r="M939" t="n">
        <v>0</v>
      </c>
      <c r="N939" t="n">
        <v>0</v>
      </c>
      <c r="O939" t="n">
        <v>0</v>
      </c>
      <c r="P939" t="n">
        <v>0</v>
      </c>
      <c r="Q939" t="n">
        <v>0</v>
      </c>
      <c r="R939" s="2" t="inlineStr"/>
    </row>
    <row r="940" ht="15" customHeight="1">
      <c r="A940" t="inlineStr">
        <is>
          <t>A 25414-2025</t>
        </is>
      </c>
      <c r="B940" s="1" t="n">
        <v>45799</v>
      </c>
      <c r="C940" s="1" t="n">
        <v>46050</v>
      </c>
      <c r="D940" t="inlineStr">
        <is>
          <t>STOCKHOLMS LÄN</t>
        </is>
      </c>
      <c r="E940" t="inlineStr">
        <is>
          <t>SÖDERTÄLJE</t>
        </is>
      </c>
      <c r="G940" t="n">
        <v>3.7</v>
      </c>
      <c r="H940" t="n">
        <v>0</v>
      </c>
      <c r="I940" t="n">
        <v>0</v>
      </c>
      <c r="J940" t="n">
        <v>0</v>
      </c>
      <c r="K940" t="n">
        <v>0</v>
      </c>
      <c r="L940" t="n">
        <v>0</v>
      </c>
      <c r="M940" t="n">
        <v>0</v>
      </c>
      <c r="N940" t="n">
        <v>0</v>
      </c>
      <c r="O940" t="n">
        <v>0</v>
      </c>
      <c r="P940" t="n">
        <v>0</v>
      </c>
      <c r="Q940" t="n">
        <v>0</v>
      </c>
      <c r="R940" s="2" t="inlineStr"/>
    </row>
    <row r="941" ht="15" customHeight="1">
      <c r="A941" t="inlineStr">
        <is>
          <t>A 31808-2023</t>
        </is>
      </c>
      <c r="B941" s="1" t="n">
        <v>45118.47105324074</v>
      </c>
      <c r="C941" s="1" t="n">
        <v>46050</v>
      </c>
      <c r="D941" t="inlineStr">
        <is>
          <t>STOCKHOLMS LÄN</t>
        </is>
      </c>
      <c r="E941" t="inlineStr">
        <is>
          <t>NYNÄSHAMN</t>
        </is>
      </c>
      <c r="F941" t="inlineStr">
        <is>
          <t>Kommuner</t>
        </is>
      </c>
      <c r="G941" t="n">
        <v>4.3</v>
      </c>
      <c r="H941" t="n">
        <v>0</v>
      </c>
      <c r="I941" t="n">
        <v>0</v>
      </c>
      <c r="J941" t="n">
        <v>0</v>
      </c>
      <c r="K941" t="n">
        <v>0</v>
      </c>
      <c r="L941" t="n">
        <v>0</v>
      </c>
      <c r="M941" t="n">
        <v>0</v>
      </c>
      <c r="N941" t="n">
        <v>0</v>
      </c>
      <c r="O941" t="n">
        <v>0</v>
      </c>
      <c r="P941" t="n">
        <v>0</v>
      </c>
      <c r="Q941" t="n">
        <v>0</v>
      </c>
      <c r="R941" s="2" t="inlineStr"/>
    </row>
    <row r="942" ht="15" customHeight="1">
      <c r="A942" t="inlineStr">
        <is>
          <t>A 57010-2024</t>
        </is>
      </c>
      <c r="B942" s="1" t="n">
        <v>45628</v>
      </c>
      <c r="C942" s="1" t="n">
        <v>46050</v>
      </c>
      <c r="D942" t="inlineStr">
        <is>
          <t>STOCKHOLMS LÄN</t>
        </is>
      </c>
      <c r="E942" t="inlineStr">
        <is>
          <t>SÖDERTÄLJE</t>
        </is>
      </c>
      <c r="F942" t="inlineStr">
        <is>
          <t>Kyrkan</t>
        </is>
      </c>
      <c r="G942" t="n">
        <v>4</v>
      </c>
      <c r="H942" t="n">
        <v>0</v>
      </c>
      <c r="I942" t="n">
        <v>0</v>
      </c>
      <c r="J942" t="n">
        <v>0</v>
      </c>
      <c r="K942" t="n">
        <v>0</v>
      </c>
      <c r="L942" t="n">
        <v>0</v>
      </c>
      <c r="M942" t="n">
        <v>0</v>
      </c>
      <c r="N942" t="n">
        <v>0</v>
      </c>
      <c r="O942" t="n">
        <v>0</v>
      </c>
      <c r="P942" t="n">
        <v>0</v>
      </c>
      <c r="Q942" t="n">
        <v>0</v>
      </c>
      <c r="R942" s="2" t="inlineStr"/>
    </row>
    <row r="943" ht="15" customHeight="1">
      <c r="A943" t="inlineStr">
        <is>
          <t>A 43212-2022</t>
        </is>
      </c>
      <c r="B943" s="1" t="n">
        <v>44834.38636574074</v>
      </c>
      <c r="C943" s="1" t="n">
        <v>46050</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51653-2022</t>
        </is>
      </c>
      <c r="B944" s="1" t="n">
        <v>44867</v>
      </c>
      <c r="C944" s="1" t="n">
        <v>46050</v>
      </c>
      <c r="D944" t="inlineStr">
        <is>
          <t>STOCKHOLMS LÄN</t>
        </is>
      </c>
      <c r="E944" t="inlineStr">
        <is>
          <t>NORRTÄLJE</t>
        </is>
      </c>
      <c r="G944" t="n">
        <v>6.6</v>
      </c>
      <c r="H944" t="n">
        <v>0</v>
      </c>
      <c r="I944" t="n">
        <v>0</v>
      </c>
      <c r="J944" t="n">
        <v>0</v>
      </c>
      <c r="K944" t="n">
        <v>0</v>
      </c>
      <c r="L944" t="n">
        <v>0</v>
      </c>
      <c r="M944" t="n">
        <v>0</v>
      </c>
      <c r="N944" t="n">
        <v>0</v>
      </c>
      <c r="O944" t="n">
        <v>0</v>
      </c>
      <c r="P944" t="n">
        <v>0</v>
      </c>
      <c r="Q944" t="n">
        <v>0</v>
      </c>
      <c r="R944" s="2" t="inlineStr"/>
    </row>
    <row r="945" ht="15" customHeight="1">
      <c r="A945" t="inlineStr">
        <is>
          <t>A 56349-2023</t>
        </is>
      </c>
      <c r="B945" s="1" t="n">
        <v>45243</v>
      </c>
      <c r="C945" s="1" t="n">
        <v>46050</v>
      </c>
      <c r="D945" t="inlineStr">
        <is>
          <t>STOCKHOLMS LÄN</t>
        </is>
      </c>
      <c r="E945" t="inlineStr">
        <is>
          <t>SÖDERTÄLJE</t>
        </is>
      </c>
      <c r="G945" t="n">
        <v>2.8</v>
      </c>
      <c r="H945" t="n">
        <v>0</v>
      </c>
      <c r="I945" t="n">
        <v>0</v>
      </c>
      <c r="J945" t="n">
        <v>0</v>
      </c>
      <c r="K945" t="n">
        <v>0</v>
      </c>
      <c r="L945" t="n">
        <v>0</v>
      </c>
      <c r="M945" t="n">
        <v>0</v>
      </c>
      <c r="N945" t="n">
        <v>0</v>
      </c>
      <c r="O945" t="n">
        <v>0</v>
      </c>
      <c r="P945" t="n">
        <v>0</v>
      </c>
      <c r="Q945" t="n">
        <v>0</v>
      </c>
      <c r="R945" s="2" t="inlineStr"/>
    </row>
    <row r="946" ht="15" customHeight="1">
      <c r="A946" t="inlineStr">
        <is>
          <t>A 25396-2025</t>
        </is>
      </c>
      <c r="B946" s="1" t="n">
        <v>45799</v>
      </c>
      <c r="C946" s="1" t="n">
        <v>46050</v>
      </c>
      <c r="D946" t="inlineStr">
        <is>
          <t>STOCKHOLMS LÄN</t>
        </is>
      </c>
      <c r="E946" t="inlineStr">
        <is>
          <t>SÖDERTÄLJE</t>
        </is>
      </c>
      <c r="G946" t="n">
        <v>7.9</v>
      </c>
      <c r="H946" t="n">
        <v>0</v>
      </c>
      <c r="I946" t="n">
        <v>0</v>
      </c>
      <c r="J946" t="n">
        <v>0</v>
      </c>
      <c r="K946" t="n">
        <v>0</v>
      </c>
      <c r="L946" t="n">
        <v>0</v>
      </c>
      <c r="M946" t="n">
        <v>0</v>
      </c>
      <c r="N946" t="n">
        <v>0</v>
      </c>
      <c r="O946" t="n">
        <v>0</v>
      </c>
      <c r="P946" t="n">
        <v>0</v>
      </c>
      <c r="Q946" t="n">
        <v>0</v>
      </c>
      <c r="R946" s="2" t="inlineStr"/>
    </row>
    <row r="947" ht="15" customHeight="1">
      <c r="A947" t="inlineStr">
        <is>
          <t>A 25412-2025</t>
        </is>
      </c>
      <c r="B947" s="1" t="n">
        <v>45799</v>
      </c>
      <c r="C947" s="1" t="n">
        <v>46050</v>
      </c>
      <c r="D947" t="inlineStr">
        <is>
          <t>STOCKHOLMS LÄN</t>
        </is>
      </c>
      <c r="E947" t="inlineStr">
        <is>
          <t>SÖDERTÄLJE</t>
        </is>
      </c>
      <c r="G947" t="n">
        <v>6.9</v>
      </c>
      <c r="H947" t="n">
        <v>0</v>
      </c>
      <c r="I947" t="n">
        <v>0</v>
      </c>
      <c r="J947" t="n">
        <v>0</v>
      </c>
      <c r="K947" t="n">
        <v>0</v>
      </c>
      <c r="L947" t="n">
        <v>0</v>
      </c>
      <c r="M947" t="n">
        <v>0</v>
      </c>
      <c r="N947" t="n">
        <v>0</v>
      </c>
      <c r="O947" t="n">
        <v>0</v>
      </c>
      <c r="P947" t="n">
        <v>0</v>
      </c>
      <c r="Q947" t="n">
        <v>0</v>
      </c>
      <c r="R947" s="2" t="inlineStr"/>
    </row>
    <row r="948" ht="15" customHeight="1">
      <c r="A948" t="inlineStr">
        <is>
          <t>A 24690-2025</t>
        </is>
      </c>
      <c r="B948" s="1" t="n">
        <v>45798.67082175926</v>
      </c>
      <c r="C948" s="1" t="n">
        <v>46050</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41111-2023</t>
        </is>
      </c>
      <c r="B949" s="1" t="n">
        <v>45173.74025462963</v>
      </c>
      <c r="C949" s="1" t="n">
        <v>46050</v>
      </c>
      <c r="D949" t="inlineStr">
        <is>
          <t>STOCKHOLMS LÄN</t>
        </is>
      </c>
      <c r="E949" t="inlineStr">
        <is>
          <t>SÖDERTÄLJE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41115-2023</t>
        </is>
      </c>
      <c r="B950" s="1" t="n">
        <v>45173</v>
      </c>
      <c r="C950" s="1" t="n">
        <v>46050</v>
      </c>
      <c r="D950" t="inlineStr">
        <is>
          <t>STOCKHOLMS LÄN</t>
        </is>
      </c>
      <c r="E950" t="inlineStr">
        <is>
          <t>SÖDERTÄLJE</t>
        </is>
      </c>
      <c r="G950" t="n">
        <v>3.4</v>
      </c>
      <c r="H950" t="n">
        <v>0</v>
      </c>
      <c r="I950" t="n">
        <v>0</v>
      </c>
      <c r="J950" t="n">
        <v>0</v>
      </c>
      <c r="K950" t="n">
        <v>0</v>
      </c>
      <c r="L950" t="n">
        <v>0</v>
      </c>
      <c r="M950" t="n">
        <v>0</v>
      </c>
      <c r="N950" t="n">
        <v>0</v>
      </c>
      <c r="O950" t="n">
        <v>0</v>
      </c>
      <c r="P950" t="n">
        <v>0</v>
      </c>
      <c r="Q950" t="n">
        <v>0</v>
      </c>
      <c r="R950" s="2" t="inlineStr"/>
    </row>
    <row r="951" ht="15" customHeight="1">
      <c r="A951" t="inlineStr">
        <is>
          <t>A 38593-2025</t>
        </is>
      </c>
      <c r="B951" s="1" t="n">
        <v>45884.48696759259</v>
      </c>
      <c r="C951" s="1" t="n">
        <v>46050</v>
      </c>
      <c r="D951" t="inlineStr">
        <is>
          <t>STOCKHOLMS LÄN</t>
        </is>
      </c>
      <c r="E951" t="inlineStr">
        <is>
          <t>NORRTÄLJE</t>
        </is>
      </c>
      <c r="G951" t="n">
        <v>3</v>
      </c>
      <c r="H951" t="n">
        <v>0</v>
      </c>
      <c r="I951" t="n">
        <v>0</v>
      </c>
      <c r="J951" t="n">
        <v>0</v>
      </c>
      <c r="K951" t="n">
        <v>0</v>
      </c>
      <c r="L951" t="n">
        <v>0</v>
      </c>
      <c r="M951" t="n">
        <v>0</v>
      </c>
      <c r="N951" t="n">
        <v>0</v>
      </c>
      <c r="O951" t="n">
        <v>0</v>
      </c>
      <c r="P951" t="n">
        <v>0</v>
      </c>
      <c r="Q951" t="n">
        <v>0</v>
      </c>
      <c r="R951" s="2" t="inlineStr"/>
    </row>
    <row r="952" ht="15" customHeight="1">
      <c r="A952" t="inlineStr">
        <is>
          <t>A 47259-2024</t>
        </is>
      </c>
      <c r="B952" s="1" t="n">
        <v>45586</v>
      </c>
      <c r="C952" s="1" t="n">
        <v>46050</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25702-2025</t>
        </is>
      </c>
      <c r="B953" s="1" t="n">
        <v>45800</v>
      </c>
      <c r="C953" s="1" t="n">
        <v>46050</v>
      </c>
      <c r="D953" t="inlineStr">
        <is>
          <t>STOCKHOLMS LÄN</t>
        </is>
      </c>
      <c r="E953" t="inlineStr">
        <is>
          <t>NORRTÄLJE</t>
        </is>
      </c>
      <c r="G953" t="n">
        <v>5.3</v>
      </c>
      <c r="H953" t="n">
        <v>0</v>
      </c>
      <c r="I953" t="n">
        <v>0</v>
      </c>
      <c r="J953" t="n">
        <v>0</v>
      </c>
      <c r="K953" t="n">
        <v>0</v>
      </c>
      <c r="L953" t="n">
        <v>0</v>
      </c>
      <c r="M953" t="n">
        <v>0</v>
      </c>
      <c r="N953" t="n">
        <v>0</v>
      </c>
      <c r="O953" t="n">
        <v>0</v>
      </c>
      <c r="P953" t="n">
        <v>0</v>
      </c>
      <c r="Q953" t="n">
        <v>0</v>
      </c>
      <c r="R953" s="2" t="inlineStr"/>
    </row>
    <row r="954" ht="15" customHeight="1">
      <c r="A954" t="inlineStr">
        <is>
          <t>A 4322-2023</t>
        </is>
      </c>
      <c r="B954" s="1" t="n">
        <v>44953.69298611111</v>
      </c>
      <c r="C954" s="1" t="n">
        <v>46050</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50306-2023</t>
        </is>
      </c>
      <c r="B955" s="1" t="n">
        <v>45209</v>
      </c>
      <c r="C955" s="1" t="n">
        <v>46050</v>
      </c>
      <c r="D955" t="inlineStr">
        <is>
          <t>STOCKHOLMS LÄN</t>
        </is>
      </c>
      <c r="E955" t="inlineStr">
        <is>
          <t>HANINGE</t>
        </is>
      </c>
      <c r="G955" t="n">
        <v>2.3</v>
      </c>
      <c r="H955" t="n">
        <v>0</v>
      </c>
      <c r="I955" t="n">
        <v>0</v>
      </c>
      <c r="J955" t="n">
        <v>0</v>
      </c>
      <c r="K955" t="n">
        <v>0</v>
      </c>
      <c r="L955" t="n">
        <v>0</v>
      </c>
      <c r="M955" t="n">
        <v>0</v>
      </c>
      <c r="N955" t="n">
        <v>0</v>
      </c>
      <c r="O955" t="n">
        <v>0</v>
      </c>
      <c r="P955" t="n">
        <v>0</v>
      </c>
      <c r="Q955" t="n">
        <v>0</v>
      </c>
      <c r="R955" s="2" t="inlineStr"/>
      <c r="U955">
        <f>HYPERLINK("https://klasma.github.io/Logging_0136/knärot/A 50306-2023 karta knärot.png", "A 50306-2023")</f>
        <v/>
      </c>
      <c r="V955">
        <f>HYPERLINK("https://klasma.github.io/Logging_0136/klagomål/A 50306-2023 FSC-klagomål.docx", "A 50306-2023")</f>
        <v/>
      </c>
      <c r="W955">
        <f>HYPERLINK("https://klasma.github.io/Logging_0136/klagomålsmail/A 50306-2023 FSC-klagomål mail.docx", "A 50306-2023")</f>
        <v/>
      </c>
      <c r="X955">
        <f>HYPERLINK("https://klasma.github.io/Logging_0136/tillsyn/A 50306-2023 tillsynsbegäran.docx", "A 50306-2023")</f>
        <v/>
      </c>
      <c r="Y955">
        <f>HYPERLINK("https://klasma.github.io/Logging_0136/tillsynsmail/A 50306-2023 tillsynsbegäran mail.docx", "A 50306-2023")</f>
        <v/>
      </c>
    </row>
    <row r="956" ht="15" customHeight="1">
      <c r="A956" t="inlineStr">
        <is>
          <t>A 3382-2024</t>
        </is>
      </c>
      <c r="B956" s="1" t="n">
        <v>45317</v>
      </c>
      <c r="C956" s="1" t="n">
        <v>46050</v>
      </c>
      <c r="D956" t="inlineStr">
        <is>
          <t>STOCKHOLMS LÄN</t>
        </is>
      </c>
      <c r="E956" t="inlineStr">
        <is>
          <t>SÖDERTÄLJE</t>
        </is>
      </c>
      <c r="G956" t="n">
        <v>0.6</v>
      </c>
      <c r="H956" t="n">
        <v>0</v>
      </c>
      <c r="I956" t="n">
        <v>0</v>
      </c>
      <c r="J956" t="n">
        <v>0</v>
      </c>
      <c r="K956" t="n">
        <v>0</v>
      </c>
      <c r="L956" t="n">
        <v>0</v>
      </c>
      <c r="M956" t="n">
        <v>0</v>
      </c>
      <c r="N956" t="n">
        <v>0</v>
      </c>
      <c r="O956" t="n">
        <v>0</v>
      </c>
      <c r="P956" t="n">
        <v>0</v>
      </c>
      <c r="Q956" t="n">
        <v>0</v>
      </c>
      <c r="R956" s="2" t="inlineStr"/>
    </row>
    <row r="957" ht="15" customHeight="1">
      <c r="A957" t="inlineStr">
        <is>
          <t>A 25712-2025</t>
        </is>
      </c>
      <c r="B957" s="1" t="n">
        <v>45803.69228009259</v>
      </c>
      <c r="C957" s="1" t="n">
        <v>46050</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25415-2025</t>
        </is>
      </c>
      <c r="B958" s="1" t="n">
        <v>45799</v>
      </c>
      <c r="C958" s="1" t="n">
        <v>46050</v>
      </c>
      <c r="D958" t="inlineStr">
        <is>
          <t>STOCKHOLMS LÄN</t>
        </is>
      </c>
      <c r="E958" t="inlineStr">
        <is>
          <t>SÖDERTÄLJE</t>
        </is>
      </c>
      <c r="G958" t="n">
        <v>10.8</v>
      </c>
      <c r="H958" t="n">
        <v>0</v>
      </c>
      <c r="I958" t="n">
        <v>0</v>
      </c>
      <c r="J958" t="n">
        <v>0</v>
      </c>
      <c r="K958" t="n">
        <v>0</v>
      </c>
      <c r="L958" t="n">
        <v>0</v>
      </c>
      <c r="M958" t="n">
        <v>0</v>
      </c>
      <c r="N958" t="n">
        <v>0</v>
      </c>
      <c r="O958" t="n">
        <v>0</v>
      </c>
      <c r="P958" t="n">
        <v>0</v>
      </c>
      <c r="Q958" t="n">
        <v>0</v>
      </c>
      <c r="R958" s="2" t="inlineStr"/>
    </row>
    <row r="959" ht="15" customHeight="1">
      <c r="A959" t="inlineStr">
        <is>
          <t>A 25733-2025</t>
        </is>
      </c>
      <c r="B959" s="1" t="n">
        <v>45800</v>
      </c>
      <c r="C959" s="1" t="n">
        <v>46050</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39238-2024</t>
        </is>
      </c>
      <c r="B960" s="1" t="n">
        <v>45549</v>
      </c>
      <c r="C960" s="1" t="n">
        <v>46050</v>
      </c>
      <c r="D960" t="inlineStr">
        <is>
          <t>STOCKHOLMS LÄN</t>
        </is>
      </c>
      <c r="E960" t="inlineStr">
        <is>
          <t>NORRTÄLJE</t>
        </is>
      </c>
      <c r="G960" t="n">
        <v>3.6</v>
      </c>
      <c r="H960" t="n">
        <v>0</v>
      </c>
      <c r="I960" t="n">
        <v>0</v>
      </c>
      <c r="J960" t="n">
        <v>0</v>
      </c>
      <c r="K960" t="n">
        <v>0</v>
      </c>
      <c r="L960" t="n">
        <v>0</v>
      </c>
      <c r="M960" t="n">
        <v>0</v>
      </c>
      <c r="N960" t="n">
        <v>0</v>
      </c>
      <c r="O960" t="n">
        <v>0</v>
      </c>
      <c r="P960" t="n">
        <v>0</v>
      </c>
      <c r="Q960" t="n">
        <v>0</v>
      </c>
      <c r="R960" s="2" t="inlineStr"/>
    </row>
    <row r="961" ht="15" customHeight="1">
      <c r="A961" t="inlineStr">
        <is>
          <t>A 27969-2022</t>
        </is>
      </c>
      <c r="B961" s="1" t="n">
        <v>44744</v>
      </c>
      <c r="C961" s="1" t="n">
        <v>46050</v>
      </c>
      <c r="D961" t="inlineStr">
        <is>
          <t>STOCKHOLMS LÄN</t>
        </is>
      </c>
      <c r="E961" t="inlineStr">
        <is>
          <t>SÖDERTÄLJE</t>
        </is>
      </c>
      <c r="G961" t="n">
        <v>2.5</v>
      </c>
      <c r="H961" t="n">
        <v>0</v>
      </c>
      <c r="I961" t="n">
        <v>0</v>
      </c>
      <c r="J961" t="n">
        <v>0</v>
      </c>
      <c r="K961" t="n">
        <v>0</v>
      </c>
      <c r="L961" t="n">
        <v>0</v>
      </c>
      <c r="M961" t="n">
        <v>0</v>
      </c>
      <c r="N961" t="n">
        <v>0</v>
      </c>
      <c r="O961" t="n">
        <v>0</v>
      </c>
      <c r="P961" t="n">
        <v>0</v>
      </c>
      <c r="Q961" t="n">
        <v>0</v>
      </c>
      <c r="R961" s="2" t="inlineStr"/>
    </row>
    <row r="962" ht="15" customHeight="1">
      <c r="A962" t="inlineStr">
        <is>
          <t>A 25571-2025</t>
        </is>
      </c>
      <c r="B962" s="1" t="n">
        <v>45803.4675</v>
      </c>
      <c r="C962" s="1" t="n">
        <v>46050</v>
      </c>
      <c r="D962" t="inlineStr">
        <is>
          <t>STOCKHOLMS LÄN</t>
        </is>
      </c>
      <c r="E962" t="inlineStr">
        <is>
          <t>NORRTÄLJE</t>
        </is>
      </c>
      <c r="G962" t="n">
        <v>5.4</v>
      </c>
      <c r="H962" t="n">
        <v>0</v>
      </c>
      <c r="I962" t="n">
        <v>0</v>
      </c>
      <c r="J962" t="n">
        <v>0</v>
      </c>
      <c r="K962" t="n">
        <v>0</v>
      </c>
      <c r="L962" t="n">
        <v>0</v>
      </c>
      <c r="M962" t="n">
        <v>0</v>
      </c>
      <c r="N962" t="n">
        <v>0</v>
      </c>
      <c r="O962" t="n">
        <v>0</v>
      </c>
      <c r="P962" t="n">
        <v>0</v>
      </c>
      <c r="Q962" t="n">
        <v>0</v>
      </c>
      <c r="R962" s="2" t="inlineStr"/>
    </row>
    <row r="963" ht="15" customHeight="1">
      <c r="A963" t="inlineStr">
        <is>
          <t>A 25721-2025</t>
        </is>
      </c>
      <c r="B963" s="1" t="n">
        <v>45800</v>
      </c>
      <c r="C963" s="1" t="n">
        <v>46050</v>
      </c>
      <c r="D963" t="inlineStr">
        <is>
          <t>STOCKHOLMS LÄN</t>
        </is>
      </c>
      <c r="E963" t="inlineStr">
        <is>
          <t>NORRTÄLJE</t>
        </is>
      </c>
      <c r="G963" t="n">
        <v>6</v>
      </c>
      <c r="H963" t="n">
        <v>0</v>
      </c>
      <c r="I963" t="n">
        <v>0</v>
      </c>
      <c r="J963" t="n">
        <v>0</v>
      </c>
      <c r="K963" t="n">
        <v>0</v>
      </c>
      <c r="L963" t="n">
        <v>0</v>
      </c>
      <c r="M963" t="n">
        <v>0</v>
      </c>
      <c r="N963" t="n">
        <v>0</v>
      </c>
      <c r="O963" t="n">
        <v>0</v>
      </c>
      <c r="P963" t="n">
        <v>0</v>
      </c>
      <c r="Q963" t="n">
        <v>0</v>
      </c>
      <c r="R963" s="2" t="inlineStr"/>
    </row>
    <row r="964" ht="15" customHeight="1">
      <c r="A964" t="inlineStr">
        <is>
          <t>A 25697-2025</t>
        </is>
      </c>
      <c r="B964" s="1" t="n">
        <v>45803.66587962963</v>
      </c>
      <c r="C964" s="1" t="n">
        <v>46050</v>
      </c>
      <c r="D964" t="inlineStr">
        <is>
          <t>STOCKHOLMS LÄN</t>
        </is>
      </c>
      <c r="E964" t="inlineStr">
        <is>
          <t>NORRTÄLJE</t>
        </is>
      </c>
      <c r="G964" t="n">
        <v>2.5</v>
      </c>
      <c r="H964" t="n">
        <v>0</v>
      </c>
      <c r="I964" t="n">
        <v>0</v>
      </c>
      <c r="J964" t="n">
        <v>0</v>
      </c>
      <c r="K964" t="n">
        <v>0</v>
      </c>
      <c r="L964" t="n">
        <v>0</v>
      </c>
      <c r="M964" t="n">
        <v>0</v>
      </c>
      <c r="N964" t="n">
        <v>0</v>
      </c>
      <c r="O964" t="n">
        <v>0</v>
      </c>
      <c r="P964" t="n">
        <v>0</v>
      </c>
      <c r="Q964" t="n">
        <v>0</v>
      </c>
      <c r="R964" s="2" t="inlineStr"/>
    </row>
    <row r="965" ht="15" customHeight="1">
      <c r="A965" t="inlineStr">
        <is>
          <t>A 41218-2024</t>
        </is>
      </c>
      <c r="B965" s="1" t="n">
        <v>45559.54706018518</v>
      </c>
      <c r="C965" s="1" t="n">
        <v>46050</v>
      </c>
      <c r="D965" t="inlineStr">
        <is>
          <t>STOCKHOLMS LÄN</t>
        </is>
      </c>
      <c r="E965" t="inlineStr">
        <is>
          <t>NORRTÄLJE</t>
        </is>
      </c>
      <c r="G965" t="n">
        <v>6</v>
      </c>
      <c r="H965" t="n">
        <v>0</v>
      </c>
      <c r="I965" t="n">
        <v>0</v>
      </c>
      <c r="J965" t="n">
        <v>0</v>
      </c>
      <c r="K965" t="n">
        <v>0</v>
      </c>
      <c r="L965" t="n">
        <v>0</v>
      </c>
      <c r="M965" t="n">
        <v>0</v>
      </c>
      <c r="N965" t="n">
        <v>0</v>
      </c>
      <c r="O965" t="n">
        <v>0</v>
      </c>
      <c r="P965" t="n">
        <v>0</v>
      </c>
      <c r="Q965" t="n">
        <v>0</v>
      </c>
      <c r="R965" s="2" t="inlineStr"/>
    </row>
    <row r="966" ht="15" customHeight="1">
      <c r="A966" t="inlineStr">
        <is>
          <t>A 8163-2024</t>
        </is>
      </c>
      <c r="B966" s="1" t="n">
        <v>45351.60337962963</v>
      </c>
      <c r="C966" s="1" t="n">
        <v>46050</v>
      </c>
      <c r="D966" t="inlineStr">
        <is>
          <t>STOCKHOLMS LÄN</t>
        </is>
      </c>
      <c r="E966" t="inlineStr">
        <is>
          <t>HANINGE</t>
        </is>
      </c>
      <c r="F966" t="inlineStr">
        <is>
          <t>Kommuner</t>
        </is>
      </c>
      <c r="G966" t="n">
        <v>3.8</v>
      </c>
      <c r="H966" t="n">
        <v>0</v>
      </c>
      <c r="I966" t="n">
        <v>0</v>
      </c>
      <c r="J966" t="n">
        <v>0</v>
      </c>
      <c r="K966" t="n">
        <v>0</v>
      </c>
      <c r="L966" t="n">
        <v>0</v>
      </c>
      <c r="M966" t="n">
        <v>0</v>
      </c>
      <c r="N966" t="n">
        <v>0</v>
      </c>
      <c r="O966" t="n">
        <v>0</v>
      </c>
      <c r="P966" t="n">
        <v>0</v>
      </c>
      <c r="Q966" t="n">
        <v>0</v>
      </c>
      <c r="R966" s="2" t="inlineStr"/>
    </row>
    <row r="967" ht="15" customHeight="1">
      <c r="A967" t="inlineStr">
        <is>
          <t>A 38990-2022</t>
        </is>
      </c>
      <c r="B967" s="1" t="n">
        <v>44816</v>
      </c>
      <c r="C967" s="1" t="n">
        <v>46050</v>
      </c>
      <c r="D967" t="inlineStr">
        <is>
          <t>STOCKHOLMS LÄN</t>
        </is>
      </c>
      <c r="E967" t="inlineStr">
        <is>
          <t>NORRTÄLJE</t>
        </is>
      </c>
      <c r="G967" t="n">
        <v>5.7</v>
      </c>
      <c r="H967" t="n">
        <v>0</v>
      </c>
      <c r="I967" t="n">
        <v>0</v>
      </c>
      <c r="J967" t="n">
        <v>0</v>
      </c>
      <c r="K967" t="n">
        <v>0</v>
      </c>
      <c r="L967" t="n">
        <v>0</v>
      </c>
      <c r="M967" t="n">
        <v>0</v>
      </c>
      <c r="N967" t="n">
        <v>0</v>
      </c>
      <c r="O967" t="n">
        <v>0</v>
      </c>
      <c r="P967" t="n">
        <v>0</v>
      </c>
      <c r="Q967" t="n">
        <v>0</v>
      </c>
      <c r="R967" s="2" t="inlineStr"/>
    </row>
    <row r="968" ht="15" customHeight="1">
      <c r="A968" t="inlineStr">
        <is>
          <t>A 17956-2025</t>
        </is>
      </c>
      <c r="B968" s="1" t="n">
        <v>45760.91174768518</v>
      </c>
      <c r="C968" s="1" t="n">
        <v>46050</v>
      </c>
      <c r="D968" t="inlineStr">
        <is>
          <t>STOCKHOLMS LÄN</t>
        </is>
      </c>
      <c r="E968" t="inlineStr">
        <is>
          <t>NORRTÄLJE</t>
        </is>
      </c>
      <c r="G968" t="n">
        <v>4.3</v>
      </c>
      <c r="H968" t="n">
        <v>0</v>
      </c>
      <c r="I968" t="n">
        <v>0</v>
      </c>
      <c r="J968" t="n">
        <v>0</v>
      </c>
      <c r="K968" t="n">
        <v>0</v>
      </c>
      <c r="L968" t="n">
        <v>0</v>
      </c>
      <c r="M968" t="n">
        <v>0</v>
      </c>
      <c r="N968" t="n">
        <v>0</v>
      </c>
      <c r="O968" t="n">
        <v>0</v>
      </c>
      <c r="P968" t="n">
        <v>0</v>
      </c>
      <c r="Q968" t="n">
        <v>0</v>
      </c>
      <c r="R968" s="2" t="inlineStr"/>
    </row>
    <row r="969" ht="15" customHeight="1">
      <c r="A969" t="inlineStr">
        <is>
          <t>A 875-2023</t>
        </is>
      </c>
      <c r="B969" s="1" t="n">
        <v>44931.65626157408</v>
      </c>
      <c r="C969" s="1" t="n">
        <v>46050</v>
      </c>
      <c r="D969" t="inlineStr">
        <is>
          <t>STOCKHOLMS LÄN</t>
        </is>
      </c>
      <c r="E969" t="inlineStr">
        <is>
          <t>NORRTÄLJE</t>
        </is>
      </c>
      <c r="G969" t="n">
        <v>2.2</v>
      </c>
      <c r="H969" t="n">
        <v>0</v>
      </c>
      <c r="I969" t="n">
        <v>0</v>
      </c>
      <c r="J969" t="n">
        <v>0</v>
      </c>
      <c r="K969" t="n">
        <v>0</v>
      </c>
      <c r="L969" t="n">
        <v>0</v>
      </c>
      <c r="M969" t="n">
        <v>0</v>
      </c>
      <c r="N969" t="n">
        <v>0</v>
      </c>
      <c r="O969" t="n">
        <v>0</v>
      </c>
      <c r="P969" t="n">
        <v>0</v>
      </c>
      <c r="Q969" t="n">
        <v>0</v>
      </c>
      <c r="R969" s="2" t="inlineStr"/>
    </row>
    <row r="970" ht="15" customHeight="1">
      <c r="A970" t="inlineStr">
        <is>
          <t>A 31236-2022</t>
        </is>
      </c>
      <c r="B970" s="1" t="n">
        <v>44771</v>
      </c>
      <c r="C970" s="1" t="n">
        <v>46050</v>
      </c>
      <c r="D970" t="inlineStr">
        <is>
          <t>STOCKHOLMS LÄN</t>
        </is>
      </c>
      <c r="E970" t="inlineStr">
        <is>
          <t>NORRTÄLJE</t>
        </is>
      </c>
      <c r="G970" t="n">
        <v>1.7</v>
      </c>
      <c r="H970" t="n">
        <v>0</v>
      </c>
      <c r="I970" t="n">
        <v>0</v>
      </c>
      <c r="J970" t="n">
        <v>0</v>
      </c>
      <c r="K970" t="n">
        <v>0</v>
      </c>
      <c r="L970" t="n">
        <v>0</v>
      </c>
      <c r="M970" t="n">
        <v>0</v>
      </c>
      <c r="N970" t="n">
        <v>0</v>
      </c>
      <c r="O970" t="n">
        <v>0</v>
      </c>
      <c r="P970" t="n">
        <v>0</v>
      </c>
      <c r="Q970" t="n">
        <v>0</v>
      </c>
      <c r="R970" s="2" t="inlineStr"/>
    </row>
    <row r="971" ht="15" customHeight="1">
      <c r="A971" t="inlineStr">
        <is>
          <t>A 8315-2025</t>
        </is>
      </c>
      <c r="B971" s="1" t="n">
        <v>45708.61761574074</v>
      </c>
      <c r="C971" s="1" t="n">
        <v>46050</v>
      </c>
      <c r="D971" t="inlineStr">
        <is>
          <t>STOCKHOLMS LÄN</t>
        </is>
      </c>
      <c r="E971" t="inlineStr">
        <is>
          <t>NORRTÄLJE</t>
        </is>
      </c>
      <c r="G971" t="n">
        <v>3.9</v>
      </c>
      <c r="H971" t="n">
        <v>0</v>
      </c>
      <c r="I971" t="n">
        <v>0</v>
      </c>
      <c r="J971" t="n">
        <v>0</v>
      </c>
      <c r="K971" t="n">
        <v>0</v>
      </c>
      <c r="L971" t="n">
        <v>0</v>
      </c>
      <c r="M971" t="n">
        <v>0</v>
      </c>
      <c r="N971" t="n">
        <v>0</v>
      </c>
      <c r="O971" t="n">
        <v>0</v>
      </c>
      <c r="P971" t="n">
        <v>0</v>
      </c>
      <c r="Q971" t="n">
        <v>0</v>
      </c>
      <c r="R971" s="2" t="inlineStr"/>
    </row>
    <row r="972" ht="15" customHeight="1">
      <c r="A972" t="inlineStr">
        <is>
          <t>A 31281-2022</t>
        </is>
      </c>
      <c r="B972" s="1" t="n">
        <v>44771</v>
      </c>
      <c r="C972" s="1" t="n">
        <v>46050</v>
      </c>
      <c r="D972" t="inlineStr">
        <is>
          <t>STOCKHOLMS LÄN</t>
        </is>
      </c>
      <c r="E972" t="inlineStr">
        <is>
          <t>NORRTÄLJE</t>
        </is>
      </c>
      <c r="F972" t="inlineStr">
        <is>
          <t>Holmen skog AB</t>
        </is>
      </c>
      <c r="G972" t="n">
        <v>5.2</v>
      </c>
      <c r="H972" t="n">
        <v>0</v>
      </c>
      <c r="I972" t="n">
        <v>0</v>
      </c>
      <c r="J972" t="n">
        <v>0</v>
      </c>
      <c r="K972" t="n">
        <v>0</v>
      </c>
      <c r="L972" t="n">
        <v>0</v>
      </c>
      <c r="M972" t="n">
        <v>0</v>
      </c>
      <c r="N972" t="n">
        <v>0</v>
      </c>
      <c r="O972" t="n">
        <v>0</v>
      </c>
      <c r="P972" t="n">
        <v>0</v>
      </c>
      <c r="Q972" t="n">
        <v>0</v>
      </c>
      <c r="R972" s="2" t="inlineStr"/>
    </row>
    <row r="973" ht="15" customHeight="1">
      <c r="A973" t="inlineStr">
        <is>
          <t>A 38449-2022</t>
        </is>
      </c>
      <c r="B973" s="1" t="n">
        <v>44813</v>
      </c>
      <c r="C973" s="1" t="n">
        <v>46050</v>
      </c>
      <c r="D973" t="inlineStr">
        <is>
          <t>STOCKHOLMS LÄN</t>
        </is>
      </c>
      <c r="E973" t="inlineStr">
        <is>
          <t>NORRTÄLJE</t>
        </is>
      </c>
      <c r="G973" t="n">
        <v>4.2</v>
      </c>
      <c r="H973" t="n">
        <v>0</v>
      </c>
      <c r="I973" t="n">
        <v>0</v>
      </c>
      <c r="J973" t="n">
        <v>0</v>
      </c>
      <c r="K973" t="n">
        <v>0</v>
      </c>
      <c r="L973" t="n">
        <v>0</v>
      </c>
      <c r="M973" t="n">
        <v>0</v>
      </c>
      <c r="N973" t="n">
        <v>0</v>
      </c>
      <c r="O973" t="n">
        <v>0</v>
      </c>
      <c r="P973" t="n">
        <v>0</v>
      </c>
      <c r="Q973" t="n">
        <v>0</v>
      </c>
      <c r="R973" s="2" t="inlineStr"/>
    </row>
    <row r="974" ht="15" customHeight="1">
      <c r="A974" t="inlineStr">
        <is>
          <t>A 38535-2025</t>
        </is>
      </c>
      <c r="B974" s="1" t="n">
        <v>45884.41943287037</v>
      </c>
      <c r="C974" s="1" t="n">
        <v>46050</v>
      </c>
      <c r="D974" t="inlineStr">
        <is>
          <t>STOCKHOLMS LÄN</t>
        </is>
      </c>
      <c r="E974" t="inlineStr">
        <is>
          <t>NYKVARN</t>
        </is>
      </c>
      <c r="G974" t="n">
        <v>3.4</v>
      </c>
      <c r="H974" t="n">
        <v>0</v>
      </c>
      <c r="I974" t="n">
        <v>0</v>
      </c>
      <c r="J974" t="n">
        <v>0</v>
      </c>
      <c r="K974" t="n">
        <v>0</v>
      </c>
      <c r="L974" t="n">
        <v>0</v>
      </c>
      <c r="M974" t="n">
        <v>0</v>
      </c>
      <c r="N974" t="n">
        <v>0</v>
      </c>
      <c r="O974" t="n">
        <v>0</v>
      </c>
      <c r="P974" t="n">
        <v>0</v>
      </c>
      <c r="Q974" t="n">
        <v>0</v>
      </c>
      <c r="R974" s="2" t="inlineStr"/>
    </row>
    <row r="975" ht="15" customHeight="1">
      <c r="A975" t="inlineStr">
        <is>
          <t>A 34478-2025</t>
        </is>
      </c>
      <c r="B975" s="1" t="n">
        <v>45847.37414351852</v>
      </c>
      <c r="C975" s="1" t="n">
        <v>46050</v>
      </c>
      <c r="D975" t="inlineStr">
        <is>
          <t>STOCKHOLMS LÄN</t>
        </is>
      </c>
      <c r="E975" t="inlineStr">
        <is>
          <t>NORRTÄLJE</t>
        </is>
      </c>
      <c r="F975" t="inlineStr">
        <is>
          <t>Övriga Aktiebolag</t>
        </is>
      </c>
      <c r="G975" t="n">
        <v>10.8</v>
      </c>
      <c r="H975" t="n">
        <v>0</v>
      </c>
      <c r="I975" t="n">
        <v>0</v>
      </c>
      <c r="J975" t="n">
        <v>0</v>
      </c>
      <c r="K975" t="n">
        <v>0</v>
      </c>
      <c r="L975" t="n">
        <v>0</v>
      </c>
      <c r="M975" t="n">
        <v>0</v>
      </c>
      <c r="N975" t="n">
        <v>0</v>
      </c>
      <c r="O975" t="n">
        <v>0</v>
      </c>
      <c r="P975" t="n">
        <v>0</v>
      </c>
      <c r="Q975" t="n">
        <v>0</v>
      </c>
      <c r="R975" s="2" t="inlineStr"/>
    </row>
    <row r="976" ht="15" customHeight="1">
      <c r="A976" t="inlineStr">
        <is>
          <t>A 10790-2023</t>
        </is>
      </c>
      <c r="B976" s="1" t="n">
        <v>44989.32980324074</v>
      </c>
      <c r="C976" s="1" t="n">
        <v>46050</v>
      </c>
      <c r="D976" t="inlineStr">
        <is>
          <t>STOCKHOLMS LÄN</t>
        </is>
      </c>
      <c r="E976" t="inlineStr">
        <is>
          <t>SIGTUNA</t>
        </is>
      </c>
      <c r="G976" t="n">
        <v>0.5</v>
      </c>
      <c r="H976" t="n">
        <v>0</v>
      </c>
      <c r="I976" t="n">
        <v>0</v>
      </c>
      <c r="J976" t="n">
        <v>0</v>
      </c>
      <c r="K976" t="n">
        <v>0</v>
      </c>
      <c r="L976" t="n">
        <v>0</v>
      </c>
      <c r="M976" t="n">
        <v>0</v>
      </c>
      <c r="N976" t="n">
        <v>0</v>
      </c>
      <c r="O976" t="n">
        <v>0</v>
      </c>
      <c r="P976" t="n">
        <v>0</v>
      </c>
      <c r="Q976" t="n">
        <v>0</v>
      </c>
      <c r="R976" s="2" t="inlineStr"/>
    </row>
    <row r="977" ht="15" customHeight="1">
      <c r="A977" t="inlineStr">
        <is>
          <t>A 39958-2024</t>
        </is>
      </c>
      <c r="B977" s="1" t="n">
        <v>45553</v>
      </c>
      <c r="C977" s="1" t="n">
        <v>46050</v>
      </c>
      <c r="D977" t="inlineStr">
        <is>
          <t>STOCKHOLMS LÄN</t>
        </is>
      </c>
      <c r="E977" t="inlineStr">
        <is>
          <t>VAXHOLM</t>
        </is>
      </c>
      <c r="F977" t="inlineStr">
        <is>
          <t>Övriga statliga verk och myndigheter</t>
        </is>
      </c>
      <c r="G977" t="n">
        <v>3.4</v>
      </c>
      <c r="H977" t="n">
        <v>0</v>
      </c>
      <c r="I977" t="n">
        <v>0</v>
      </c>
      <c r="J977" t="n">
        <v>0</v>
      </c>
      <c r="K977" t="n">
        <v>0</v>
      </c>
      <c r="L977" t="n">
        <v>0</v>
      </c>
      <c r="M977" t="n">
        <v>0</v>
      </c>
      <c r="N977" t="n">
        <v>0</v>
      </c>
      <c r="O977" t="n">
        <v>0</v>
      </c>
      <c r="P977" t="n">
        <v>0</v>
      </c>
      <c r="Q977" t="n">
        <v>0</v>
      </c>
      <c r="R977" s="2" t="inlineStr"/>
    </row>
    <row r="978" ht="15" customHeight="1">
      <c r="A978" t="inlineStr">
        <is>
          <t>A 9865-2025</t>
        </is>
      </c>
      <c r="B978" s="1" t="n">
        <v>45716</v>
      </c>
      <c r="C978" s="1" t="n">
        <v>46050</v>
      </c>
      <c r="D978" t="inlineStr">
        <is>
          <t>STOCKHOLMS LÄN</t>
        </is>
      </c>
      <c r="E978" t="inlineStr">
        <is>
          <t>ÖSTERÅKER</t>
        </is>
      </c>
      <c r="G978" t="n">
        <v>7</v>
      </c>
      <c r="H978" t="n">
        <v>0</v>
      </c>
      <c r="I978" t="n">
        <v>0</v>
      </c>
      <c r="J978" t="n">
        <v>0</v>
      </c>
      <c r="K978" t="n">
        <v>0</v>
      </c>
      <c r="L978" t="n">
        <v>0</v>
      </c>
      <c r="M978" t="n">
        <v>0</v>
      </c>
      <c r="N978" t="n">
        <v>0</v>
      </c>
      <c r="O978" t="n">
        <v>0</v>
      </c>
      <c r="P978" t="n">
        <v>0</v>
      </c>
      <c r="Q978" t="n">
        <v>0</v>
      </c>
      <c r="R978" s="2" t="inlineStr"/>
    </row>
    <row r="979" ht="15" customHeight="1">
      <c r="A979" t="inlineStr">
        <is>
          <t>A 35145-2023</t>
        </is>
      </c>
      <c r="B979" s="1" t="n">
        <v>45145</v>
      </c>
      <c r="C979" s="1" t="n">
        <v>46050</v>
      </c>
      <c r="D979" t="inlineStr">
        <is>
          <t>STOCKHOLMS LÄN</t>
        </is>
      </c>
      <c r="E979" t="inlineStr">
        <is>
          <t>SÖDERTÄLJE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26256-2025</t>
        </is>
      </c>
      <c r="B980" s="1" t="n">
        <v>45805.58125</v>
      </c>
      <c r="C980" s="1" t="n">
        <v>46050</v>
      </c>
      <c r="D980" t="inlineStr">
        <is>
          <t>STOCKHOLMS LÄN</t>
        </is>
      </c>
      <c r="E980" t="inlineStr">
        <is>
          <t>SIGTUNA</t>
        </is>
      </c>
      <c r="G980" t="n">
        <v>7.5</v>
      </c>
      <c r="H980" t="n">
        <v>0</v>
      </c>
      <c r="I980" t="n">
        <v>0</v>
      </c>
      <c r="J980" t="n">
        <v>0</v>
      </c>
      <c r="K980" t="n">
        <v>0</v>
      </c>
      <c r="L980" t="n">
        <v>0</v>
      </c>
      <c r="M980" t="n">
        <v>0</v>
      </c>
      <c r="N980" t="n">
        <v>0</v>
      </c>
      <c r="O980" t="n">
        <v>0</v>
      </c>
      <c r="P980" t="n">
        <v>0</v>
      </c>
      <c r="Q980" t="n">
        <v>0</v>
      </c>
      <c r="R980" s="2" t="inlineStr"/>
    </row>
    <row r="981" ht="15" customHeight="1">
      <c r="A981" t="inlineStr">
        <is>
          <t>A 18665-2022</t>
        </is>
      </c>
      <c r="B981" s="1" t="n">
        <v>44687</v>
      </c>
      <c r="C981" s="1" t="n">
        <v>46050</v>
      </c>
      <c r="D981" t="inlineStr">
        <is>
          <t>STOCKHOLMS LÄN</t>
        </is>
      </c>
      <c r="E981" t="inlineStr">
        <is>
          <t>NORRTÄLJE</t>
        </is>
      </c>
      <c r="F981" t="inlineStr">
        <is>
          <t>Kyrkan</t>
        </is>
      </c>
      <c r="G981" t="n">
        <v>1.1</v>
      </c>
      <c r="H981" t="n">
        <v>0</v>
      </c>
      <c r="I981" t="n">
        <v>0</v>
      </c>
      <c r="J981" t="n">
        <v>0</v>
      </c>
      <c r="K981" t="n">
        <v>0</v>
      </c>
      <c r="L981" t="n">
        <v>0</v>
      </c>
      <c r="M981" t="n">
        <v>0</v>
      </c>
      <c r="N981" t="n">
        <v>0</v>
      </c>
      <c r="O981" t="n">
        <v>0</v>
      </c>
      <c r="P981" t="n">
        <v>0</v>
      </c>
      <c r="Q981" t="n">
        <v>0</v>
      </c>
      <c r="R981" s="2" t="inlineStr"/>
    </row>
    <row r="982" ht="15" customHeight="1">
      <c r="A982" t="inlineStr">
        <is>
          <t>A 27677-2025</t>
        </is>
      </c>
      <c r="B982" s="1" t="n">
        <v>45813.63650462963</v>
      </c>
      <c r="C982" s="1" t="n">
        <v>46050</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39152-2025</t>
        </is>
      </c>
      <c r="B983" s="1" t="n">
        <v>45888</v>
      </c>
      <c r="C983" s="1" t="n">
        <v>46050</v>
      </c>
      <c r="D983" t="inlineStr">
        <is>
          <t>STOCKHOLMS LÄN</t>
        </is>
      </c>
      <c r="E983" t="inlineStr">
        <is>
          <t>NORRTÄLJE</t>
        </is>
      </c>
      <c r="G983" t="n">
        <v>4.6</v>
      </c>
      <c r="H983" t="n">
        <v>0</v>
      </c>
      <c r="I983" t="n">
        <v>0</v>
      </c>
      <c r="J983" t="n">
        <v>0</v>
      </c>
      <c r="K983" t="n">
        <v>0</v>
      </c>
      <c r="L983" t="n">
        <v>0</v>
      </c>
      <c r="M983" t="n">
        <v>0</v>
      </c>
      <c r="N983" t="n">
        <v>0</v>
      </c>
      <c r="O983" t="n">
        <v>0</v>
      </c>
      <c r="P983" t="n">
        <v>0</v>
      </c>
      <c r="Q983" t="n">
        <v>0</v>
      </c>
      <c r="R983" s="2" t="inlineStr"/>
    </row>
    <row r="984" ht="15" customHeight="1">
      <c r="A984" t="inlineStr">
        <is>
          <t>A 53561-2023</t>
        </is>
      </c>
      <c r="B984" s="1" t="n">
        <v>45224</v>
      </c>
      <c r="C984" s="1" t="n">
        <v>46050</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25984-2025</t>
        </is>
      </c>
      <c r="B985" s="1" t="n">
        <v>45804.64016203704</v>
      </c>
      <c r="C985" s="1" t="n">
        <v>46050</v>
      </c>
      <c r="D985" t="inlineStr">
        <is>
          <t>STOCKHOLMS LÄN</t>
        </is>
      </c>
      <c r="E985" t="inlineStr">
        <is>
          <t>VALLENTUNA</t>
        </is>
      </c>
      <c r="G985" t="n">
        <v>2.5</v>
      </c>
      <c r="H985" t="n">
        <v>0</v>
      </c>
      <c r="I985" t="n">
        <v>0</v>
      </c>
      <c r="J985" t="n">
        <v>0</v>
      </c>
      <c r="K985" t="n">
        <v>0</v>
      </c>
      <c r="L985" t="n">
        <v>0</v>
      </c>
      <c r="M985" t="n">
        <v>0</v>
      </c>
      <c r="N985" t="n">
        <v>0</v>
      </c>
      <c r="O985" t="n">
        <v>0</v>
      </c>
      <c r="P985" t="n">
        <v>0</v>
      </c>
      <c r="Q985" t="n">
        <v>0</v>
      </c>
      <c r="R985" s="2" t="inlineStr"/>
    </row>
    <row r="986" ht="15" customHeight="1">
      <c r="A986" t="inlineStr">
        <is>
          <t>A 51787-2021</t>
        </is>
      </c>
      <c r="B986" s="1" t="n">
        <v>44462</v>
      </c>
      <c r="C986" s="1" t="n">
        <v>46050</v>
      </c>
      <c r="D986" t="inlineStr">
        <is>
          <t>STOCKHOLMS LÄN</t>
        </is>
      </c>
      <c r="E986" t="inlineStr">
        <is>
          <t>NYKVARN</t>
        </is>
      </c>
      <c r="G986" t="n">
        <v>1.5</v>
      </c>
      <c r="H986" t="n">
        <v>0</v>
      </c>
      <c r="I986" t="n">
        <v>0</v>
      </c>
      <c r="J986" t="n">
        <v>0</v>
      </c>
      <c r="K986" t="n">
        <v>0</v>
      </c>
      <c r="L986" t="n">
        <v>0</v>
      </c>
      <c r="M986" t="n">
        <v>0</v>
      </c>
      <c r="N986" t="n">
        <v>0</v>
      </c>
      <c r="O986" t="n">
        <v>0</v>
      </c>
      <c r="P986" t="n">
        <v>0</v>
      </c>
      <c r="Q986" t="n">
        <v>0</v>
      </c>
      <c r="R986" s="2" t="inlineStr"/>
    </row>
    <row r="987" ht="15" customHeight="1">
      <c r="A987" t="inlineStr">
        <is>
          <t>A 41281-2021</t>
        </is>
      </c>
      <c r="B987" s="1" t="n">
        <v>44424</v>
      </c>
      <c r="C987" s="1" t="n">
        <v>46050</v>
      </c>
      <c r="D987" t="inlineStr">
        <is>
          <t>STOCKHOLMS LÄN</t>
        </is>
      </c>
      <c r="E987" t="inlineStr">
        <is>
          <t>NYNÄSHAMN</t>
        </is>
      </c>
      <c r="G987" t="n">
        <v>0.7</v>
      </c>
      <c r="H987" t="n">
        <v>0</v>
      </c>
      <c r="I987" t="n">
        <v>0</v>
      </c>
      <c r="J987" t="n">
        <v>0</v>
      </c>
      <c r="K987" t="n">
        <v>0</v>
      </c>
      <c r="L987" t="n">
        <v>0</v>
      </c>
      <c r="M987" t="n">
        <v>0</v>
      </c>
      <c r="N987" t="n">
        <v>0</v>
      </c>
      <c r="O987" t="n">
        <v>0</v>
      </c>
      <c r="P987" t="n">
        <v>0</v>
      </c>
      <c r="Q987" t="n">
        <v>0</v>
      </c>
      <c r="R987" s="2" t="inlineStr"/>
    </row>
    <row r="988" ht="15" customHeight="1">
      <c r="A988" t="inlineStr">
        <is>
          <t>A 37098-2021</t>
        </is>
      </c>
      <c r="B988" s="1" t="n">
        <v>44396</v>
      </c>
      <c r="C988" s="1" t="n">
        <v>46050</v>
      </c>
      <c r="D988" t="inlineStr">
        <is>
          <t>STOCKHOLMS LÄN</t>
        </is>
      </c>
      <c r="E988" t="inlineStr">
        <is>
          <t>NYNÄSHAMN</t>
        </is>
      </c>
      <c r="G988" t="n">
        <v>12.9</v>
      </c>
      <c r="H988" t="n">
        <v>0</v>
      </c>
      <c r="I988" t="n">
        <v>0</v>
      </c>
      <c r="J988" t="n">
        <v>0</v>
      </c>
      <c r="K988" t="n">
        <v>0</v>
      </c>
      <c r="L988" t="n">
        <v>0</v>
      </c>
      <c r="M988" t="n">
        <v>0</v>
      </c>
      <c r="N988" t="n">
        <v>0</v>
      </c>
      <c r="O988" t="n">
        <v>0</v>
      </c>
      <c r="P988" t="n">
        <v>0</v>
      </c>
      <c r="Q988" t="n">
        <v>0</v>
      </c>
      <c r="R988" s="2" t="inlineStr"/>
    </row>
    <row r="989" ht="15" customHeight="1">
      <c r="A989" t="inlineStr">
        <is>
          <t>A 58302-2022</t>
        </is>
      </c>
      <c r="B989" s="1" t="n">
        <v>44901</v>
      </c>
      <c r="C989" s="1" t="n">
        <v>46050</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26051-2025</t>
        </is>
      </c>
      <c r="B990" s="1" t="n">
        <v>45804.74479166666</v>
      </c>
      <c r="C990" s="1" t="n">
        <v>46050</v>
      </c>
      <c r="D990" t="inlineStr">
        <is>
          <t>STOCKHOLMS LÄN</t>
        </is>
      </c>
      <c r="E990" t="inlineStr">
        <is>
          <t>NORRTÄLJE</t>
        </is>
      </c>
      <c r="G990" t="n">
        <v>3.2</v>
      </c>
      <c r="H990" t="n">
        <v>0</v>
      </c>
      <c r="I990" t="n">
        <v>0</v>
      </c>
      <c r="J990" t="n">
        <v>0</v>
      </c>
      <c r="K990" t="n">
        <v>0</v>
      </c>
      <c r="L990" t="n">
        <v>0</v>
      </c>
      <c r="M990" t="n">
        <v>0</v>
      </c>
      <c r="N990" t="n">
        <v>0</v>
      </c>
      <c r="O990" t="n">
        <v>0</v>
      </c>
      <c r="P990" t="n">
        <v>0</v>
      </c>
      <c r="Q990" t="n">
        <v>0</v>
      </c>
      <c r="R990" s="2" t="inlineStr"/>
    </row>
    <row r="991" ht="15" customHeight="1">
      <c r="A991" t="inlineStr">
        <is>
          <t>A 39149-2025</t>
        </is>
      </c>
      <c r="B991" s="1" t="n">
        <v>45888.60714120371</v>
      </c>
      <c r="C991" s="1" t="n">
        <v>46050</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24967-2024</t>
        </is>
      </c>
      <c r="B992" s="1" t="n">
        <v>45461</v>
      </c>
      <c r="C992" s="1" t="n">
        <v>46050</v>
      </c>
      <c r="D992" t="inlineStr">
        <is>
          <t>STOCKHOLMS LÄN</t>
        </is>
      </c>
      <c r="E992" t="inlineStr">
        <is>
          <t>SIGTUNA</t>
        </is>
      </c>
      <c r="G992" t="n">
        <v>3.5</v>
      </c>
      <c r="H992" t="n">
        <v>0</v>
      </c>
      <c r="I992" t="n">
        <v>0</v>
      </c>
      <c r="J992" t="n">
        <v>0</v>
      </c>
      <c r="K992" t="n">
        <v>0</v>
      </c>
      <c r="L992" t="n">
        <v>0</v>
      </c>
      <c r="M992" t="n">
        <v>0</v>
      </c>
      <c r="N992" t="n">
        <v>0</v>
      </c>
      <c r="O992" t="n">
        <v>0</v>
      </c>
      <c r="P992" t="n">
        <v>0</v>
      </c>
      <c r="Q992" t="n">
        <v>0</v>
      </c>
      <c r="R992" s="2" t="inlineStr"/>
    </row>
    <row r="993" ht="15" customHeight="1">
      <c r="A993" t="inlineStr">
        <is>
          <t>A 7860-2024</t>
        </is>
      </c>
      <c r="B993" s="1" t="n">
        <v>45348</v>
      </c>
      <c r="C993" s="1" t="n">
        <v>46050</v>
      </c>
      <c r="D993" t="inlineStr">
        <is>
          <t>STOCKHOLMS LÄN</t>
        </is>
      </c>
      <c r="E993" t="inlineStr">
        <is>
          <t>UPPLANDS-BRO</t>
        </is>
      </c>
      <c r="F993" t="inlineStr">
        <is>
          <t>Övriga statliga verk och myndigheter</t>
        </is>
      </c>
      <c r="G993" t="n">
        <v>1.9</v>
      </c>
      <c r="H993" t="n">
        <v>0</v>
      </c>
      <c r="I993" t="n">
        <v>0</v>
      </c>
      <c r="J993" t="n">
        <v>0</v>
      </c>
      <c r="K993" t="n">
        <v>0</v>
      </c>
      <c r="L993" t="n">
        <v>0</v>
      </c>
      <c r="M993" t="n">
        <v>0</v>
      </c>
      <c r="N993" t="n">
        <v>0</v>
      </c>
      <c r="O993" t="n">
        <v>0</v>
      </c>
      <c r="P993" t="n">
        <v>0</v>
      </c>
      <c r="Q993" t="n">
        <v>0</v>
      </c>
      <c r="R993" s="2" t="inlineStr"/>
    </row>
    <row r="994" ht="15" customHeight="1">
      <c r="A994" t="inlineStr">
        <is>
          <t>A 38591-2023</t>
        </is>
      </c>
      <c r="B994" s="1" t="n">
        <v>45162</v>
      </c>
      <c r="C994" s="1" t="n">
        <v>46050</v>
      </c>
      <c r="D994" t="inlineStr">
        <is>
          <t>STOCKHOLMS LÄN</t>
        </is>
      </c>
      <c r="E994" t="inlineStr">
        <is>
          <t>NORRTÄLJE</t>
        </is>
      </c>
      <c r="F994" t="inlineStr">
        <is>
          <t>Övriga Aktiebolag</t>
        </is>
      </c>
      <c r="G994" t="n">
        <v>3.1</v>
      </c>
      <c r="H994" t="n">
        <v>0</v>
      </c>
      <c r="I994" t="n">
        <v>0</v>
      </c>
      <c r="J994" t="n">
        <v>0</v>
      </c>
      <c r="K994" t="n">
        <v>0</v>
      </c>
      <c r="L994" t="n">
        <v>0</v>
      </c>
      <c r="M994" t="n">
        <v>0</v>
      </c>
      <c r="N994" t="n">
        <v>0</v>
      </c>
      <c r="O994" t="n">
        <v>0</v>
      </c>
      <c r="P994" t="n">
        <v>0</v>
      </c>
      <c r="Q994" t="n">
        <v>0</v>
      </c>
      <c r="R994" s="2" t="inlineStr"/>
    </row>
    <row r="995" ht="15" customHeight="1">
      <c r="A995" t="inlineStr">
        <is>
          <t>A 30338-2022</t>
        </is>
      </c>
      <c r="B995" s="1" t="n">
        <v>44760</v>
      </c>
      <c r="C995" s="1" t="n">
        <v>46050</v>
      </c>
      <c r="D995" t="inlineStr">
        <is>
          <t>STOCKHOLMS LÄN</t>
        </is>
      </c>
      <c r="E995" t="inlineStr">
        <is>
          <t>NORRTÄLJE</t>
        </is>
      </c>
      <c r="G995" t="n">
        <v>0.3</v>
      </c>
      <c r="H995" t="n">
        <v>0</v>
      </c>
      <c r="I995" t="n">
        <v>0</v>
      </c>
      <c r="J995" t="n">
        <v>0</v>
      </c>
      <c r="K995" t="n">
        <v>0</v>
      </c>
      <c r="L995" t="n">
        <v>0</v>
      </c>
      <c r="M995" t="n">
        <v>0</v>
      </c>
      <c r="N995" t="n">
        <v>0</v>
      </c>
      <c r="O995" t="n">
        <v>0</v>
      </c>
      <c r="P995" t="n">
        <v>0</v>
      </c>
      <c r="Q995" t="n">
        <v>0</v>
      </c>
      <c r="R995" s="2" t="inlineStr"/>
    </row>
    <row r="996" ht="15" customHeight="1">
      <c r="A996" t="inlineStr">
        <is>
          <t>A 2888-2022</t>
        </is>
      </c>
      <c r="B996" s="1" t="n">
        <v>44581</v>
      </c>
      <c r="C996" s="1" t="n">
        <v>46050</v>
      </c>
      <c r="D996" t="inlineStr">
        <is>
          <t>STOCKHOLMS LÄN</t>
        </is>
      </c>
      <c r="E996" t="inlineStr">
        <is>
          <t>NORRTÄLJE</t>
        </is>
      </c>
      <c r="G996" t="n">
        <v>2.4</v>
      </c>
      <c r="H996" t="n">
        <v>0</v>
      </c>
      <c r="I996" t="n">
        <v>0</v>
      </c>
      <c r="J996" t="n">
        <v>0</v>
      </c>
      <c r="K996" t="n">
        <v>0</v>
      </c>
      <c r="L996" t="n">
        <v>0</v>
      </c>
      <c r="M996" t="n">
        <v>0</v>
      </c>
      <c r="N996" t="n">
        <v>0</v>
      </c>
      <c r="O996" t="n">
        <v>0</v>
      </c>
      <c r="P996" t="n">
        <v>0</v>
      </c>
      <c r="Q996" t="n">
        <v>0</v>
      </c>
      <c r="R996" s="2" t="inlineStr"/>
    </row>
    <row r="997" ht="15" customHeight="1">
      <c r="A997" t="inlineStr">
        <is>
          <t>A 7110-2025</t>
        </is>
      </c>
      <c r="B997" s="1" t="n">
        <v>45701</v>
      </c>
      <c r="C997" s="1" t="n">
        <v>46050</v>
      </c>
      <c r="D997" t="inlineStr">
        <is>
          <t>STOCKHOLMS LÄN</t>
        </is>
      </c>
      <c r="E997" t="inlineStr">
        <is>
          <t>UPPLANDS-BRO</t>
        </is>
      </c>
      <c r="F997" t="inlineStr">
        <is>
          <t>Övriga statliga verk och myndigheter</t>
        </is>
      </c>
      <c r="G997" t="n">
        <v>17.3</v>
      </c>
      <c r="H997" t="n">
        <v>0</v>
      </c>
      <c r="I997" t="n">
        <v>0</v>
      </c>
      <c r="J997" t="n">
        <v>0</v>
      </c>
      <c r="K997" t="n">
        <v>0</v>
      </c>
      <c r="L997" t="n">
        <v>0</v>
      </c>
      <c r="M997" t="n">
        <v>0</v>
      </c>
      <c r="N997" t="n">
        <v>0</v>
      </c>
      <c r="O997" t="n">
        <v>0</v>
      </c>
      <c r="P997" t="n">
        <v>0</v>
      </c>
      <c r="Q997" t="n">
        <v>0</v>
      </c>
      <c r="R997" s="2" t="inlineStr"/>
    </row>
    <row r="998" ht="15" customHeight="1">
      <c r="A998" t="inlineStr">
        <is>
          <t>A 52686-2024</t>
        </is>
      </c>
      <c r="B998" s="1" t="n">
        <v>45610.39271990741</v>
      </c>
      <c r="C998" s="1" t="n">
        <v>46050</v>
      </c>
      <c r="D998" t="inlineStr">
        <is>
          <t>STOCKHOLMS LÄN</t>
        </is>
      </c>
      <c r="E998" t="inlineStr">
        <is>
          <t>NORRTÄLJE</t>
        </is>
      </c>
      <c r="G998" t="n">
        <v>5.7</v>
      </c>
      <c r="H998" t="n">
        <v>0</v>
      </c>
      <c r="I998" t="n">
        <v>0</v>
      </c>
      <c r="J998" t="n">
        <v>0</v>
      </c>
      <c r="K998" t="n">
        <v>0</v>
      </c>
      <c r="L998" t="n">
        <v>0</v>
      </c>
      <c r="M998" t="n">
        <v>0</v>
      </c>
      <c r="N998" t="n">
        <v>0</v>
      </c>
      <c r="O998" t="n">
        <v>0</v>
      </c>
      <c r="P998" t="n">
        <v>0</v>
      </c>
      <c r="Q998" t="n">
        <v>0</v>
      </c>
      <c r="R998" s="2" t="inlineStr"/>
    </row>
    <row r="999" ht="15" customHeight="1">
      <c r="A999" t="inlineStr">
        <is>
          <t>A 20343-2024</t>
        </is>
      </c>
      <c r="B999" s="1" t="n">
        <v>45435.43466435185</v>
      </c>
      <c r="C999" s="1" t="n">
        <v>46050</v>
      </c>
      <c r="D999" t="inlineStr">
        <is>
          <t>STOCKHOLMS LÄN</t>
        </is>
      </c>
      <c r="E999" t="inlineStr">
        <is>
          <t>NORRTÄLJE</t>
        </is>
      </c>
      <c r="G999" t="n">
        <v>2.8</v>
      </c>
      <c r="H999" t="n">
        <v>0</v>
      </c>
      <c r="I999" t="n">
        <v>0</v>
      </c>
      <c r="J999" t="n">
        <v>0</v>
      </c>
      <c r="K999" t="n">
        <v>0</v>
      </c>
      <c r="L999" t="n">
        <v>0</v>
      </c>
      <c r="M999" t="n">
        <v>0</v>
      </c>
      <c r="N999" t="n">
        <v>0</v>
      </c>
      <c r="O999" t="n">
        <v>0</v>
      </c>
      <c r="P999" t="n">
        <v>0</v>
      </c>
      <c r="Q999" t="n">
        <v>0</v>
      </c>
      <c r="R999" s="2" t="inlineStr"/>
    </row>
    <row r="1000" ht="15" customHeight="1">
      <c r="A1000" t="inlineStr">
        <is>
          <t>A 20345-2024</t>
        </is>
      </c>
      <c r="B1000" s="1" t="n">
        <v>45435.43820601852</v>
      </c>
      <c r="C1000" s="1" t="n">
        <v>46050</v>
      </c>
      <c r="D1000" t="inlineStr">
        <is>
          <t>STOCKHOLMS LÄN</t>
        </is>
      </c>
      <c r="E1000" t="inlineStr">
        <is>
          <t>NORRTÄLJE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9765-2024</t>
        </is>
      </c>
      <c r="B1001" s="1" t="n">
        <v>45362.62811342593</v>
      </c>
      <c r="C1001" s="1" t="n">
        <v>46050</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39692-2025</t>
        </is>
      </c>
      <c r="B1002" s="1" t="n">
        <v>45890.68083333333</v>
      </c>
      <c r="C1002" s="1" t="n">
        <v>46050</v>
      </c>
      <c r="D1002" t="inlineStr">
        <is>
          <t>STOCKHOLMS LÄN</t>
        </is>
      </c>
      <c r="E1002" t="inlineStr">
        <is>
          <t>NORRTÄLJE</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26501-2024</t>
        </is>
      </c>
      <c r="B1003" s="1" t="n">
        <v>45469</v>
      </c>
      <c r="C1003" s="1" t="n">
        <v>46050</v>
      </c>
      <c r="D1003" t="inlineStr">
        <is>
          <t>STOCKHOLMS LÄN</t>
        </is>
      </c>
      <c r="E1003" t="inlineStr">
        <is>
          <t>NYNÄSHAMN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59875-2024</t>
        </is>
      </c>
      <c r="B1004" s="1" t="n">
        <v>45640.58716435185</v>
      </c>
      <c r="C1004" s="1" t="n">
        <v>46050</v>
      </c>
      <c r="D1004" t="inlineStr">
        <is>
          <t>STOCKHOLMS LÄN</t>
        </is>
      </c>
      <c r="E1004" t="inlineStr">
        <is>
          <t>NORRTÄLJE</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61742-2022</t>
        </is>
      </c>
      <c r="B1005" s="1" t="n">
        <v>44917</v>
      </c>
      <c r="C1005" s="1" t="n">
        <v>46050</v>
      </c>
      <c r="D1005" t="inlineStr">
        <is>
          <t>STOCKHOLMS LÄN</t>
        </is>
      </c>
      <c r="E1005" t="inlineStr">
        <is>
          <t>VALLENTUNA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26708-2025</t>
        </is>
      </c>
      <c r="B1006" s="1" t="n">
        <v>45810.45633101852</v>
      </c>
      <c r="C1006" s="1" t="n">
        <v>46050</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11-2024</t>
        </is>
      </c>
      <c r="B1007" s="1" t="n">
        <v>45293</v>
      </c>
      <c r="C1007" s="1" t="n">
        <v>46050</v>
      </c>
      <c r="D1007" t="inlineStr">
        <is>
          <t>STOCKHOLMS LÄN</t>
        </is>
      </c>
      <c r="E1007" t="inlineStr">
        <is>
          <t>NORRTÄLJE</t>
        </is>
      </c>
      <c r="F1007" t="inlineStr">
        <is>
          <t>Sveaskog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35639-2025</t>
        </is>
      </c>
      <c r="B1008" s="1" t="n">
        <v>45859</v>
      </c>
      <c r="C1008" s="1" t="n">
        <v>46050</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14559-2024</t>
        </is>
      </c>
      <c r="B1009" s="1" t="n">
        <v>45394.72869212963</v>
      </c>
      <c r="C1009" s="1" t="n">
        <v>46050</v>
      </c>
      <c r="D1009" t="inlineStr">
        <is>
          <t>STOCKHOLMS LÄN</t>
        </is>
      </c>
      <c r="E1009" t="inlineStr">
        <is>
          <t>NORRTÄLJE</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22288-2023</t>
        </is>
      </c>
      <c r="B1010" s="1" t="n">
        <v>45070</v>
      </c>
      <c r="C1010" s="1" t="n">
        <v>46050</v>
      </c>
      <c r="D1010" t="inlineStr">
        <is>
          <t>STOCKHOLMS LÄN</t>
        </is>
      </c>
      <c r="E1010" t="inlineStr">
        <is>
          <t>HANINGE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8433-2022</t>
        </is>
      </c>
      <c r="B1011" s="1" t="n">
        <v>44611</v>
      </c>
      <c r="C1011" s="1" t="n">
        <v>46050</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26702-2025</t>
        </is>
      </c>
      <c r="B1012" s="1" t="n">
        <v>45810.45236111111</v>
      </c>
      <c r="C1012" s="1" t="n">
        <v>46050</v>
      </c>
      <c r="D1012" t="inlineStr">
        <is>
          <t>STOCKHOLMS LÄN</t>
        </is>
      </c>
      <c r="E1012" t="inlineStr">
        <is>
          <t>NORRTÄLJE</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862-2022</t>
        </is>
      </c>
      <c r="B1013" s="1" t="n">
        <v>44571</v>
      </c>
      <c r="C1013" s="1" t="n">
        <v>46050</v>
      </c>
      <c r="D1013" t="inlineStr">
        <is>
          <t>STOCKHOLMS LÄN</t>
        </is>
      </c>
      <c r="E1013" t="inlineStr">
        <is>
          <t>SIGTUNA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26763-2025</t>
        </is>
      </c>
      <c r="B1014" s="1" t="n">
        <v>45810.56418981482</v>
      </c>
      <c r="C1014" s="1" t="n">
        <v>46050</v>
      </c>
      <c r="D1014" t="inlineStr">
        <is>
          <t>STOCKHOLMS LÄN</t>
        </is>
      </c>
      <c r="E1014" t="inlineStr">
        <is>
          <t>NYKVARN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39924-2025</t>
        </is>
      </c>
      <c r="B1015" s="1" t="n">
        <v>45891</v>
      </c>
      <c r="C1015" s="1" t="n">
        <v>46050</v>
      </c>
      <c r="D1015" t="inlineStr">
        <is>
          <t>STOCKHOLMS LÄN</t>
        </is>
      </c>
      <c r="E1015" t="inlineStr">
        <is>
          <t>VAXHOLM</t>
        </is>
      </c>
      <c r="F1015" t="inlineStr">
        <is>
          <t>Övriga statliga verk och myndigheter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39928-2025</t>
        </is>
      </c>
      <c r="B1016" s="1" t="n">
        <v>45891</v>
      </c>
      <c r="C1016" s="1" t="n">
        <v>46050</v>
      </c>
      <c r="D1016" t="inlineStr">
        <is>
          <t>STOCKHOLMS LÄN</t>
        </is>
      </c>
      <c r="E1016" t="inlineStr">
        <is>
          <t>VAXHOLM</t>
        </is>
      </c>
      <c r="F1016" t="inlineStr">
        <is>
          <t>Övriga statliga verk och myndigheter</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25525-2022</t>
        </is>
      </c>
      <c r="B1017" s="1" t="n">
        <v>44732</v>
      </c>
      <c r="C1017" s="1" t="n">
        <v>46050</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26600-2025</t>
        </is>
      </c>
      <c r="B1018" s="1" t="n">
        <v>45808.54792824074</v>
      </c>
      <c r="C1018" s="1" t="n">
        <v>46050</v>
      </c>
      <c r="D1018" t="inlineStr">
        <is>
          <t>STOCKHOLMS LÄN</t>
        </is>
      </c>
      <c r="E1018" t="inlineStr">
        <is>
          <t>EKERÖ</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12302-2025</t>
        </is>
      </c>
      <c r="B1019" s="1" t="n">
        <v>45729.72851851852</v>
      </c>
      <c r="C1019" s="1" t="n">
        <v>46050</v>
      </c>
      <c r="D1019" t="inlineStr">
        <is>
          <t>STOCKHOLMS LÄN</t>
        </is>
      </c>
      <c r="E1019" t="inlineStr">
        <is>
          <t>NORRTÄLJE</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23061-2025</t>
        </is>
      </c>
      <c r="B1020" s="1" t="n">
        <v>45790.81410879629</v>
      </c>
      <c r="C1020" s="1" t="n">
        <v>46050</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35636-2025</t>
        </is>
      </c>
      <c r="B1021" s="1" t="n">
        <v>45859</v>
      </c>
      <c r="C1021" s="1" t="n">
        <v>46050</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27040-2025</t>
        </is>
      </c>
      <c r="B1022" s="1" t="n">
        <v>45811.60451388889</v>
      </c>
      <c r="C1022" s="1" t="n">
        <v>46050</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40001-2025</t>
        </is>
      </c>
      <c r="B1023" s="1" t="n">
        <v>45891</v>
      </c>
      <c r="C1023" s="1" t="n">
        <v>46050</v>
      </c>
      <c r="D1023" t="inlineStr">
        <is>
          <t>STOCKHOLMS LÄN</t>
        </is>
      </c>
      <c r="E1023" t="inlineStr">
        <is>
          <t>VAXHOLM</t>
        </is>
      </c>
      <c r="F1023" t="inlineStr">
        <is>
          <t>Övriga statliga verk och myndigheter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26747-2025</t>
        </is>
      </c>
      <c r="B1024" s="1" t="n">
        <v>45810.5333912037</v>
      </c>
      <c r="C1024" s="1" t="n">
        <v>46050</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38889-2024</t>
        </is>
      </c>
      <c r="B1025" s="1" t="n">
        <v>45547</v>
      </c>
      <c r="C1025" s="1" t="n">
        <v>46050</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45451-2024</t>
        </is>
      </c>
      <c r="B1026" s="1" t="n">
        <v>45576</v>
      </c>
      <c r="C1026" s="1" t="n">
        <v>46050</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40172-2025</t>
        </is>
      </c>
      <c r="B1027" s="1" t="n">
        <v>45894.6353125</v>
      </c>
      <c r="C1027" s="1" t="n">
        <v>46050</v>
      </c>
      <c r="D1027" t="inlineStr">
        <is>
          <t>STOCKHOLMS LÄN</t>
        </is>
      </c>
      <c r="E1027" t="inlineStr">
        <is>
          <t>NORRTÄLJE</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40033-2025</t>
        </is>
      </c>
      <c r="B1028" s="1" t="n">
        <v>45893</v>
      </c>
      <c r="C1028" s="1" t="n">
        <v>46050</v>
      </c>
      <c r="D1028" t="inlineStr">
        <is>
          <t>STOCKHOLMS LÄN</t>
        </is>
      </c>
      <c r="E1028" t="inlineStr">
        <is>
          <t>NORRTÄLJE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26755-2025</t>
        </is>
      </c>
      <c r="B1029" s="1" t="n">
        <v>45810.55623842592</v>
      </c>
      <c r="C1029" s="1" t="n">
        <v>46050</v>
      </c>
      <c r="D1029" t="inlineStr">
        <is>
          <t>STOCKHOLMS LÄN</t>
        </is>
      </c>
      <c r="E1029" t="inlineStr">
        <is>
          <t>NYKVARN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40032-2025</t>
        </is>
      </c>
      <c r="B1030" s="1" t="n">
        <v>45893</v>
      </c>
      <c r="C1030" s="1" t="n">
        <v>46050</v>
      </c>
      <c r="D1030" t="inlineStr">
        <is>
          <t>STOCKHOLMS LÄN</t>
        </is>
      </c>
      <c r="E1030" t="inlineStr">
        <is>
          <t>NORRTÄLJE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40292-2025</t>
        </is>
      </c>
      <c r="B1031" s="1" t="n">
        <v>45895.3867824074</v>
      </c>
      <c r="C1031" s="1" t="n">
        <v>46050</v>
      </c>
      <c r="D1031" t="inlineStr">
        <is>
          <t>STOCKHOLMS LÄN</t>
        </is>
      </c>
      <c r="E1031" t="inlineStr">
        <is>
          <t>NORRTÄLJE</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40294-2025</t>
        </is>
      </c>
      <c r="B1032" s="1" t="n">
        <v>45895.38778935185</v>
      </c>
      <c r="C1032" s="1" t="n">
        <v>46050</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12378-2025</t>
        </is>
      </c>
      <c r="B1033" s="1" t="n">
        <v>45730.38032407407</v>
      </c>
      <c r="C1033" s="1" t="n">
        <v>46050</v>
      </c>
      <c r="D1033" t="inlineStr">
        <is>
          <t>STOCKHOLMS LÄN</t>
        </is>
      </c>
      <c r="E1033" t="inlineStr">
        <is>
          <t>UPPLANDS-BRO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41693-2022</t>
        </is>
      </c>
      <c r="B1034" s="1" t="n">
        <v>44827</v>
      </c>
      <c r="C1034" s="1" t="n">
        <v>46050</v>
      </c>
      <c r="D1034" t="inlineStr">
        <is>
          <t>STOCKHOLMS LÄN</t>
        </is>
      </c>
      <c r="E1034" t="inlineStr">
        <is>
          <t>SIGTUNA</t>
        </is>
      </c>
      <c r="F1034" t="inlineStr">
        <is>
          <t>Allmännings- och besparingsskogar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40228-2025</t>
        </is>
      </c>
      <c r="B1035" s="1" t="n">
        <v>45894.70854166667</v>
      </c>
      <c r="C1035" s="1" t="n">
        <v>46050</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26675-2025</t>
        </is>
      </c>
      <c r="B1036" s="1" t="n">
        <v>45810.42393518519</v>
      </c>
      <c r="C1036" s="1" t="n">
        <v>46050</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1071-2023</t>
        </is>
      </c>
      <c r="B1037" s="1" t="n">
        <v>44935</v>
      </c>
      <c r="C1037" s="1" t="n">
        <v>46050</v>
      </c>
      <c r="D1037" t="inlineStr">
        <is>
          <t>STOCKHOLMS LÄN</t>
        </is>
      </c>
      <c r="E1037" t="inlineStr">
        <is>
          <t>SALEM</t>
        </is>
      </c>
      <c r="F1037" t="inlineStr">
        <is>
          <t>Kommuner</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9020-2023</t>
        </is>
      </c>
      <c r="B1038" s="1" t="n">
        <v>44979</v>
      </c>
      <c r="C1038" s="1" t="n">
        <v>46050</v>
      </c>
      <c r="D1038" t="inlineStr">
        <is>
          <t>STOCKHOLMS LÄN</t>
        </is>
      </c>
      <c r="E1038" t="inlineStr">
        <is>
          <t>NYNÄSHAMN</t>
        </is>
      </c>
      <c r="F1038" t="inlineStr">
        <is>
          <t>Kommuner</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18848-2024</t>
        </is>
      </c>
      <c r="B1039" s="1" t="n">
        <v>45426.68278935185</v>
      </c>
      <c r="C1039" s="1" t="n">
        <v>46050</v>
      </c>
      <c r="D1039" t="inlineStr">
        <is>
          <t>STOCKHOLMS LÄN</t>
        </is>
      </c>
      <c r="E1039" t="inlineStr">
        <is>
          <t>NYKVARN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40230-2025</t>
        </is>
      </c>
      <c r="B1040" s="1" t="n">
        <v>45894.71101851852</v>
      </c>
      <c r="C1040" s="1" t="n">
        <v>46050</v>
      </c>
      <c r="D1040" t="inlineStr">
        <is>
          <t>STOCKHOLMS LÄN</t>
        </is>
      </c>
      <c r="E1040" t="inlineStr">
        <is>
          <t>NORRTÄLJE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27554-2025</t>
        </is>
      </c>
      <c r="B1041" s="1" t="n">
        <v>45813.4709375</v>
      </c>
      <c r="C1041" s="1" t="n">
        <v>46050</v>
      </c>
      <c r="D1041" t="inlineStr">
        <is>
          <t>STOCKHOLMS LÄN</t>
        </is>
      </c>
      <c r="E1041" t="inlineStr">
        <is>
          <t>NORRTÄLJE</t>
        </is>
      </c>
      <c r="F1041" t="inlineStr">
        <is>
          <t>Övriga Aktiebolag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27561-2025</t>
        </is>
      </c>
      <c r="B1042" s="1" t="n">
        <v>45813.48378472222</v>
      </c>
      <c r="C1042" s="1" t="n">
        <v>46050</v>
      </c>
      <c r="D1042" t="inlineStr">
        <is>
          <t>STOCKHOLMS LÄN</t>
        </is>
      </c>
      <c r="E1042" t="inlineStr">
        <is>
          <t>HUDDINGE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40217-2025</t>
        </is>
      </c>
      <c r="B1043" s="1" t="n">
        <v>45894.68864583333</v>
      </c>
      <c r="C1043" s="1" t="n">
        <v>46050</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40097-2025</t>
        </is>
      </c>
      <c r="B1044" s="1" t="n">
        <v>45894.48322916667</v>
      </c>
      <c r="C1044" s="1" t="n">
        <v>46050</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40829-2025</t>
        </is>
      </c>
      <c r="B1045" s="1" t="n">
        <v>45897.50802083333</v>
      </c>
      <c r="C1045" s="1" t="n">
        <v>46050</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27589-2025</t>
        </is>
      </c>
      <c r="B1046" s="1" t="n">
        <v>45813.51070601852</v>
      </c>
      <c r="C1046" s="1" t="n">
        <v>46050</v>
      </c>
      <c r="D1046" t="inlineStr">
        <is>
          <t>STOCKHOLMS LÄN</t>
        </is>
      </c>
      <c r="E1046" t="inlineStr">
        <is>
          <t>HUDDINGE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27596-2025</t>
        </is>
      </c>
      <c r="B1047" s="1" t="n">
        <v>45813.52303240741</v>
      </c>
      <c r="C1047" s="1" t="n">
        <v>46050</v>
      </c>
      <c r="D1047" t="inlineStr">
        <is>
          <t>STOCKHOLMS LÄN</t>
        </is>
      </c>
      <c r="E1047" t="inlineStr">
        <is>
          <t>HANINGE</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40837-2025</t>
        </is>
      </c>
      <c r="B1048" s="1" t="n">
        <v>45897.51328703704</v>
      </c>
      <c r="C1048" s="1" t="n">
        <v>46050</v>
      </c>
      <c r="D1048" t="inlineStr">
        <is>
          <t>STOCKHOLMS LÄN</t>
        </is>
      </c>
      <c r="E1048" t="inlineStr">
        <is>
          <t>NORRTÄLJE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27137-2025</t>
        </is>
      </c>
      <c r="B1049" s="1" t="n">
        <v>45811.95890046296</v>
      </c>
      <c r="C1049" s="1" t="n">
        <v>46050</v>
      </c>
      <c r="D1049" t="inlineStr">
        <is>
          <t>STOCKHOLMS LÄN</t>
        </is>
      </c>
      <c r="E1049" t="inlineStr">
        <is>
          <t>ÖSTERÅKER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40529-2025</t>
        </is>
      </c>
      <c r="B1050" s="1" t="n">
        <v>45896.38466435186</v>
      </c>
      <c r="C1050" s="1" t="n">
        <v>46050</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40831-2025</t>
        </is>
      </c>
      <c r="B1051" s="1" t="n">
        <v>45897.51077546296</v>
      </c>
      <c r="C1051" s="1" t="n">
        <v>46050</v>
      </c>
      <c r="D1051" t="inlineStr">
        <is>
          <t>STOCKHOLMS LÄN</t>
        </is>
      </c>
      <c r="E1051" t="inlineStr">
        <is>
          <t>NORRTÄLJE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26644-2024</t>
        </is>
      </c>
      <c r="B1052" s="1" t="n">
        <v>45469</v>
      </c>
      <c r="C1052" s="1" t="n">
        <v>46050</v>
      </c>
      <c r="D1052" t="inlineStr">
        <is>
          <t>STOCKHOLMS LÄN</t>
        </is>
      </c>
      <c r="E1052" t="inlineStr">
        <is>
          <t>NORRTÄLJE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53307-2023</t>
        </is>
      </c>
      <c r="B1053" s="1" t="n">
        <v>45229</v>
      </c>
      <c r="C1053" s="1" t="n">
        <v>46050</v>
      </c>
      <c r="D1053" t="inlineStr">
        <is>
          <t>STOCKHOLMS LÄN</t>
        </is>
      </c>
      <c r="E1053" t="inlineStr">
        <is>
          <t>NYKVARN</t>
        </is>
      </c>
      <c r="F1053" t="inlineStr">
        <is>
          <t>Kyrkan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27700-2025</t>
        </is>
      </c>
      <c r="B1054" s="1" t="n">
        <v>45813.6799537037</v>
      </c>
      <c r="C1054" s="1" t="n">
        <v>46050</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38595-2021</t>
        </is>
      </c>
      <c r="B1055" s="1" t="n">
        <v>44407</v>
      </c>
      <c r="C1055" s="1" t="n">
        <v>46050</v>
      </c>
      <c r="D1055" t="inlineStr">
        <is>
          <t>STOCKHOLMS LÄN</t>
        </is>
      </c>
      <c r="E1055" t="inlineStr">
        <is>
          <t>HANINGE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15905-2022</t>
        </is>
      </c>
      <c r="B1056" s="1" t="n">
        <v>44664</v>
      </c>
      <c r="C1056" s="1" t="n">
        <v>46050</v>
      </c>
      <c r="D1056" t="inlineStr">
        <is>
          <t>STOCKHOLMS LÄN</t>
        </is>
      </c>
      <c r="E1056" t="inlineStr">
        <is>
          <t>BOTKYRKA</t>
        </is>
      </c>
      <c r="G1056" t="n">
        <v>11.2</v>
      </c>
      <c r="H1056" t="n">
        <v>0</v>
      </c>
      <c r="I1056" t="n">
        <v>0</v>
      </c>
      <c r="J1056" t="n">
        <v>0</v>
      </c>
      <c r="K1056" t="n">
        <v>0</v>
      </c>
      <c r="L1056" t="n">
        <v>0</v>
      </c>
      <c r="M1056" t="n">
        <v>0</v>
      </c>
      <c r="N1056" t="n">
        <v>0</v>
      </c>
      <c r="O1056" t="n">
        <v>0</v>
      </c>
      <c r="P1056" t="n">
        <v>0</v>
      </c>
      <c r="Q1056" t="n">
        <v>0</v>
      </c>
      <c r="R1056" s="2" t="inlineStr"/>
    </row>
    <row r="1057" ht="15" customHeight="1">
      <c r="A1057" t="inlineStr">
        <is>
          <t>A 27697-2025</t>
        </is>
      </c>
      <c r="B1057" s="1" t="n">
        <v>45813.66961805556</v>
      </c>
      <c r="C1057" s="1" t="n">
        <v>46050</v>
      </c>
      <c r="D1057" t="inlineStr">
        <is>
          <t>STOCKHOLMS LÄN</t>
        </is>
      </c>
      <c r="E1057" t="inlineStr">
        <is>
          <t>NORRTÄLJE</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2982-2023</t>
        </is>
      </c>
      <c r="B1058" s="1" t="n">
        <v>44945.67409722223</v>
      </c>
      <c r="C1058" s="1" t="n">
        <v>46050</v>
      </c>
      <c r="D1058" t="inlineStr">
        <is>
          <t>STOCKHOLMS LÄN</t>
        </is>
      </c>
      <c r="E1058" t="inlineStr">
        <is>
          <t>NORRTÄLJE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27802-2025</t>
        </is>
      </c>
      <c r="B1059" s="1" t="n">
        <v>45817.2565625</v>
      </c>
      <c r="C1059" s="1" t="n">
        <v>46050</v>
      </c>
      <c r="D1059" t="inlineStr">
        <is>
          <t>STOCKHOLMS LÄN</t>
        </is>
      </c>
      <c r="E1059" t="inlineStr">
        <is>
          <t>NORRTÄLJE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27806-2025</t>
        </is>
      </c>
      <c r="B1060" s="1" t="n">
        <v>45817.30329861111</v>
      </c>
      <c r="C1060" s="1" t="n">
        <v>46050</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27808-2025</t>
        </is>
      </c>
      <c r="B1061" s="1" t="n">
        <v>45817.31085648148</v>
      </c>
      <c r="C1061" s="1" t="n">
        <v>46050</v>
      </c>
      <c r="D1061" t="inlineStr">
        <is>
          <t>STOCKHOLMS LÄN</t>
        </is>
      </c>
      <c r="E1061" t="inlineStr">
        <is>
          <t>NORRTÄLJE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27810-2025</t>
        </is>
      </c>
      <c r="B1062" s="1" t="n">
        <v>45817.31708333334</v>
      </c>
      <c r="C1062" s="1" t="n">
        <v>46050</v>
      </c>
      <c r="D1062" t="inlineStr">
        <is>
          <t>STOCKHOLMS LÄN</t>
        </is>
      </c>
      <c r="E1062" t="inlineStr">
        <is>
          <t>NORRTÄLJE</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27811-2025</t>
        </is>
      </c>
      <c r="B1063" s="1" t="n">
        <v>45817.31986111111</v>
      </c>
      <c r="C1063" s="1" t="n">
        <v>46050</v>
      </c>
      <c r="D1063" t="inlineStr">
        <is>
          <t>STOCKHOLMS LÄN</t>
        </is>
      </c>
      <c r="E1063" t="inlineStr">
        <is>
          <t>NORRTÄLJE</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27818-2025</t>
        </is>
      </c>
      <c r="B1064" s="1" t="n">
        <v>45817.33503472222</v>
      </c>
      <c r="C1064" s="1" t="n">
        <v>46050</v>
      </c>
      <c r="D1064" t="inlineStr">
        <is>
          <t>STOCKHOLMS LÄN</t>
        </is>
      </c>
      <c r="E1064" t="inlineStr">
        <is>
          <t>NORRTÄLJE</t>
        </is>
      </c>
      <c r="F1064" t="inlineStr">
        <is>
          <t>Sveaskog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12535-2025</t>
        </is>
      </c>
      <c r="B1065" s="1" t="n">
        <v>45730.69502314815</v>
      </c>
      <c r="C1065" s="1" t="n">
        <v>46050</v>
      </c>
      <c r="D1065" t="inlineStr">
        <is>
          <t>STOCKHOLMS LÄN</t>
        </is>
      </c>
      <c r="E1065" t="inlineStr">
        <is>
          <t>NORRTÄLJE</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27948-2025</t>
        </is>
      </c>
      <c r="B1066" s="1" t="n">
        <v>45817.52460648148</v>
      </c>
      <c r="C1066" s="1" t="n">
        <v>46050</v>
      </c>
      <c r="D1066" t="inlineStr">
        <is>
          <t>STOCKHOLMS LÄN</t>
        </is>
      </c>
      <c r="E1066" t="inlineStr">
        <is>
          <t>ÖSTERÅKER</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16483-2023</t>
        </is>
      </c>
      <c r="B1067" s="1" t="n">
        <v>45029</v>
      </c>
      <c r="C1067" s="1" t="n">
        <v>46050</v>
      </c>
      <c r="D1067" t="inlineStr">
        <is>
          <t>STOCKHOLMS LÄN</t>
        </is>
      </c>
      <c r="E1067" t="inlineStr">
        <is>
          <t>BOTKYRKA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27801-2025</t>
        </is>
      </c>
      <c r="B1068" s="1" t="n">
        <v>45817.25471064815</v>
      </c>
      <c r="C1068" s="1" t="n">
        <v>46050</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37136-2023</t>
        </is>
      </c>
      <c r="B1069" s="1" t="n">
        <v>45155</v>
      </c>
      <c r="C1069" s="1" t="n">
        <v>46050</v>
      </c>
      <c r="D1069" t="inlineStr">
        <is>
          <t>STOCKHOLMS LÄN</t>
        </is>
      </c>
      <c r="E1069" t="inlineStr">
        <is>
          <t>NORRTÄLJE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41158-2025</t>
        </is>
      </c>
      <c r="B1070" s="1" t="n">
        <v>45898.5315625</v>
      </c>
      <c r="C1070" s="1" t="n">
        <v>46050</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15733-2025</t>
        </is>
      </c>
      <c r="B1071" s="1" t="n">
        <v>45748</v>
      </c>
      <c r="C1071" s="1" t="n">
        <v>46050</v>
      </c>
      <c r="D1071" t="inlineStr">
        <is>
          <t>STOCKHOLMS LÄN</t>
        </is>
      </c>
      <c r="E1071" t="inlineStr">
        <is>
          <t>NORRTÄLJE</t>
        </is>
      </c>
      <c r="G1071" t="n">
        <v>13.3</v>
      </c>
      <c r="H1071" t="n">
        <v>0</v>
      </c>
      <c r="I1071" t="n">
        <v>0</v>
      </c>
      <c r="J1071" t="n">
        <v>0</v>
      </c>
      <c r="K1071" t="n">
        <v>0</v>
      </c>
      <c r="L1071" t="n">
        <v>0</v>
      </c>
      <c r="M1071" t="n">
        <v>0</v>
      </c>
      <c r="N1071" t="n">
        <v>0</v>
      </c>
      <c r="O1071" t="n">
        <v>0</v>
      </c>
      <c r="P1071" t="n">
        <v>0</v>
      </c>
      <c r="Q1071" t="n">
        <v>0</v>
      </c>
      <c r="R1071" s="2" t="inlineStr"/>
    </row>
    <row r="1072" ht="15" customHeight="1">
      <c r="A1072" t="inlineStr">
        <is>
          <t>A 27803-2025</t>
        </is>
      </c>
      <c r="B1072" s="1" t="n">
        <v>45817.291875</v>
      </c>
      <c r="C1072" s="1" t="n">
        <v>46050</v>
      </c>
      <c r="D1072" t="inlineStr">
        <is>
          <t>STOCKHOLMS LÄN</t>
        </is>
      </c>
      <c r="E1072" t="inlineStr">
        <is>
          <t>NORRTÄLJE</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27813-2025</t>
        </is>
      </c>
      <c r="B1073" s="1" t="n">
        <v>45817.32538194444</v>
      </c>
      <c r="C1073" s="1" t="n">
        <v>46050</v>
      </c>
      <c r="D1073" t="inlineStr">
        <is>
          <t>STOCKHOLMS LÄN</t>
        </is>
      </c>
      <c r="E1073" t="inlineStr">
        <is>
          <t>NORRTÄLJE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18787-2022</t>
        </is>
      </c>
      <c r="B1074" s="1" t="n">
        <v>44687</v>
      </c>
      <c r="C1074" s="1" t="n">
        <v>46050</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13718-2022</t>
        </is>
      </c>
      <c r="B1075" s="1" t="n">
        <v>44649</v>
      </c>
      <c r="C1075" s="1" t="n">
        <v>46050</v>
      </c>
      <c r="D1075" t="inlineStr">
        <is>
          <t>STOCKHOLMS LÄN</t>
        </is>
      </c>
      <c r="E1075" t="inlineStr">
        <is>
          <t>NORRTÄLJE</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19058-2024</t>
        </is>
      </c>
      <c r="B1076" s="1" t="n">
        <v>45427.89121527778</v>
      </c>
      <c r="C1076" s="1" t="n">
        <v>46050</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27821-2025</t>
        </is>
      </c>
      <c r="B1077" s="1" t="n">
        <v>45817.34083333334</v>
      </c>
      <c r="C1077" s="1" t="n">
        <v>46050</v>
      </c>
      <c r="D1077" t="inlineStr">
        <is>
          <t>STOCKHOLMS LÄN</t>
        </is>
      </c>
      <c r="E1077" t="inlineStr">
        <is>
          <t>NORRTÄLJE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25621-2022</t>
        </is>
      </c>
      <c r="B1078" s="1" t="n">
        <v>44732</v>
      </c>
      <c r="C1078" s="1" t="n">
        <v>46050</v>
      </c>
      <c r="D1078" t="inlineStr">
        <is>
          <t>STOCKHOLMS LÄN</t>
        </is>
      </c>
      <c r="E1078" t="inlineStr">
        <is>
          <t>NORRTÄLJE</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464-2022</t>
        </is>
      </c>
      <c r="B1079" s="1" t="n">
        <v>44565</v>
      </c>
      <c r="C1079" s="1" t="n">
        <v>46050</v>
      </c>
      <c r="D1079" t="inlineStr">
        <is>
          <t>STOCKHOLMS LÄN</t>
        </is>
      </c>
      <c r="E1079" t="inlineStr">
        <is>
          <t>ÖSTERÅKER</t>
        </is>
      </c>
      <c r="F1079" t="inlineStr">
        <is>
          <t>Övriga Aktiebolag</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32092-2023</t>
        </is>
      </c>
      <c r="B1080" s="1" t="n">
        <v>45119</v>
      </c>
      <c r="C1080" s="1" t="n">
        <v>46050</v>
      </c>
      <c r="D1080" t="inlineStr">
        <is>
          <t>STOCKHOLMS LÄN</t>
        </is>
      </c>
      <c r="E1080" t="inlineStr">
        <is>
          <t>NYNÄSHAMN</t>
        </is>
      </c>
      <c r="F1080" t="inlineStr">
        <is>
          <t>Kommuner</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28598-2025</t>
        </is>
      </c>
      <c r="B1081" s="1" t="n">
        <v>45819.59659722223</v>
      </c>
      <c r="C1081" s="1" t="n">
        <v>46050</v>
      </c>
      <c r="D1081" t="inlineStr">
        <is>
          <t>STOCKHOLMS LÄN</t>
        </is>
      </c>
      <c r="E1081" t="inlineStr">
        <is>
          <t>NYKVARN</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36269-2022</t>
        </is>
      </c>
      <c r="B1082" s="1" t="n">
        <v>44803</v>
      </c>
      <c r="C1082" s="1" t="n">
        <v>46050</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36308-2022</t>
        </is>
      </c>
      <c r="B1083" s="1" t="n">
        <v>44803</v>
      </c>
      <c r="C1083" s="1" t="n">
        <v>46050</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28346-2025</t>
        </is>
      </c>
      <c r="B1084" s="1" t="n">
        <v>45818.70325231482</v>
      </c>
      <c r="C1084" s="1" t="n">
        <v>46050</v>
      </c>
      <c r="D1084" t="inlineStr">
        <is>
          <t>STOCKHOLMS LÄN</t>
        </is>
      </c>
      <c r="E1084" t="inlineStr">
        <is>
          <t>SÖDERTÄLJE</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15528-2025</t>
        </is>
      </c>
      <c r="B1085" s="1" t="n">
        <v>45747.63471064815</v>
      </c>
      <c r="C1085" s="1" t="n">
        <v>46050</v>
      </c>
      <c r="D1085" t="inlineStr">
        <is>
          <t>STOCKHOLMS LÄN</t>
        </is>
      </c>
      <c r="E1085" t="inlineStr">
        <is>
          <t>NORRTÄLJE</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11901-2024</t>
        </is>
      </c>
      <c r="B1086" s="1" t="n">
        <v>45376.55638888889</v>
      </c>
      <c r="C1086" s="1" t="n">
        <v>46050</v>
      </c>
      <c r="D1086" t="inlineStr">
        <is>
          <t>STOCKHOLMS LÄN</t>
        </is>
      </c>
      <c r="E1086" t="inlineStr">
        <is>
          <t>NORRTÄLJE</t>
        </is>
      </c>
      <c r="F1086" t="inlineStr">
        <is>
          <t>Holmen skog AB</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41206-2025</t>
        </is>
      </c>
      <c r="B1087" s="1" t="n">
        <v>45898</v>
      </c>
      <c r="C1087" s="1" t="n">
        <v>46050</v>
      </c>
      <c r="D1087" t="inlineStr">
        <is>
          <t>STOCKHOLMS LÄN</t>
        </is>
      </c>
      <c r="E1087" t="inlineStr">
        <is>
          <t>VALLENTUNA</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41053-2025</t>
        </is>
      </c>
      <c r="B1088" s="1" t="n">
        <v>45898.40480324074</v>
      </c>
      <c r="C1088" s="1" t="n">
        <v>46050</v>
      </c>
      <c r="D1088" t="inlineStr">
        <is>
          <t>STOCKHOLMS LÄN</t>
        </is>
      </c>
      <c r="E1088" t="inlineStr">
        <is>
          <t>NORRTÄLJE</t>
        </is>
      </c>
      <c r="F1088" t="inlineStr">
        <is>
          <t>Holmen skog AB</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41275-2025</t>
        </is>
      </c>
      <c r="B1089" s="1" t="n">
        <v>45898.62625</v>
      </c>
      <c r="C1089" s="1" t="n">
        <v>46050</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41272-2025</t>
        </is>
      </c>
      <c r="B1090" s="1" t="n">
        <v>45898.62373842593</v>
      </c>
      <c r="C1090" s="1" t="n">
        <v>46050</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6919-2025</t>
        </is>
      </c>
      <c r="B1091" s="1" t="n">
        <v>45701.44372685185</v>
      </c>
      <c r="C1091" s="1" t="n">
        <v>46050</v>
      </c>
      <c r="D1091" t="inlineStr">
        <is>
          <t>STOCKHOLMS LÄN</t>
        </is>
      </c>
      <c r="E1091" t="inlineStr">
        <is>
          <t>NORRTÄLJE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32100-2022</t>
        </is>
      </c>
      <c r="B1092" s="1" t="n">
        <v>44778</v>
      </c>
      <c r="C1092" s="1" t="n">
        <v>46050</v>
      </c>
      <c r="D1092" t="inlineStr">
        <is>
          <t>STOCKHOLMS LÄN</t>
        </is>
      </c>
      <c r="E1092" t="inlineStr">
        <is>
          <t>NORRTÄLJE</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11332-2025</t>
        </is>
      </c>
      <c r="B1093" s="1" t="n">
        <v>45726.48152777777</v>
      </c>
      <c r="C1093" s="1" t="n">
        <v>46050</v>
      </c>
      <c r="D1093" t="inlineStr">
        <is>
          <t>STOCKHOLMS LÄN</t>
        </is>
      </c>
      <c r="E1093" t="inlineStr">
        <is>
          <t>NORRTÄLJE</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41301-2025</t>
        </is>
      </c>
      <c r="B1094" s="1" t="n">
        <v>45898.68826388889</v>
      </c>
      <c r="C1094" s="1" t="n">
        <v>46050</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37444-2021</t>
        </is>
      </c>
      <c r="B1095" s="1" t="n">
        <v>44398</v>
      </c>
      <c r="C1095" s="1" t="n">
        <v>46050</v>
      </c>
      <c r="D1095" t="inlineStr">
        <is>
          <t>STOCKHOLMS LÄN</t>
        </is>
      </c>
      <c r="E1095" t="inlineStr">
        <is>
          <t>NORRTÄLJE</t>
        </is>
      </c>
      <c r="F1095" t="inlineStr">
        <is>
          <t>Holmen skog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30886-2022</t>
        </is>
      </c>
      <c r="B1096" s="1" t="n">
        <v>44767.60601851852</v>
      </c>
      <c r="C1096" s="1" t="n">
        <v>46050</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28607-2025</t>
        </is>
      </c>
      <c r="B1097" s="1" t="n">
        <v>45819.60226851852</v>
      </c>
      <c r="C1097" s="1" t="n">
        <v>46050</v>
      </c>
      <c r="D1097" t="inlineStr">
        <is>
          <t>STOCKHOLMS LÄN</t>
        </is>
      </c>
      <c r="E1097" t="inlineStr">
        <is>
          <t>NYKVARN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50184-2023</t>
        </is>
      </c>
      <c r="B1098" s="1" t="n">
        <v>45208</v>
      </c>
      <c r="C1098" s="1" t="n">
        <v>46050</v>
      </c>
      <c r="D1098" t="inlineStr">
        <is>
          <t>STOCKHOLMS LÄN</t>
        </is>
      </c>
      <c r="E1098" t="inlineStr">
        <is>
          <t>EKERÖ</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9654-2022</t>
        </is>
      </c>
      <c r="B1099" s="1" t="n">
        <v>44617</v>
      </c>
      <c r="C1099" s="1" t="n">
        <v>46050</v>
      </c>
      <c r="D1099" t="inlineStr">
        <is>
          <t>STOCKHOLMS LÄN</t>
        </is>
      </c>
      <c r="E1099" t="inlineStr">
        <is>
          <t>NORRTÄLJE</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41174-2025</t>
        </is>
      </c>
      <c r="B1100" s="1" t="n">
        <v>45898.54921296296</v>
      </c>
      <c r="C1100" s="1" t="n">
        <v>46050</v>
      </c>
      <c r="D1100" t="inlineStr">
        <is>
          <t>STOCKHOLMS LÄN</t>
        </is>
      </c>
      <c r="E1100" t="inlineStr">
        <is>
          <t>NORRTÄLJE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41030-2025</t>
        </is>
      </c>
      <c r="B1101" s="1" t="n">
        <v>45898.37636574074</v>
      </c>
      <c r="C1101" s="1" t="n">
        <v>46050</v>
      </c>
      <c r="D1101" t="inlineStr">
        <is>
          <t>STOCKHOLMS LÄN</t>
        </is>
      </c>
      <c r="E1101" t="inlineStr">
        <is>
          <t>NORRTÄLJE</t>
        </is>
      </c>
      <c r="F1101" t="inlineStr">
        <is>
          <t>Holmen skog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44075-2023</t>
        </is>
      </c>
      <c r="B1102" s="1" t="n">
        <v>45188.41637731482</v>
      </c>
      <c r="C1102" s="1" t="n">
        <v>46050</v>
      </c>
      <c r="D1102" t="inlineStr">
        <is>
          <t>STOCKHOLMS LÄN</t>
        </is>
      </c>
      <c r="E1102" t="inlineStr">
        <is>
          <t>NORRTÄLJE</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41036-2025</t>
        </is>
      </c>
      <c r="B1103" s="1" t="n">
        <v>45898.38552083333</v>
      </c>
      <c r="C1103" s="1" t="n">
        <v>46050</v>
      </c>
      <c r="D1103" t="inlineStr">
        <is>
          <t>STOCKHOLMS LÄN</t>
        </is>
      </c>
      <c r="E1103" t="inlineStr">
        <is>
          <t>NORRTÄLJE</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1453-2025</t>
        </is>
      </c>
      <c r="B1104" s="1" t="n">
        <v>45670.3079050926</v>
      </c>
      <c r="C1104" s="1" t="n">
        <v>46050</v>
      </c>
      <c r="D1104" t="inlineStr">
        <is>
          <t>STOCKHOLMS LÄN</t>
        </is>
      </c>
      <c r="E1104" t="inlineStr">
        <is>
          <t>NORRTÄLJE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41106-2025</t>
        </is>
      </c>
      <c r="B1105" s="1" t="n">
        <v>45898.45636574074</v>
      </c>
      <c r="C1105" s="1" t="n">
        <v>46050</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41110-2025</t>
        </is>
      </c>
      <c r="B1106" s="1" t="n">
        <v>45898.45976851852</v>
      </c>
      <c r="C1106" s="1" t="n">
        <v>46050</v>
      </c>
      <c r="D1106" t="inlineStr">
        <is>
          <t>STOCKHOLMS LÄN</t>
        </is>
      </c>
      <c r="E1106" t="inlineStr">
        <is>
          <t>NORRTÄLJE</t>
        </is>
      </c>
      <c r="F1106" t="inlineStr">
        <is>
          <t>Holmen skog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41259-2025</t>
        </is>
      </c>
      <c r="B1107" s="1" t="n">
        <v>45898.61054398148</v>
      </c>
      <c r="C1107" s="1" t="n">
        <v>46050</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5804-2025</t>
        </is>
      </c>
      <c r="B1108" s="1" t="n">
        <v>45694.68207175926</v>
      </c>
      <c r="C1108" s="1" t="n">
        <v>46050</v>
      </c>
      <c r="D1108" t="inlineStr">
        <is>
          <t>STOCKHOLMS LÄN</t>
        </is>
      </c>
      <c r="E1108" t="inlineStr">
        <is>
          <t>NORRTÄLJE</t>
        </is>
      </c>
      <c r="F1108" t="inlineStr">
        <is>
          <t>Holmen skog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10511-2025</t>
        </is>
      </c>
      <c r="B1109" s="1" t="n">
        <v>45721.40780092592</v>
      </c>
      <c r="C1109" s="1" t="n">
        <v>46050</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50907-2022</t>
        </is>
      </c>
      <c r="B1110" s="1" t="n">
        <v>44867.62090277778</v>
      </c>
      <c r="C1110" s="1" t="n">
        <v>46050</v>
      </c>
      <c r="D1110" t="inlineStr">
        <is>
          <t>STOCKHOLMS LÄN</t>
        </is>
      </c>
      <c r="E1110" t="inlineStr">
        <is>
          <t>NORRTÄLJE</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28981-2023</t>
        </is>
      </c>
      <c r="B1111" s="1" t="n">
        <v>45104</v>
      </c>
      <c r="C1111" s="1" t="n">
        <v>46050</v>
      </c>
      <c r="D1111" t="inlineStr">
        <is>
          <t>STOCKHOLMS LÄN</t>
        </is>
      </c>
      <c r="E1111" t="inlineStr">
        <is>
          <t>SÖDERTÄLJE</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29003-2023</t>
        </is>
      </c>
      <c r="B1112" s="1" t="n">
        <v>45104</v>
      </c>
      <c r="C1112" s="1" t="n">
        <v>46050</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19057-2024</t>
        </is>
      </c>
      <c r="B1113" s="1" t="n">
        <v>45427.88731481481</v>
      </c>
      <c r="C1113" s="1" t="n">
        <v>46050</v>
      </c>
      <c r="D1113" t="inlineStr">
        <is>
          <t>STOCKHOLMS LÄN</t>
        </is>
      </c>
      <c r="E1113" t="inlineStr">
        <is>
          <t>NORRTÄLJE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41949-2025</t>
        </is>
      </c>
      <c r="B1114" s="1" t="n">
        <v>45903.45309027778</v>
      </c>
      <c r="C1114" s="1" t="n">
        <v>46050</v>
      </c>
      <c r="D1114" t="inlineStr">
        <is>
          <t>STOCKHOLMS LÄN</t>
        </is>
      </c>
      <c r="E1114" t="inlineStr">
        <is>
          <t>SIGTUNA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41963-2025</t>
        </is>
      </c>
      <c r="B1115" s="1" t="n">
        <v>45903.47229166667</v>
      </c>
      <c r="C1115" s="1" t="n">
        <v>46050</v>
      </c>
      <c r="D1115" t="inlineStr">
        <is>
          <t>STOCKHOLMS LÄN</t>
        </is>
      </c>
      <c r="E1115" t="inlineStr">
        <is>
          <t>SIGTUNA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23397-2025</t>
        </is>
      </c>
      <c r="B1116" s="1" t="n">
        <v>45791.90849537037</v>
      </c>
      <c r="C1116" s="1" t="n">
        <v>46050</v>
      </c>
      <c r="D1116" t="inlineStr">
        <is>
          <t>STOCKHOLMS LÄN</t>
        </is>
      </c>
      <c r="E1116" t="inlineStr">
        <is>
          <t>NYNÄSHAMN</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33295-2023</t>
        </is>
      </c>
      <c r="B1117" s="1" t="n">
        <v>45127.69371527778</v>
      </c>
      <c r="C1117" s="1" t="n">
        <v>46050</v>
      </c>
      <c r="D1117" t="inlineStr">
        <is>
          <t>STOCKHOLMS LÄN</t>
        </is>
      </c>
      <c r="E1117" t="inlineStr">
        <is>
          <t>NORRTÄLJE</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14127-2025</t>
        </is>
      </c>
      <c r="B1118" s="1" t="n">
        <v>45740.47055555556</v>
      </c>
      <c r="C1118" s="1" t="n">
        <v>46050</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46050</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41966-2025</t>
        </is>
      </c>
      <c r="B1120" s="1" t="n">
        <v>45903.47456018518</v>
      </c>
      <c r="C1120" s="1" t="n">
        <v>46050</v>
      </c>
      <c r="D1120" t="inlineStr">
        <is>
          <t>STOCKHOLMS LÄN</t>
        </is>
      </c>
      <c r="E1120" t="inlineStr">
        <is>
          <t>NORRTÄLJE</t>
        </is>
      </c>
      <c r="F1120" t="inlineStr">
        <is>
          <t>Sveaskog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12562-2023</t>
        </is>
      </c>
      <c r="B1121" s="1" t="n">
        <v>45000</v>
      </c>
      <c r="C1121" s="1" t="n">
        <v>46050</v>
      </c>
      <c r="D1121" t="inlineStr">
        <is>
          <t>STOCKHOLMS LÄN</t>
        </is>
      </c>
      <c r="E1121" t="inlineStr">
        <is>
          <t>VALLENTUNA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41951-2025</t>
        </is>
      </c>
      <c r="B1122" s="1" t="n">
        <v>45903.45920138889</v>
      </c>
      <c r="C1122" s="1" t="n">
        <v>46050</v>
      </c>
      <c r="D1122" t="inlineStr">
        <is>
          <t>STOCKHOLMS LÄN</t>
        </is>
      </c>
      <c r="E1122" t="inlineStr">
        <is>
          <t>SIGTUNA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42038-2025</t>
        </is>
      </c>
      <c r="B1123" s="1" t="n">
        <v>45903.61431712963</v>
      </c>
      <c r="C1123" s="1" t="n">
        <v>46050</v>
      </c>
      <c r="D1123" t="inlineStr">
        <is>
          <t>STOCKHOLMS LÄN</t>
        </is>
      </c>
      <c r="E1123" t="inlineStr">
        <is>
          <t>NORRTÄLJE</t>
        </is>
      </c>
      <c r="F1123" t="inlineStr">
        <is>
          <t>Sveaskog</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29336-2025</t>
        </is>
      </c>
      <c r="B1124" s="1" t="n">
        <v>45824.49658564815</v>
      </c>
      <c r="C1124" s="1" t="n">
        <v>46050</v>
      </c>
      <c r="D1124" t="inlineStr">
        <is>
          <t>STOCKHOLMS LÄN</t>
        </is>
      </c>
      <c r="E1124" t="inlineStr">
        <is>
          <t>SÖDERTÄLJE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29811-2025</t>
        </is>
      </c>
      <c r="B1125" s="1" t="n">
        <v>45825</v>
      </c>
      <c r="C1125" s="1" t="n">
        <v>46050</v>
      </c>
      <c r="D1125" t="inlineStr">
        <is>
          <t>STOCKHOLMS LÄN</t>
        </is>
      </c>
      <c r="E1125" t="inlineStr">
        <is>
          <t>NYNÄSHAMN</t>
        </is>
      </c>
      <c r="F1125" t="inlineStr">
        <is>
          <t>Övriga statliga verk och myndigheter</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41957-2025</t>
        </is>
      </c>
      <c r="B1126" s="1" t="n">
        <v>45903.46525462963</v>
      </c>
      <c r="C1126" s="1" t="n">
        <v>46050</v>
      </c>
      <c r="D1126" t="inlineStr">
        <is>
          <t>STOCKHOLMS LÄN</t>
        </is>
      </c>
      <c r="E1126" t="inlineStr">
        <is>
          <t>SIGTUNA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32595-2023</t>
        </is>
      </c>
      <c r="B1127" s="1" t="n">
        <v>45121</v>
      </c>
      <c r="C1127" s="1" t="n">
        <v>46050</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41702-2025</t>
        </is>
      </c>
      <c r="B1128" s="1" t="n">
        <v>45902.41623842593</v>
      </c>
      <c r="C1128" s="1" t="n">
        <v>46050</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29193-2025</t>
        </is>
      </c>
      <c r="B1129" s="1" t="n">
        <v>45822.70847222222</v>
      </c>
      <c r="C1129" s="1" t="n">
        <v>46050</v>
      </c>
      <c r="D1129" t="inlineStr">
        <is>
          <t>STOCKHOLMS LÄN</t>
        </is>
      </c>
      <c r="E1129" t="inlineStr">
        <is>
          <t>SIGTUNA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29770-2025</t>
        </is>
      </c>
      <c r="B1130" s="1" t="n">
        <v>45825.62880787037</v>
      </c>
      <c r="C1130" s="1" t="n">
        <v>46050</v>
      </c>
      <c r="D1130" t="inlineStr">
        <is>
          <t>STOCKHOLMS LÄN</t>
        </is>
      </c>
      <c r="E1130" t="inlineStr">
        <is>
          <t>SÖDERTÄLJE</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41841-2025</t>
        </is>
      </c>
      <c r="B1131" s="1" t="n">
        <v>45902.72109953704</v>
      </c>
      <c r="C1131" s="1" t="n">
        <v>46050</v>
      </c>
      <c r="D1131" t="inlineStr">
        <is>
          <t>STOCKHOLMS LÄN</t>
        </is>
      </c>
      <c r="E1131" t="inlineStr">
        <is>
          <t>SIGTUNA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41964-2025</t>
        </is>
      </c>
      <c r="B1132" s="1" t="n">
        <v>45903.47270833333</v>
      </c>
      <c r="C1132" s="1" t="n">
        <v>46050</v>
      </c>
      <c r="D1132" t="inlineStr">
        <is>
          <t>STOCKHOLMS LÄN</t>
        </is>
      </c>
      <c r="E1132" t="inlineStr">
        <is>
          <t>NORRTÄLJE</t>
        </is>
      </c>
      <c r="F1132" t="inlineStr">
        <is>
          <t>Sveaskog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14480-2024</t>
        </is>
      </c>
      <c r="B1133" s="1" t="n">
        <v>45394.56777777777</v>
      </c>
      <c r="C1133" s="1" t="n">
        <v>46050</v>
      </c>
      <c r="D1133" t="inlineStr">
        <is>
          <t>STOCKHOLMS LÄN</t>
        </is>
      </c>
      <c r="E1133" t="inlineStr">
        <is>
          <t>VALLENTUNA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29250-2025</t>
        </is>
      </c>
      <c r="B1134" s="1" t="n">
        <v>45824.37275462963</v>
      </c>
      <c r="C1134" s="1" t="n">
        <v>46050</v>
      </c>
      <c r="D1134" t="inlineStr">
        <is>
          <t>STOCKHOLMS LÄN</t>
        </is>
      </c>
      <c r="E1134" t="inlineStr">
        <is>
          <t>NORRTÄLJE</t>
        </is>
      </c>
      <c r="F1134" t="inlineStr">
        <is>
          <t>Sveaskog</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37550-2022</t>
        </is>
      </c>
      <c r="B1135" s="1" t="n">
        <v>44809</v>
      </c>
      <c r="C1135" s="1" t="n">
        <v>46050</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50956-2025</t>
        </is>
      </c>
      <c r="B1136" s="1" t="n">
        <v>45946.78206018519</v>
      </c>
      <c r="C1136" s="1" t="n">
        <v>46050</v>
      </c>
      <c r="D1136" t="inlineStr">
        <is>
          <t>STOCKHOLMS LÄN</t>
        </is>
      </c>
      <c r="E1136" t="inlineStr">
        <is>
          <t>NYNÄSHAMN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17340-2025</t>
        </is>
      </c>
      <c r="B1137" s="1" t="n">
        <v>45756</v>
      </c>
      <c r="C1137" s="1" t="n">
        <v>46050</v>
      </c>
      <c r="D1137" t="inlineStr">
        <is>
          <t>STOCKHOLMS LÄN</t>
        </is>
      </c>
      <c r="E1137" t="inlineStr">
        <is>
          <t>VALLENTUNA</t>
        </is>
      </c>
      <c r="F1137" t="inlineStr">
        <is>
          <t>Övriga Aktiebolag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17353-2025</t>
        </is>
      </c>
      <c r="B1138" s="1" t="n">
        <v>45756</v>
      </c>
      <c r="C1138" s="1" t="n">
        <v>46050</v>
      </c>
      <c r="D1138" t="inlineStr">
        <is>
          <t>STOCKHOLMS LÄN</t>
        </is>
      </c>
      <c r="E1138" t="inlineStr">
        <is>
          <t>ÖSTERÅKER</t>
        </is>
      </c>
      <c r="F1138" t="inlineStr">
        <is>
          <t>Övriga Aktiebolag</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30699-2025</t>
        </is>
      </c>
      <c r="B1139" s="1" t="n">
        <v>45831.54618055555</v>
      </c>
      <c r="C1139" s="1" t="n">
        <v>46050</v>
      </c>
      <c r="D1139" t="inlineStr">
        <is>
          <t>STOCKHOLMS LÄN</t>
        </is>
      </c>
      <c r="E1139" t="inlineStr">
        <is>
          <t>NORRTÄLJE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48161-2022</t>
        </is>
      </c>
      <c r="B1140" s="1" t="n">
        <v>44858</v>
      </c>
      <c r="C1140" s="1" t="n">
        <v>46050</v>
      </c>
      <c r="D1140" t="inlineStr">
        <is>
          <t>STOCKHOLMS LÄN</t>
        </is>
      </c>
      <c r="E1140" t="inlineStr">
        <is>
          <t>NORRTÄLJE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48798-2021</t>
        </is>
      </c>
      <c r="B1141" s="1" t="n">
        <v>44452</v>
      </c>
      <c r="C1141" s="1" t="n">
        <v>46050</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16615-2024</t>
        </is>
      </c>
      <c r="B1142" s="1" t="n">
        <v>45408</v>
      </c>
      <c r="C1142" s="1" t="n">
        <v>46050</v>
      </c>
      <c r="D1142" t="inlineStr">
        <is>
          <t>STOCKHOLMS LÄN</t>
        </is>
      </c>
      <c r="E1142" t="inlineStr">
        <is>
          <t>SÖDERTÄLJE</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12111-2021</t>
        </is>
      </c>
      <c r="B1143" s="1" t="n">
        <v>44266</v>
      </c>
      <c r="C1143" s="1" t="n">
        <v>46050</v>
      </c>
      <c r="D1143" t="inlineStr">
        <is>
          <t>STOCKHOLMS LÄN</t>
        </is>
      </c>
      <c r="E1143" t="inlineStr">
        <is>
          <t>NORRTÄLJE</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50934-2024</t>
        </is>
      </c>
      <c r="B1144" s="1" t="n">
        <v>45602</v>
      </c>
      <c r="C1144" s="1" t="n">
        <v>46050</v>
      </c>
      <c r="D1144" t="inlineStr">
        <is>
          <t>STOCKHOLMS LÄN</t>
        </is>
      </c>
      <c r="E1144" t="inlineStr">
        <is>
          <t>UPPLANDS VÄSBY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54776-2023</t>
        </is>
      </c>
      <c r="B1145" s="1" t="n">
        <v>45236.46369212963</v>
      </c>
      <c r="C1145" s="1" t="n">
        <v>46050</v>
      </c>
      <c r="D1145" t="inlineStr">
        <is>
          <t>STOCKHOLMS LÄN</t>
        </is>
      </c>
      <c r="E1145" t="inlineStr">
        <is>
          <t>NORRTÄLJE</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20011-2025</t>
        </is>
      </c>
      <c r="B1146" s="1" t="n">
        <v>45772.29622685185</v>
      </c>
      <c r="C1146" s="1" t="n">
        <v>46050</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6857-2022</t>
        </is>
      </c>
      <c r="B1147" s="1" t="n">
        <v>44602.69712962963</v>
      </c>
      <c r="C1147" s="1" t="n">
        <v>46050</v>
      </c>
      <c r="D1147" t="inlineStr">
        <is>
          <t>STOCKHOLMS LÄN</t>
        </is>
      </c>
      <c r="E1147" t="inlineStr">
        <is>
          <t>NYKVARN</t>
        </is>
      </c>
      <c r="F1147" t="inlineStr">
        <is>
          <t>Kommuner</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42856-2025</t>
        </is>
      </c>
      <c r="B1148" s="1" t="n">
        <v>45908</v>
      </c>
      <c r="C1148" s="1" t="n">
        <v>46050</v>
      </c>
      <c r="D1148" t="inlineStr">
        <is>
          <t>STOCKHOLMS LÄN</t>
        </is>
      </c>
      <c r="E1148" t="inlineStr">
        <is>
          <t>NORRTÄLJE</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32458-2023</t>
        </is>
      </c>
      <c r="B1149" s="1" t="n">
        <v>45120</v>
      </c>
      <c r="C1149" s="1" t="n">
        <v>46050</v>
      </c>
      <c r="D1149" t="inlineStr">
        <is>
          <t>STOCKHOLMS LÄN</t>
        </is>
      </c>
      <c r="E1149" t="inlineStr">
        <is>
          <t>VÄRMDÖ</t>
        </is>
      </c>
      <c r="G1149" t="n">
        <v>12.5</v>
      </c>
      <c r="H1149" t="n">
        <v>0</v>
      </c>
      <c r="I1149" t="n">
        <v>0</v>
      </c>
      <c r="J1149" t="n">
        <v>0</v>
      </c>
      <c r="K1149" t="n">
        <v>0</v>
      </c>
      <c r="L1149" t="n">
        <v>0</v>
      </c>
      <c r="M1149" t="n">
        <v>0</v>
      </c>
      <c r="N1149" t="n">
        <v>0</v>
      </c>
      <c r="O1149" t="n">
        <v>0</v>
      </c>
      <c r="P1149" t="n">
        <v>0</v>
      </c>
      <c r="Q1149" t="n">
        <v>0</v>
      </c>
      <c r="R1149" s="2" t="inlineStr"/>
    </row>
    <row r="1150" ht="15" customHeight="1">
      <c r="A1150" t="inlineStr">
        <is>
          <t>A 61360-2022</t>
        </is>
      </c>
      <c r="B1150" s="1" t="n">
        <v>44915</v>
      </c>
      <c r="C1150" s="1" t="n">
        <v>46050</v>
      </c>
      <c r="D1150" t="inlineStr">
        <is>
          <t>STOCKHOLMS LÄN</t>
        </is>
      </c>
      <c r="E1150" t="inlineStr">
        <is>
          <t>ÖSTERÅKER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57442-2021</t>
        </is>
      </c>
      <c r="B1151" s="1" t="n">
        <v>44483</v>
      </c>
      <c r="C1151" s="1" t="n">
        <v>46050</v>
      </c>
      <c r="D1151" t="inlineStr">
        <is>
          <t>STOCKHOLMS LÄN</t>
        </is>
      </c>
      <c r="E1151" t="inlineStr">
        <is>
          <t>NORRTÄLJE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12931-2022</t>
        </is>
      </c>
      <c r="B1152" s="1" t="n">
        <v>44642</v>
      </c>
      <c r="C1152" s="1" t="n">
        <v>46050</v>
      </c>
      <c r="D1152" t="inlineStr">
        <is>
          <t>STOCKHOLMS LÄN</t>
        </is>
      </c>
      <c r="E1152" t="inlineStr">
        <is>
          <t>SIGTUNA</t>
        </is>
      </c>
      <c r="F1152" t="inlineStr">
        <is>
          <t>Kyrkan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30913-2021</t>
        </is>
      </c>
      <c r="B1153" s="1" t="n">
        <v>44365</v>
      </c>
      <c r="C1153" s="1" t="n">
        <v>46050</v>
      </c>
      <c r="D1153" t="inlineStr">
        <is>
          <t>STOCKHOLMS LÄN</t>
        </is>
      </c>
      <c r="E1153" t="inlineStr">
        <is>
          <t>VALLENTUNA</t>
        </is>
      </c>
      <c r="F1153" t="inlineStr">
        <is>
          <t>Övriga Aktiebolag</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55952-2024</t>
        </is>
      </c>
      <c r="B1154" s="1" t="n">
        <v>45623.62563657408</v>
      </c>
      <c r="C1154" s="1" t="n">
        <v>46050</v>
      </c>
      <c r="D1154" t="inlineStr">
        <is>
          <t>STOCKHOLMS LÄN</t>
        </is>
      </c>
      <c r="E1154" t="inlineStr">
        <is>
          <t>NORRTÄLJE</t>
        </is>
      </c>
      <c r="F1154" t="inlineStr">
        <is>
          <t>Holmen skog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45496-2023</t>
        </is>
      </c>
      <c r="B1155" s="1" t="n">
        <v>45194</v>
      </c>
      <c r="C1155" s="1" t="n">
        <v>46050</v>
      </c>
      <c r="D1155" t="inlineStr">
        <is>
          <t>STOCKHOLMS LÄN</t>
        </is>
      </c>
      <c r="E1155" t="inlineStr">
        <is>
          <t>VALLENTUNA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8135-2025</t>
        </is>
      </c>
      <c r="B1156" s="1" t="n">
        <v>45707.84997685185</v>
      </c>
      <c r="C1156" s="1" t="n">
        <v>46050</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3383-2023</t>
        </is>
      </c>
      <c r="B1157" s="1" t="n">
        <v>44949</v>
      </c>
      <c r="C1157" s="1" t="n">
        <v>46050</v>
      </c>
      <c r="D1157" t="inlineStr">
        <is>
          <t>STOCKHOLMS LÄN</t>
        </is>
      </c>
      <c r="E1157" t="inlineStr">
        <is>
          <t>NORRTÄLJE</t>
        </is>
      </c>
      <c r="G1157" t="n">
        <v>14.6</v>
      </c>
      <c r="H1157" t="n">
        <v>0</v>
      </c>
      <c r="I1157" t="n">
        <v>0</v>
      </c>
      <c r="J1157" t="n">
        <v>0</v>
      </c>
      <c r="K1157" t="n">
        <v>0</v>
      </c>
      <c r="L1157" t="n">
        <v>0</v>
      </c>
      <c r="M1157" t="n">
        <v>0</v>
      </c>
      <c r="N1157" t="n">
        <v>0</v>
      </c>
      <c r="O1157" t="n">
        <v>0</v>
      </c>
      <c r="P1157" t="n">
        <v>0</v>
      </c>
      <c r="Q1157" t="n">
        <v>0</v>
      </c>
      <c r="R1157" s="2" t="inlineStr"/>
    </row>
    <row r="1158" ht="15" customHeight="1">
      <c r="A1158" t="inlineStr">
        <is>
          <t>A 30639-2025</t>
        </is>
      </c>
      <c r="B1158" s="1" t="n">
        <v>45831.4844212963</v>
      </c>
      <c r="C1158" s="1" t="n">
        <v>46050</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30668-2025</t>
        </is>
      </c>
      <c r="B1159" s="1" t="n">
        <v>45831.51659722222</v>
      </c>
      <c r="C1159" s="1" t="n">
        <v>46050</v>
      </c>
      <c r="D1159" t="inlineStr">
        <is>
          <t>STOCKHOLMS LÄN</t>
        </is>
      </c>
      <c r="E1159" t="inlineStr">
        <is>
          <t>NORRTÄLJE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13148-2021</t>
        </is>
      </c>
      <c r="B1160" s="1" t="n">
        <v>44272</v>
      </c>
      <c r="C1160" s="1" t="n">
        <v>46050</v>
      </c>
      <c r="D1160" t="inlineStr">
        <is>
          <t>STOCKHOLMS LÄN</t>
        </is>
      </c>
      <c r="E1160" t="inlineStr">
        <is>
          <t>NORRTÄLJE</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24835-2025</t>
        </is>
      </c>
      <c r="B1161" s="1" t="n">
        <v>45799</v>
      </c>
      <c r="C1161" s="1" t="n">
        <v>46050</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21732-2023</t>
        </is>
      </c>
      <c r="B1162" s="1" t="n">
        <v>45063</v>
      </c>
      <c r="C1162" s="1" t="n">
        <v>46050</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23307-2024</t>
        </is>
      </c>
      <c r="B1163" s="1" t="n">
        <v>45453</v>
      </c>
      <c r="C1163" s="1" t="n">
        <v>46050</v>
      </c>
      <c r="D1163" t="inlineStr">
        <is>
          <t>STOCKHOLMS LÄN</t>
        </is>
      </c>
      <c r="E1163" t="inlineStr">
        <is>
          <t>NORRTÄLJE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30902-2025</t>
        </is>
      </c>
      <c r="B1164" s="1" t="n">
        <v>45832.36104166666</v>
      </c>
      <c r="C1164" s="1" t="n">
        <v>46050</v>
      </c>
      <c r="D1164" t="inlineStr">
        <is>
          <t>STOCKHOLMS LÄN</t>
        </is>
      </c>
      <c r="E1164" t="inlineStr">
        <is>
          <t>VALLENTUNA</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29704-2023</t>
        </is>
      </c>
      <c r="B1165" s="1" t="n">
        <v>45107</v>
      </c>
      <c r="C1165" s="1" t="n">
        <v>46050</v>
      </c>
      <c r="D1165" t="inlineStr">
        <is>
          <t>STOCKHOLMS LÄN</t>
        </is>
      </c>
      <c r="E1165" t="inlineStr">
        <is>
          <t>VALLENTUNA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61323-2022</t>
        </is>
      </c>
      <c r="B1166" s="1" t="n">
        <v>44915</v>
      </c>
      <c r="C1166" s="1" t="n">
        <v>46050</v>
      </c>
      <c r="D1166" t="inlineStr">
        <is>
          <t>STOCKHOLMS LÄN</t>
        </is>
      </c>
      <c r="E1166" t="inlineStr">
        <is>
          <t>ÖSTERÅKER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43169-2025</t>
        </is>
      </c>
      <c r="B1167" s="1" t="n">
        <v>45910</v>
      </c>
      <c r="C1167" s="1" t="n">
        <v>46050</v>
      </c>
      <c r="D1167" t="inlineStr">
        <is>
          <t>STOCKHOLMS LÄN</t>
        </is>
      </c>
      <c r="E1167" t="inlineStr">
        <is>
          <t>NORRTÄLJE</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12363-2025</t>
        </is>
      </c>
      <c r="B1168" s="1" t="n">
        <v>45730.37431712963</v>
      </c>
      <c r="C1168" s="1" t="n">
        <v>46050</v>
      </c>
      <c r="D1168" t="inlineStr">
        <is>
          <t>STOCKHOLMS LÄN</t>
        </is>
      </c>
      <c r="E1168" t="inlineStr">
        <is>
          <t>UPPLANDS-BRO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23152-2021</t>
        </is>
      </c>
      <c r="B1169" s="1" t="n">
        <v>44332</v>
      </c>
      <c r="C1169" s="1" t="n">
        <v>46050</v>
      </c>
      <c r="D1169" t="inlineStr">
        <is>
          <t>STOCKHOLMS LÄN</t>
        </is>
      </c>
      <c r="E1169" t="inlineStr">
        <is>
          <t>NYKVARN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36148-2023</t>
        </is>
      </c>
      <c r="B1170" s="1" t="n">
        <v>45149</v>
      </c>
      <c r="C1170" s="1" t="n">
        <v>46050</v>
      </c>
      <c r="D1170" t="inlineStr">
        <is>
          <t>STOCKHOLMS LÄN</t>
        </is>
      </c>
      <c r="E1170" t="inlineStr">
        <is>
          <t>VÄRMDÖ</t>
        </is>
      </c>
      <c r="F1170" t="inlineStr">
        <is>
          <t>Övriga statliga verk och myndigheter</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31170-2025</t>
        </is>
      </c>
      <c r="B1171" s="1" t="n">
        <v>45832.66385416667</v>
      </c>
      <c r="C1171" s="1" t="n">
        <v>46050</v>
      </c>
      <c r="D1171" t="inlineStr">
        <is>
          <t>STOCKHOLMS LÄN</t>
        </is>
      </c>
      <c r="E1171" t="inlineStr">
        <is>
          <t>NORRTÄLJE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30719-2025</t>
        </is>
      </c>
      <c r="B1172" s="1" t="n">
        <v>45831</v>
      </c>
      <c r="C1172" s="1" t="n">
        <v>46050</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31456-2025</t>
        </is>
      </c>
      <c r="B1173" s="1" t="n">
        <v>45833.5402662037</v>
      </c>
      <c r="C1173" s="1" t="n">
        <v>46050</v>
      </c>
      <c r="D1173" t="inlineStr">
        <is>
          <t>STOCKHOLMS LÄN</t>
        </is>
      </c>
      <c r="E1173" t="inlineStr">
        <is>
          <t>ÖSTERÅKER</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43269-2025</t>
        </is>
      </c>
      <c r="B1174" s="1" t="n">
        <v>45910.5819212963</v>
      </c>
      <c r="C1174" s="1" t="n">
        <v>46050</v>
      </c>
      <c r="D1174" t="inlineStr">
        <is>
          <t>STOCKHOLMS LÄN</t>
        </is>
      </c>
      <c r="E1174" t="inlineStr">
        <is>
          <t>NORRTÄLJE</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31086-2025</t>
        </is>
      </c>
      <c r="B1175" s="1" t="n">
        <v>45832.59052083334</v>
      </c>
      <c r="C1175" s="1" t="n">
        <v>46050</v>
      </c>
      <c r="D1175" t="inlineStr">
        <is>
          <t>STOCKHOLMS LÄN</t>
        </is>
      </c>
      <c r="E1175" t="inlineStr">
        <is>
          <t>SÖDERTÄLJE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31607-2025</t>
        </is>
      </c>
      <c r="B1176" s="1" t="n">
        <v>45833</v>
      </c>
      <c r="C1176" s="1" t="n">
        <v>46050</v>
      </c>
      <c r="D1176" t="inlineStr">
        <is>
          <t>STOCKHOLMS LÄN</t>
        </is>
      </c>
      <c r="E1176" t="inlineStr">
        <is>
          <t>EKERÖ</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31880-2025</t>
        </is>
      </c>
      <c r="B1177" s="1" t="n">
        <v>45834.65538194445</v>
      </c>
      <c r="C1177" s="1" t="n">
        <v>46050</v>
      </c>
      <c r="D1177" t="inlineStr">
        <is>
          <t>STOCKHOLMS LÄN</t>
        </is>
      </c>
      <c r="E1177" t="inlineStr">
        <is>
          <t>NORRTÄLJE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37085-2021</t>
        </is>
      </c>
      <c r="B1178" s="1" t="n">
        <v>44395</v>
      </c>
      <c r="C1178" s="1" t="n">
        <v>46050</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32122-2025</t>
        </is>
      </c>
      <c r="B1179" s="1" t="n">
        <v>45835.4928125</v>
      </c>
      <c r="C1179" s="1" t="n">
        <v>46050</v>
      </c>
      <c r="D1179" t="inlineStr">
        <is>
          <t>STOCKHOLMS LÄN</t>
        </is>
      </c>
      <c r="E1179" t="inlineStr">
        <is>
          <t>NORRTÄLJE</t>
        </is>
      </c>
      <c r="F1179" t="inlineStr">
        <is>
          <t>Holmen skog AB</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56428-2023</t>
        </is>
      </c>
      <c r="B1180" s="1" t="n">
        <v>45243.45289351852</v>
      </c>
      <c r="C1180" s="1" t="n">
        <v>46050</v>
      </c>
      <c r="D1180" t="inlineStr">
        <is>
          <t>STOCKHOLMS LÄN</t>
        </is>
      </c>
      <c r="E1180" t="inlineStr">
        <is>
          <t>NORRTÄLJE</t>
        </is>
      </c>
      <c r="F1180" t="inlineStr">
        <is>
          <t>Kyrkan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31868-2025</t>
        </is>
      </c>
      <c r="B1181" s="1" t="n">
        <v>45834.6447337963</v>
      </c>
      <c r="C1181" s="1" t="n">
        <v>46050</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6413-2025</t>
        </is>
      </c>
      <c r="B1182" s="1" t="n">
        <v>45699.46283564815</v>
      </c>
      <c r="C1182" s="1" t="n">
        <v>46050</v>
      </c>
      <c r="D1182" t="inlineStr">
        <is>
          <t>STOCKHOLMS LÄN</t>
        </is>
      </c>
      <c r="E1182" t="inlineStr">
        <is>
          <t>NORRTÄLJE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32256-2025</t>
        </is>
      </c>
      <c r="B1183" s="1" t="n">
        <v>45835.6353125</v>
      </c>
      <c r="C1183" s="1" t="n">
        <v>46050</v>
      </c>
      <c r="D1183" t="inlineStr">
        <is>
          <t>STOCKHOLMS LÄN</t>
        </is>
      </c>
      <c r="E1183" t="inlineStr">
        <is>
          <t>VAXHOLM</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52101-2022</t>
        </is>
      </c>
      <c r="B1184" s="1" t="n">
        <v>44873</v>
      </c>
      <c r="C1184" s="1" t="n">
        <v>46050</v>
      </c>
      <c r="D1184" t="inlineStr">
        <is>
          <t>STOCKHOLMS LÄN</t>
        </is>
      </c>
      <c r="E1184" t="inlineStr">
        <is>
          <t>SÖDERTÄLJE</t>
        </is>
      </c>
      <c r="F1184" t="inlineStr">
        <is>
          <t>Kommuner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43916-2025</t>
        </is>
      </c>
      <c r="B1185" s="1" t="n">
        <v>45914.78884259259</v>
      </c>
      <c r="C1185" s="1" t="n">
        <v>46050</v>
      </c>
      <c r="D1185" t="inlineStr">
        <is>
          <t>STOCKHOLMS LÄN</t>
        </is>
      </c>
      <c r="E1185" t="inlineStr">
        <is>
          <t>NORRTÄLJE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32230-2025</t>
        </is>
      </c>
      <c r="B1186" s="1" t="n">
        <v>45835.59810185185</v>
      </c>
      <c r="C1186" s="1" t="n">
        <v>46050</v>
      </c>
      <c r="D1186" t="inlineStr">
        <is>
          <t>STOCKHOLMS LÄN</t>
        </is>
      </c>
      <c r="E1186" t="inlineStr">
        <is>
          <t>VÄRMDÖ</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17556-2025</t>
        </is>
      </c>
      <c r="B1187" s="1" t="n">
        <v>45757.62482638889</v>
      </c>
      <c r="C1187" s="1" t="n">
        <v>46050</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32016-2025</t>
        </is>
      </c>
      <c r="B1188" s="1" t="n">
        <v>45835</v>
      </c>
      <c r="C1188" s="1" t="n">
        <v>46050</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34713-2025</t>
        </is>
      </c>
      <c r="B1189" s="1" t="n">
        <v>45848</v>
      </c>
      <c r="C1189" s="1" t="n">
        <v>46050</v>
      </c>
      <c r="D1189" t="inlineStr">
        <is>
          <t>STOCKHOLMS LÄN</t>
        </is>
      </c>
      <c r="E1189" t="inlineStr">
        <is>
          <t>ÖSTERÅKER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22080-2024</t>
        </is>
      </c>
      <c r="B1190" s="1" t="n">
        <v>45443.64962962963</v>
      </c>
      <c r="C1190" s="1" t="n">
        <v>46050</v>
      </c>
      <c r="D1190" t="inlineStr">
        <is>
          <t>STOCKHOLMS LÄN</t>
        </is>
      </c>
      <c r="E1190" t="inlineStr">
        <is>
          <t>ÖSTERÅKER</t>
        </is>
      </c>
      <c r="F1190" t="inlineStr">
        <is>
          <t>Övriga Aktiebolag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32283-2025</t>
        </is>
      </c>
      <c r="B1191" s="1" t="n">
        <v>45835.68076388889</v>
      </c>
      <c r="C1191" s="1" t="n">
        <v>46050</v>
      </c>
      <c r="D1191" t="inlineStr">
        <is>
          <t>STOCKHOLMS LÄN</t>
        </is>
      </c>
      <c r="E1191" t="inlineStr">
        <is>
          <t>NORRTÄLJE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31874-2025</t>
        </is>
      </c>
      <c r="B1192" s="1" t="n">
        <v>45834</v>
      </c>
      <c r="C1192" s="1" t="n">
        <v>46050</v>
      </c>
      <c r="D1192" t="inlineStr">
        <is>
          <t>STOCKHOLMS LÄN</t>
        </is>
      </c>
      <c r="E1192" t="inlineStr">
        <is>
          <t>NORRTÄLJE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74170-2021</t>
        </is>
      </c>
      <c r="B1193" s="1" t="n">
        <v>44557</v>
      </c>
      <c r="C1193" s="1" t="n">
        <v>46050</v>
      </c>
      <c r="D1193" t="inlineStr">
        <is>
          <t>STOCKHOLMS LÄN</t>
        </is>
      </c>
      <c r="E1193" t="inlineStr">
        <is>
          <t>SIGTUNA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32094-2025</t>
        </is>
      </c>
      <c r="B1194" s="1" t="n">
        <v>45835.46034722222</v>
      </c>
      <c r="C1194" s="1" t="n">
        <v>46050</v>
      </c>
      <c r="D1194" t="inlineStr">
        <is>
          <t>STOCKHOLMS LÄN</t>
        </is>
      </c>
      <c r="E1194" t="inlineStr">
        <is>
          <t>NORRTÄLJE</t>
        </is>
      </c>
      <c r="F1194" t="inlineStr">
        <is>
          <t>Holmen skog AB</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25754-2023</t>
        </is>
      </c>
      <c r="B1195" s="1" t="n">
        <v>45084</v>
      </c>
      <c r="C1195" s="1" t="n">
        <v>46050</v>
      </c>
      <c r="D1195" t="inlineStr">
        <is>
          <t>STOCKHOLMS LÄN</t>
        </is>
      </c>
      <c r="E1195" t="inlineStr">
        <is>
          <t>NYKVARN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42094-2023</t>
        </is>
      </c>
      <c r="B1196" s="1" t="n">
        <v>45177.61498842593</v>
      </c>
      <c r="C1196" s="1" t="n">
        <v>46050</v>
      </c>
      <c r="D1196" t="inlineStr">
        <is>
          <t>STOCKHOLMS LÄN</t>
        </is>
      </c>
      <c r="E1196" t="inlineStr">
        <is>
          <t>NORRTÄLJE</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44354-2025</t>
        </is>
      </c>
      <c r="B1197" s="1" t="n">
        <v>45916.44655092592</v>
      </c>
      <c r="C1197" s="1" t="n">
        <v>46050</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42133-2023</t>
        </is>
      </c>
      <c r="B1198" s="1" t="n">
        <v>45177.83136574074</v>
      </c>
      <c r="C1198" s="1" t="n">
        <v>46050</v>
      </c>
      <c r="D1198" t="inlineStr">
        <is>
          <t>STOCKHOLMS LÄN</t>
        </is>
      </c>
      <c r="E1198" t="inlineStr">
        <is>
          <t>SÖDERTÄLJE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32962-2025</t>
        </is>
      </c>
      <c r="B1199" s="1" t="n">
        <v>45839</v>
      </c>
      <c r="C1199" s="1" t="n">
        <v>46050</v>
      </c>
      <c r="D1199" t="inlineStr">
        <is>
          <t>STOCKHOLMS LÄN</t>
        </is>
      </c>
      <c r="E1199" t="inlineStr">
        <is>
          <t>SALEM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33029-2025</t>
        </is>
      </c>
      <c r="B1200" s="1" t="n">
        <v>45839</v>
      </c>
      <c r="C1200" s="1" t="n">
        <v>46050</v>
      </c>
      <c r="D1200" t="inlineStr">
        <is>
          <t>STOCKHOLMS LÄN</t>
        </is>
      </c>
      <c r="E1200" t="inlineStr">
        <is>
          <t>SALEM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33455-2025</t>
        </is>
      </c>
      <c r="B1201" s="1" t="n">
        <v>45839</v>
      </c>
      <c r="C1201" s="1" t="n">
        <v>46050</v>
      </c>
      <c r="D1201" t="inlineStr">
        <is>
          <t>STOCKHOLMS LÄN</t>
        </is>
      </c>
      <c r="E1201" t="inlineStr">
        <is>
          <t>SALEM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27313-2023</t>
        </is>
      </c>
      <c r="B1202" s="1" t="n">
        <v>45096</v>
      </c>
      <c r="C1202" s="1" t="n">
        <v>46050</v>
      </c>
      <c r="D1202" t="inlineStr">
        <is>
          <t>STOCKHOLMS LÄN</t>
        </is>
      </c>
      <c r="E1202" t="inlineStr">
        <is>
          <t>UPPLANDS-BRO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33243-2025</t>
        </is>
      </c>
      <c r="B1203" s="1" t="n">
        <v>45839</v>
      </c>
      <c r="C1203" s="1" t="n">
        <v>46050</v>
      </c>
      <c r="D1203" t="inlineStr">
        <is>
          <t>STOCKHOLMS LÄN</t>
        </is>
      </c>
      <c r="E1203" t="inlineStr">
        <is>
          <t>SALEM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33251-2025</t>
        </is>
      </c>
      <c r="B1204" s="1" t="n">
        <v>45839</v>
      </c>
      <c r="C1204" s="1" t="n">
        <v>46050</v>
      </c>
      <c r="D1204" t="inlineStr">
        <is>
          <t>STOCKHOLMS LÄN</t>
        </is>
      </c>
      <c r="E1204" t="inlineStr">
        <is>
          <t>SALEM</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33277-2025</t>
        </is>
      </c>
      <c r="B1205" s="1" t="n">
        <v>45839</v>
      </c>
      <c r="C1205" s="1" t="n">
        <v>46050</v>
      </c>
      <c r="D1205" t="inlineStr">
        <is>
          <t>STOCKHOLMS LÄN</t>
        </is>
      </c>
      <c r="E1205" t="inlineStr">
        <is>
          <t>SALEM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32480-2025</t>
        </is>
      </c>
      <c r="B1206" s="1" t="n">
        <v>45838.43261574074</v>
      </c>
      <c r="C1206" s="1" t="n">
        <v>46050</v>
      </c>
      <c r="D1206" t="inlineStr">
        <is>
          <t>STOCKHOLMS LÄN</t>
        </is>
      </c>
      <c r="E1206" t="inlineStr">
        <is>
          <t>NORRTÄLJE</t>
        </is>
      </c>
      <c r="F1206" t="inlineStr">
        <is>
          <t>Holmen skog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33284-2025</t>
        </is>
      </c>
      <c r="B1207" s="1" t="n">
        <v>45839</v>
      </c>
      <c r="C1207" s="1" t="n">
        <v>46050</v>
      </c>
      <c r="D1207" t="inlineStr">
        <is>
          <t>STOCKHOLMS LÄN</t>
        </is>
      </c>
      <c r="E1207" t="inlineStr">
        <is>
          <t>SALEM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32960-2025</t>
        </is>
      </c>
      <c r="B1208" s="1" t="n">
        <v>45839</v>
      </c>
      <c r="C1208" s="1" t="n">
        <v>46050</v>
      </c>
      <c r="D1208" t="inlineStr">
        <is>
          <t>STOCKHOLMS LÄN</t>
        </is>
      </c>
      <c r="E1208" t="inlineStr">
        <is>
          <t>SALEM</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32968-2025</t>
        </is>
      </c>
      <c r="B1209" s="1" t="n">
        <v>45839</v>
      </c>
      <c r="C1209" s="1" t="n">
        <v>46050</v>
      </c>
      <c r="D1209" t="inlineStr">
        <is>
          <t>STOCKHOLMS LÄN</t>
        </is>
      </c>
      <c r="E1209" t="inlineStr">
        <is>
          <t>SALEM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32872-2025</t>
        </is>
      </c>
      <c r="B1210" s="1" t="n">
        <v>45839</v>
      </c>
      <c r="C1210" s="1" t="n">
        <v>46050</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32903-2025</t>
        </is>
      </c>
      <c r="B1211" s="1" t="n">
        <v>45839.62398148148</v>
      </c>
      <c r="C1211" s="1" t="n">
        <v>46050</v>
      </c>
      <c r="D1211" t="inlineStr">
        <is>
          <t>STOCKHOLMS LÄN</t>
        </is>
      </c>
      <c r="E1211" t="inlineStr">
        <is>
          <t>NORRTÄLJE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37844-2022</t>
        </is>
      </c>
      <c r="B1212" s="1" t="n">
        <v>44810</v>
      </c>
      <c r="C1212" s="1" t="n">
        <v>46050</v>
      </c>
      <c r="D1212" t="inlineStr">
        <is>
          <t>STOCKHOLMS LÄN</t>
        </is>
      </c>
      <c r="E1212" t="inlineStr">
        <is>
          <t>SÖDERTÄLJE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32942-2025</t>
        </is>
      </c>
      <c r="B1213" s="1" t="n">
        <v>45839</v>
      </c>
      <c r="C1213" s="1" t="n">
        <v>46050</v>
      </c>
      <c r="D1213" t="inlineStr">
        <is>
          <t>STOCKHOLMS LÄN</t>
        </is>
      </c>
      <c r="E1213" t="inlineStr">
        <is>
          <t>SALEM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32952-2025</t>
        </is>
      </c>
      <c r="B1214" s="1" t="n">
        <v>45839.69278935185</v>
      </c>
      <c r="C1214" s="1" t="n">
        <v>46050</v>
      </c>
      <c r="D1214" t="inlineStr">
        <is>
          <t>STOCKHOLMS LÄN</t>
        </is>
      </c>
      <c r="E1214" t="inlineStr">
        <is>
          <t>HANINGE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32965-2025</t>
        </is>
      </c>
      <c r="B1215" s="1" t="n">
        <v>45839</v>
      </c>
      <c r="C1215" s="1" t="n">
        <v>46050</v>
      </c>
      <c r="D1215" t="inlineStr">
        <is>
          <t>STOCKHOLMS LÄN</t>
        </is>
      </c>
      <c r="E1215" t="inlineStr">
        <is>
          <t>SALEM</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32970-2025</t>
        </is>
      </c>
      <c r="B1216" s="1" t="n">
        <v>45839</v>
      </c>
      <c r="C1216" s="1" t="n">
        <v>46050</v>
      </c>
      <c r="D1216" t="inlineStr">
        <is>
          <t>STOCKHOLMS LÄN</t>
        </is>
      </c>
      <c r="E1216" t="inlineStr">
        <is>
          <t>SALEM</t>
        </is>
      </c>
      <c r="G1216" t="n">
        <v>10.5</v>
      </c>
      <c r="H1216" t="n">
        <v>0</v>
      </c>
      <c r="I1216" t="n">
        <v>0</v>
      </c>
      <c r="J1216" t="n">
        <v>0</v>
      </c>
      <c r="K1216" t="n">
        <v>0</v>
      </c>
      <c r="L1216" t="n">
        <v>0</v>
      </c>
      <c r="M1216" t="n">
        <v>0</v>
      </c>
      <c r="N1216" t="n">
        <v>0</v>
      </c>
      <c r="O1216" t="n">
        <v>0</v>
      </c>
      <c r="P1216" t="n">
        <v>0</v>
      </c>
      <c r="Q1216" t="n">
        <v>0</v>
      </c>
      <c r="R1216" s="2" t="inlineStr"/>
    </row>
    <row r="1217" ht="15" customHeight="1">
      <c r="A1217" t="inlineStr">
        <is>
          <t>A 33281-2025</t>
        </is>
      </c>
      <c r="B1217" s="1" t="n">
        <v>45839</v>
      </c>
      <c r="C1217" s="1" t="n">
        <v>46050</v>
      </c>
      <c r="D1217" t="inlineStr">
        <is>
          <t>STOCKHOLMS LÄN</t>
        </is>
      </c>
      <c r="E1217" t="inlineStr">
        <is>
          <t>SALEM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32395-2025</t>
        </is>
      </c>
      <c r="B1218" s="1" t="n">
        <v>45837.93730324074</v>
      </c>
      <c r="C1218" s="1" t="n">
        <v>46050</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32396-2025</t>
        </is>
      </c>
      <c r="B1219" s="1" t="n">
        <v>45837</v>
      </c>
      <c r="C1219" s="1" t="n">
        <v>46050</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32397-2025</t>
        </is>
      </c>
      <c r="B1220" s="1" t="n">
        <v>45837.94081018519</v>
      </c>
      <c r="C1220" s="1" t="n">
        <v>46050</v>
      </c>
      <c r="D1220" t="inlineStr">
        <is>
          <t>STOCKHOLMS LÄN</t>
        </is>
      </c>
      <c r="E1220" t="inlineStr">
        <is>
          <t>NORRTÄLJE</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32953-2025</t>
        </is>
      </c>
      <c r="B1221" s="1" t="n">
        <v>45839</v>
      </c>
      <c r="C1221" s="1" t="n">
        <v>46050</v>
      </c>
      <c r="D1221" t="inlineStr">
        <is>
          <t>STOCKHOLMS LÄN</t>
        </is>
      </c>
      <c r="E1221" t="inlineStr">
        <is>
          <t>SALEM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32954-2025</t>
        </is>
      </c>
      <c r="B1222" s="1" t="n">
        <v>45839.70034722222</v>
      </c>
      <c r="C1222" s="1" t="n">
        <v>46050</v>
      </c>
      <c r="D1222" t="inlineStr">
        <is>
          <t>STOCKHOLMS LÄN</t>
        </is>
      </c>
      <c r="E1222" t="inlineStr">
        <is>
          <t>HANINGE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33470-2025</t>
        </is>
      </c>
      <c r="B1223" s="1" t="n">
        <v>45839</v>
      </c>
      <c r="C1223" s="1" t="n">
        <v>46050</v>
      </c>
      <c r="D1223" t="inlineStr">
        <is>
          <t>STOCKHOLMS LÄN</t>
        </is>
      </c>
      <c r="E1223" t="inlineStr">
        <is>
          <t>SALEM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33441-2025</t>
        </is>
      </c>
      <c r="B1224" s="1" t="n">
        <v>45839</v>
      </c>
      <c r="C1224" s="1" t="n">
        <v>46050</v>
      </c>
      <c r="D1224" t="inlineStr">
        <is>
          <t>STOCKHOLMS LÄN</t>
        </is>
      </c>
      <c r="E1224" t="inlineStr">
        <is>
          <t>SALEM</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44306-2025</t>
        </is>
      </c>
      <c r="B1225" s="1" t="n">
        <v>45916.37736111111</v>
      </c>
      <c r="C1225" s="1" t="n">
        <v>46050</v>
      </c>
      <c r="D1225" t="inlineStr">
        <is>
          <t>STOCKHOLMS LÄN</t>
        </is>
      </c>
      <c r="E1225" t="inlineStr">
        <is>
          <t>NORRTÄLJE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44343-2025</t>
        </is>
      </c>
      <c r="B1226" s="1" t="n">
        <v>45916.43378472222</v>
      </c>
      <c r="C1226" s="1" t="n">
        <v>46050</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44349-2025</t>
        </is>
      </c>
      <c r="B1227" s="1" t="n">
        <v>45916.43929398148</v>
      </c>
      <c r="C1227" s="1" t="n">
        <v>46050</v>
      </c>
      <c r="D1227" t="inlineStr">
        <is>
          <t>STOCKHOLMS LÄN</t>
        </is>
      </c>
      <c r="E1227" t="inlineStr">
        <is>
          <t>NORRTÄLJE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44311-2025</t>
        </is>
      </c>
      <c r="B1228" s="1" t="n">
        <v>45916.38394675926</v>
      </c>
      <c r="C1228" s="1" t="n">
        <v>46050</v>
      </c>
      <c r="D1228" t="inlineStr">
        <is>
          <t>STOCKHOLMS LÄN</t>
        </is>
      </c>
      <c r="E1228" t="inlineStr">
        <is>
          <t>NORRTÄLJE</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8370-2025</t>
        </is>
      </c>
      <c r="B1229" s="1" t="n">
        <v>45708</v>
      </c>
      <c r="C1229" s="1" t="n">
        <v>46050</v>
      </c>
      <c r="D1229" t="inlineStr">
        <is>
          <t>STOCKHOLMS LÄN</t>
        </is>
      </c>
      <c r="E1229" t="inlineStr">
        <is>
          <t>NORRTÄLJE</t>
        </is>
      </c>
      <c r="F1229" t="inlineStr">
        <is>
          <t>Övriga Aktiebolag</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44333-2025</t>
        </is>
      </c>
      <c r="B1230" s="1" t="n">
        <v>45916.42293981482</v>
      </c>
      <c r="C1230" s="1" t="n">
        <v>46050</v>
      </c>
      <c r="D1230" t="inlineStr">
        <is>
          <t>STOCKHOLMS LÄN</t>
        </is>
      </c>
      <c r="E1230" t="inlineStr">
        <is>
          <t>NORRTÄLJE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32555-2023</t>
        </is>
      </c>
      <c r="B1231" s="1" t="n">
        <v>45121.43032407408</v>
      </c>
      <c r="C1231" s="1" t="n">
        <v>46050</v>
      </c>
      <c r="D1231" t="inlineStr">
        <is>
          <t>STOCKHOLMS LÄN</t>
        </is>
      </c>
      <c r="E1231" t="inlineStr">
        <is>
          <t>NYKVARN</t>
        </is>
      </c>
      <c r="F1231" t="inlineStr">
        <is>
          <t>Sveaskog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3299-2022</t>
        </is>
      </c>
      <c r="B1232" s="1" t="n">
        <v>44584.91001157407</v>
      </c>
      <c r="C1232" s="1" t="n">
        <v>46050</v>
      </c>
      <c r="D1232" t="inlineStr">
        <is>
          <t>STOCKHOLMS LÄN</t>
        </is>
      </c>
      <c r="E1232" t="inlineStr">
        <is>
          <t>NORRTÄLJE</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16728-2022</t>
        </is>
      </c>
      <c r="B1233" s="1" t="n">
        <v>44673</v>
      </c>
      <c r="C1233" s="1" t="n">
        <v>46050</v>
      </c>
      <c r="D1233" t="inlineStr">
        <is>
          <t>STOCKHOLMS LÄN</t>
        </is>
      </c>
      <c r="E1233" t="inlineStr">
        <is>
          <t>ÖSTERÅKER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10280-2025</t>
        </is>
      </c>
      <c r="B1234" s="1" t="n">
        <v>45720.40354166667</v>
      </c>
      <c r="C1234" s="1" t="n">
        <v>46050</v>
      </c>
      <c r="D1234" t="inlineStr">
        <is>
          <t>STOCKHOLMS LÄN</t>
        </is>
      </c>
      <c r="E1234" t="inlineStr">
        <is>
          <t>SÖDERTÄLJE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33428-2025</t>
        </is>
      </c>
      <c r="B1235" s="1" t="n">
        <v>45839</v>
      </c>
      <c r="C1235" s="1" t="n">
        <v>46050</v>
      </c>
      <c r="D1235" t="inlineStr">
        <is>
          <t>STOCKHOLMS LÄN</t>
        </is>
      </c>
      <c r="E1235" t="inlineStr">
        <is>
          <t>SALEM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33439-2025</t>
        </is>
      </c>
      <c r="B1236" s="1" t="n">
        <v>45839</v>
      </c>
      <c r="C1236" s="1" t="n">
        <v>46050</v>
      </c>
      <c r="D1236" t="inlineStr">
        <is>
          <t>STOCKHOLMS LÄN</t>
        </is>
      </c>
      <c r="E1236" t="inlineStr">
        <is>
          <t>SALEM</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33458-2025</t>
        </is>
      </c>
      <c r="B1237" s="1" t="n">
        <v>45839</v>
      </c>
      <c r="C1237" s="1" t="n">
        <v>46050</v>
      </c>
      <c r="D1237" t="inlineStr">
        <is>
          <t>STOCKHOLMS LÄN</t>
        </is>
      </c>
      <c r="E1237" t="inlineStr">
        <is>
          <t>SALEM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33460-2025</t>
        </is>
      </c>
      <c r="B1238" s="1" t="n">
        <v>45839</v>
      </c>
      <c r="C1238" s="1" t="n">
        <v>46050</v>
      </c>
      <c r="D1238" t="inlineStr">
        <is>
          <t>STOCKHOLMS LÄN</t>
        </is>
      </c>
      <c r="E1238" t="inlineStr">
        <is>
          <t>SALEM</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33465-2025</t>
        </is>
      </c>
      <c r="B1239" s="1" t="n">
        <v>45839</v>
      </c>
      <c r="C1239" s="1" t="n">
        <v>46050</v>
      </c>
      <c r="D1239" t="inlineStr">
        <is>
          <t>STOCKHOLMS LÄN</t>
        </is>
      </c>
      <c r="E1239" t="inlineStr">
        <is>
          <t>SALEM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32946-2025</t>
        </is>
      </c>
      <c r="B1240" s="1" t="n">
        <v>45839</v>
      </c>
      <c r="C1240" s="1" t="n">
        <v>46050</v>
      </c>
      <c r="D1240" t="inlineStr">
        <is>
          <t>STOCKHOLMS LÄN</t>
        </is>
      </c>
      <c r="E1240" t="inlineStr">
        <is>
          <t>SALEM</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33421-2025</t>
        </is>
      </c>
      <c r="B1241" s="1" t="n">
        <v>45839</v>
      </c>
      <c r="C1241" s="1" t="n">
        <v>46050</v>
      </c>
      <c r="D1241" t="inlineStr">
        <is>
          <t>STOCKHOLMS LÄN</t>
        </is>
      </c>
      <c r="E1241" t="inlineStr">
        <is>
          <t>SALEM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33446-2025</t>
        </is>
      </c>
      <c r="B1242" s="1" t="n">
        <v>45839</v>
      </c>
      <c r="C1242" s="1" t="n">
        <v>46050</v>
      </c>
      <c r="D1242" t="inlineStr">
        <is>
          <t>STOCKHOLMS LÄN</t>
        </is>
      </c>
      <c r="E1242" t="inlineStr">
        <is>
          <t>SALEM</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12348-2025</t>
        </is>
      </c>
      <c r="B1243" s="1" t="n">
        <v>45730.35026620371</v>
      </c>
      <c r="C1243" s="1" t="n">
        <v>46050</v>
      </c>
      <c r="D1243" t="inlineStr">
        <is>
          <t>STOCKHOLMS LÄN</t>
        </is>
      </c>
      <c r="E1243" t="inlineStr">
        <is>
          <t>NORRTÄLJE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63931-2021</t>
        </is>
      </c>
      <c r="B1244" s="1" t="n">
        <v>44509</v>
      </c>
      <c r="C1244" s="1" t="n">
        <v>46050</v>
      </c>
      <c r="D1244" t="inlineStr">
        <is>
          <t>STOCKHOLMS LÄN</t>
        </is>
      </c>
      <c r="E1244" t="inlineStr">
        <is>
          <t>NYNÄSHAMN</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33473-2025</t>
        </is>
      </c>
      <c r="B1245" s="1" t="n">
        <v>45839</v>
      </c>
      <c r="C1245" s="1" t="n">
        <v>46050</v>
      </c>
      <c r="D1245" t="inlineStr">
        <is>
          <t>STOCKHOLMS LÄN</t>
        </is>
      </c>
      <c r="E1245" t="inlineStr">
        <is>
          <t>SALEM</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12874-2021</t>
        </is>
      </c>
      <c r="B1246" s="1" t="n">
        <v>44271.42787037037</v>
      </c>
      <c r="C1246" s="1" t="n">
        <v>46050</v>
      </c>
      <c r="D1246" t="inlineStr">
        <is>
          <t>STOCKHOLMS LÄN</t>
        </is>
      </c>
      <c r="E1246" t="inlineStr">
        <is>
          <t>SALEM</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36886-2023</t>
        </is>
      </c>
      <c r="B1247" s="1" t="n">
        <v>45154</v>
      </c>
      <c r="C1247" s="1" t="n">
        <v>46050</v>
      </c>
      <c r="D1247" t="inlineStr">
        <is>
          <t>STOCKHOLMS LÄN</t>
        </is>
      </c>
      <c r="E1247" t="inlineStr">
        <is>
          <t>SÖDERTÄLJE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17545-2025</t>
        </is>
      </c>
      <c r="B1248" s="1" t="n">
        <v>45757.60658564815</v>
      </c>
      <c r="C1248" s="1" t="n">
        <v>46050</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25094-2023</t>
        </is>
      </c>
      <c r="B1249" s="1" t="n">
        <v>45086.3629050926</v>
      </c>
      <c r="C1249" s="1" t="n">
        <v>46050</v>
      </c>
      <c r="D1249" t="inlineStr">
        <is>
          <t>STOCKHOLMS LÄN</t>
        </is>
      </c>
      <c r="E1249" t="inlineStr">
        <is>
          <t>NORRTÄLJE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36157-2024</t>
        </is>
      </c>
      <c r="B1250" s="1" t="n">
        <v>45534.38240740741</v>
      </c>
      <c r="C1250" s="1" t="n">
        <v>46050</v>
      </c>
      <c r="D1250" t="inlineStr">
        <is>
          <t>STOCKHOLMS LÄN</t>
        </is>
      </c>
      <c r="E1250" t="inlineStr">
        <is>
          <t>NORRTÄLJE</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44937-2025</t>
        </is>
      </c>
      <c r="B1251" s="1" t="n">
        <v>45918</v>
      </c>
      <c r="C1251" s="1" t="n">
        <v>46050</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60324-2022</t>
        </is>
      </c>
      <c r="B1252" s="1" t="n">
        <v>44910.59086805556</v>
      </c>
      <c r="C1252" s="1" t="n">
        <v>46050</v>
      </c>
      <c r="D1252" t="inlineStr">
        <is>
          <t>STOCKHOLMS LÄN</t>
        </is>
      </c>
      <c r="E1252" t="inlineStr">
        <is>
          <t>NYKVARN</t>
        </is>
      </c>
      <c r="F1252" t="inlineStr">
        <is>
          <t>Kyrkan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64114-2023</t>
        </is>
      </c>
      <c r="B1253" s="1" t="n">
        <v>45279</v>
      </c>
      <c r="C1253" s="1" t="n">
        <v>46050</v>
      </c>
      <c r="D1253" t="inlineStr">
        <is>
          <t>STOCKHOLMS LÄN</t>
        </is>
      </c>
      <c r="E1253" t="inlineStr">
        <is>
          <t>UPPLANDS-BRO</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36986-2025</t>
        </is>
      </c>
      <c r="B1254" s="1" t="n">
        <v>45874.65056712963</v>
      </c>
      <c r="C1254" s="1" t="n">
        <v>46050</v>
      </c>
      <c r="D1254" t="inlineStr">
        <is>
          <t>STOCKHOLMS LÄN</t>
        </is>
      </c>
      <c r="E1254" t="inlineStr">
        <is>
          <t>NYKVARN</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44988-2025</t>
        </is>
      </c>
      <c r="B1255" s="1" t="n">
        <v>45918.65505787037</v>
      </c>
      <c r="C1255" s="1" t="n">
        <v>46050</v>
      </c>
      <c r="D1255" t="inlineStr">
        <is>
          <t>STOCKHOLMS LÄN</t>
        </is>
      </c>
      <c r="E1255" t="inlineStr">
        <is>
          <t>VALLENTUNA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47694-2023</t>
        </is>
      </c>
      <c r="B1256" s="1" t="n">
        <v>45203.63303240741</v>
      </c>
      <c r="C1256" s="1" t="n">
        <v>46050</v>
      </c>
      <c r="D1256" t="inlineStr">
        <is>
          <t>STOCKHOLMS LÄN</t>
        </is>
      </c>
      <c r="E1256" t="inlineStr">
        <is>
          <t>NORRTÄLJE</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33702-2025</t>
        </is>
      </c>
      <c r="B1257" s="1" t="n">
        <v>45841.74596064815</v>
      </c>
      <c r="C1257" s="1" t="n">
        <v>46050</v>
      </c>
      <c r="D1257" t="inlineStr">
        <is>
          <t>STOCKHOLMS LÄN</t>
        </is>
      </c>
      <c r="E1257" t="inlineStr">
        <is>
          <t>NORRTÄLJE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35532-2024</t>
        </is>
      </c>
      <c r="B1258" s="1" t="n">
        <v>45531</v>
      </c>
      <c r="C1258" s="1" t="n">
        <v>46050</v>
      </c>
      <c r="D1258" t="inlineStr">
        <is>
          <t>STOCKHOLMS LÄN</t>
        </is>
      </c>
      <c r="E1258" t="inlineStr">
        <is>
          <t>NORRTÄLJE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33211-2025</t>
        </is>
      </c>
      <c r="B1259" s="1" t="n">
        <v>45840.62755787037</v>
      </c>
      <c r="C1259" s="1" t="n">
        <v>46050</v>
      </c>
      <c r="D1259" t="inlineStr">
        <is>
          <t>STOCKHOLMS LÄN</t>
        </is>
      </c>
      <c r="E1259" t="inlineStr">
        <is>
          <t>NORRTÄLJE</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1654-2025</t>
        </is>
      </c>
      <c r="B1260" s="1" t="n">
        <v>45670.65921296296</v>
      </c>
      <c r="C1260" s="1" t="n">
        <v>46050</v>
      </c>
      <c r="D1260" t="inlineStr">
        <is>
          <t>STOCKHOLMS LÄN</t>
        </is>
      </c>
      <c r="E1260" t="inlineStr">
        <is>
          <t>NORRTÄLJE</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62644-2023</t>
        </is>
      </c>
      <c r="B1261" s="1" t="n">
        <v>45271</v>
      </c>
      <c r="C1261" s="1" t="n">
        <v>46050</v>
      </c>
      <c r="D1261" t="inlineStr">
        <is>
          <t>STOCKHOLMS LÄN</t>
        </is>
      </c>
      <c r="E1261" t="inlineStr">
        <is>
          <t>NORRTÄLJE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33265-2025</t>
        </is>
      </c>
      <c r="B1262" s="1" t="n">
        <v>45840.67829861111</v>
      </c>
      <c r="C1262" s="1" t="n">
        <v>46050</v>
      </c>
      <c r="D1262" t="inlineStr">
        <is>
          <t>STOCKHOLMS LÄN</t>
        </is>
      </c>
      <c r="E1262" t="inlineStr">
        <is>
          <t>NORRTÄLJE</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1136-2023</t>
        </is>
      </c>
      <c r="B1263" s="1" t="n">
        <v>44935</v>
      </c>
      <c r="C1263" s="1" t="n">
        <v>46050</v>
      </c>
      <c r="D1263" t="inlineStr">
        <is>
          <t>STOCKHOLMS LÄN</t>
        </is>
      </c>
      <c r="E1263" t="inlineStr">
        <is>
          <t>ÖSTERÅKER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61710-2022</t>
        </is>
      </c>
      <c r="B1264" s="1" t="n">
        <v>44917</v>
      </c>
      <c r="C1264" s="1" t="n">
        <v>46050</v>
      </c>
      <c r="D1264" t="inlineStr">
        <is>
          <t>STOCKHOLMS LÄN</t>
        </is>
      </c>
      <c r="E1264" t="inlineStr">
        <is>
          <t>ÖSTERÅKER</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22359-2025</t>
        </is>
      </c>
      <c r="B1265" s="1" t="n">
        <v>45786</v>
      </c>
      <c r="C1265" s="1" t="n">
        <v>46050</v>
      </c>
      <c r="D1265" t="inlineStr">
        <is>
          <t>STOCKHOLMS LÄN</t>
        </is>
      </c>
      <c r="E1265" t="inlineStr">
        <is>
          <t>NORRTÄLJE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11229-2022</t>
        </is>
      </c>
      <c r="B1266" s="1" t="n">
        <v>44629</v>
      </c>
      <c r="C1266" s="1" t="n">
        <v>46050</v>
      </c>
      <c r="D1266" t="inlineStr">
        <is>
          <t>STOCKHOLMS LÄN</t>
        </is>
      </c>
      <c r="E1266" t="inlineStr">
        <is>
          <t>NORRTÄLJE</t>
        </is>
      </c>
      <c r="F1266" t="inlineStr">
        <is>
          <t>Övriga Aktiebolag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33552-2025</t>
        </is>
      </c>
      <c r="B1267" s="1" t="n">
        <v>45841.5737962963</v>
      </c>
      <c r="C1267" s="1" t="n">
        <v>46050</v>
      </c>
      <c r="D1267" t="inlineStr">
        <is>
          <t>STOCKHOLMS LÄN</t>
        </is>
      </c>
      <c r="E1267" t="inlineStr">
        <is>
          <t>NORRTÄLJE</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33336-2025</t>
        </is>
      </c>
      <c r="B1268" s="1" t="n">
        <v>45841.35611111111</v>
      </c>
      <c r="C1268" s="1" t="n">
        <v>46050</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33824-2025</t>
        </is>
      </c>
      <c r="B1269" s="1" t="n">
        <v>45842.46885416667</v>
      </c>
      <c r="C1269" s="1" t="n">
        <v>46050</v>
      </c>
      <c r="D1269" t="inlineStr">
        <is>
          <t>STOCKHOLMS LÄN</t>
        </is>
      </c>
      <c r="E1269" t="inlineStr">
        <is>
          <t>NORRTÄLJE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62013-2023</t>
        </is>
      </c>
      <c r="B1270" s="1" t="n">
        <v>45266</v>
      </c>
      <c r="C1270" s="1" t="n">
        <v>46050</v>
      </c>
      <c r="D1270" t="inlineStr">
        <is>
          <t>STOCKHOLMS LÄN</t>
        </is>
      </c>
      <c r="E1270" t="inlineStr">
        <is>
          <t>NYNÄSHAMN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62038-2023</t>
        </is>
      </c>
      <c r="B1271" s="1" t="n">
        <v>45266</v>
      </c>
      <c r="C1271" s="1" t="n">
        <v>46050</v>
      </c>
      <c r="D1271" t="inlineStr">
        <is>
          <t>STOCKHOLMS LÄN</t>
        </is>
      </c>
      <c r="E1271" t="inlineStr">
        <is>
          <t>NYNÄSHAMN</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34038-2025</t>
        </is>
      </c>
      <c r="B1272" s="1" t="n">
        <v>45842</v>
      </c>
      <c r="C1272" s="1" t="n">
        <v>46050</v>
      </c>
      <c r="D1272" t="inlineStr">
        <is>
          <t>STOCKHOLMS LÄN</t>
        </is>
      </c>
      <c r="E1272" t="inlineStr">
        <is>
          <t>ÖSTERÅKER</t>
        </is>
      </c>
      <c r="F1272" t="inlineStr">
        <is>
          <t>Övriga Aktiebolag</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34006-2025</t>
        </is>
      </c>
      <c r="B1273" s="1" t="n">
        <v>45844.62609953704</v>
      </c>
      <c r="C1273" s="1" t="n">
        <v>46050</v>
      </c>
      <c r="D1273" t="inlineStr">
        <is>
          <t>STOCKHOLMS LÄN</t>
        </is>
      </c>
      <c r="E1273" t="inlineStr">
        <is>
          <t>NORRTÄLJE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34139-2025</t>
        </is>
      </c>
      <c r="B1274" s="1" t="n">
        <v>45845</v>
      </c>
      <c r="C1274" s="1" t="n">
        <v>46050</v>
      </c>
      <c r="D1274" t="inlineStr">
        <is>
          <t>STOCKHOLMS LÄN</t>
        </is>
      </c>
      <c r="E1274" t="inlineStr">
        <is>
          <t>NORRTÄLJE</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34079-2025</t>
        </is>
      </c>
      <c r="B1275" s="1" t="n">
        <v>45842</v>
      </c>
      <c r="C1275" s="1" t="n">
        <v>46050</v>
      </c>
      <c r="D1275" t="inlineStr">
        <is>
          <t>STOCKHOLMS LÄN</t>
        </is>
      </c>
      <c r="E1275" t="inlineStr">
        <is>
          <t>ÖSTERÅKER</t>
        </is>
      </c>
      <c r="F1275" t="inlineStr">
        <is>
          <t>Övriga Aktiebolag</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45697-2025</t>
        </is>
      </c>
      <c r="B1276" s="1" t="n">
        <v>45923.39877314815</v>
      </c>
      <c r="C1276" s="1" t="n">
        <v>46050</v>
      </c>
      <c r="D1276" t="inlineStr">
        <is>
          <t>STOCKHOLMS LÄN</t>
        </is>
      </c>
      <c r="E1276" t="inlineStr">
        <is>
          <t>NORRTÄLJE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34010-2025</t>
        </is>
      </c>
      <c r="B1277" s="1" t="n">
        <v>45844.91234953704</v>
      </c>
      <c r="C1277" s="1" t="n">
        <v>46050</v>
      </c>
      <c r="D1277" t="inlineStr">
        <is>
          <t>STOCKHOLMS LÄN</t>
        </is>
      </c>
      <c r="E1277" t="inlineStr">
        <is>
          <t>NORRTÄLJE</t>
        </is>
      </c>
      <c r="F1277" t="inlineStr">
        <is>
          <t>Övriga Aktiebolag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34073-2025</t>
        </is>
      </c>
      <c r="B1278" s="1" t="n">
        <v>45845</v>
      </c>
      <c r="C1278" s="1" t="n">
        <v>46050</v>
      </c>
      <c r="D1278" t="inlineStr">
        <is>
          <t>STOCKHOLMS LÄN</t>
        </is>
      </c>
      <c r="E1278" t="inlineStr">
        <is>
          <t>EKERÖ</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45945-2025</t>
        </is>
      </c>
      <c r="B1279" s="1" t="n">
        <v>45924</v>
      </c>
      <c r="C1279" s="1" t="n">
        <v>46050</v>
      </c>
      <c r="D1279" t="inlineStr">
        <is>
          <t>STOCKHOLMS LÄN</t>
        </is>
      </c>
      <c r="E1279" t="inlineStr">
        <is>
          <t>BOTKYRKA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12372-2025</t>
        </is>
      </c>
      <c r="B1280" s="1" t="n">
        <v>45730.37740740741</v>
      </c>
      <c r="C1280" s="1" t="n">
        <v>46050</v>
      </c>
      <c r="D1280" t="inlineStr">
        <is>
          <t>STOCKHOLMS LÄN</t>
        </is>
      </c>
      <c r="E1280" t="inlineStr">
        <is>
          <t>UPPLANDS-BRO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52953-2024</t>
        </is>
      </c>
      <c r="B1281" s="1" t="n">
        <v>45610.92077546296</v>
      </c>
      <c r="C1281" s="1" t="n">
        <v>46050</v>
      </c>
      <c r="D1281" t="inlineStr">
        <is>
          <t>STOCKHOLMS LÄN</t>
        </is>
      </c>
      <c r="E1281" t="inlineStr">
        <is>
          <t>NYNÄSHAMN</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28431-2025</t>
        </is>
      </c>
      <c r="B1282" s="1" t="n">
        <v>45819.38072916667</v>
      </c>
      <c r="C1282" s="1" t="n">
        <v>46050</v>
      </c>
      <c r="D1282" t="inlineStr">
        <is>
          <t>STOCKHOLMS LÄN</t>
        </is>
      </c>
      <c r="E1282" t="inlineStr">
        <is>
          <t>VALLENTUNA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13945-2025</t>
        </is>
      </c>
      <c r="B1283" s="1" t="n">
        <v>45737.71512731481</v>
      </c>
      <c r="C1283" s="1" t="n">
        <v>46050</v>
      </c>
      <c r="D1283" t="inlineStr">
        <is>
          <t>STOCKHOLMS LÄN</t>
        </is>
      </c>
      <c r="E1283" t="inlineStr">
        <is>
          <t>NYNÄSHAMN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57353-2024</t>
        </is>
      </c>
      <c r="B1284" s="1" t="n">
        <v>45629.65143518519</v>
      </c>
      <c r="C1284" s="1" t="n">
        <v>46050</v>
      </c>
      <c r="D1284" t="inlineStr">
        <is>
          <t>STOCKHOLMS LÄN</t>
        </is>
      </c>
      <c r="E1284" t="inlineStr">
        <is>
          <t>NORRTÄLJE</t>
        </is>
      </c>
      <c r="F1284" t="inlineStr">
        <is>
          <t>Holmen skog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48587-2023</t>
        </is>
      </c>
      <c r="B1285" s="1" t="n">
        <v>45208</v>
      </c>
      <c r="C1285" s="1" t="n">
        <v>46050</v>
      </c>
      <c r="D1285" t="inlineStr">
        <is>
          <t>STOCKHOLMS LÄN</t>
        </is>
      </c>
      <c r="E1285" t="inlineStr">
        <is>
          <t>NORRTÄLJE</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34034-2025</t>
        </is>
      </c>
      <c r="B1286" s="1" t="n">
        <v>45842</v>
      </c>
      <c r="C1286" s="1" t="n">
        <v>46050</v>
      </c>
      <c r="D1286" t="inlineStr">
        <is>
          <t>STOCKHOLMS LÄN</t>
        </is>
      </c>
      <c r="E1286" t="inlineStr">
        <is>
          <t>ÖSTERÅKER</t>
        </is>
      </c>
      <c r="F1286" t="inlineStr">
        <is>
          <t>Övriga Aktiebolag</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46415-2025</t>
        </is>
      </c>
      <c r="B1287" s="1" t="n">
        <v>45925.58636574074</v>
      </c>
      <c r="C1287" s="1" t="n">
        <v>46050</v>
      </c>
      <c r="D1287" t="inlineStr">
        <is>
          <t>STOCKHOLMS LÄN</t>
        </is>
      </c>
      <c r="E1287" t="inlineStr">
        <is>
          <t>NORRTÄLJE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36689-2023</t>
        </is>
      </c>
      <c r="B1288" s="1" t="n">
        <v>45152</v>
      </c>
      <c r="C1288" s="1" t="n">
        <v>46050</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46073-2024</t>
        </is>
      </c>
      <c r="B1289" s="1" t="n">
        <v>45581</v>
      </c>
      <c r="C1289" s="1" t="n">
        <v>46050</v>
      </c>
      <c r="D1289" t="inlineStr">
        <is>
          <t>STOCKHOLMS LÄN</t>
        </is>
      </c>
      <c r="E1289" t="inlineStr">
        <is>
          <t>NORRTÄLJE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46485-2025</t>
        </is>
      </c>
      <c r="B1290" s="1" t="n">
        <v>45925.70648148148</v>
      </c>
      <c r="C1290" s="1" t="n">
        <v>46050</v>
      </c>
      <c r="D1290" t="inlineStr">
        <is>
          <t>STOCKHOLMS LÄN</t>
        </is>
      </c>
      <c r="E1290" t="inlineStr">
        <is>
          <t>VÄRMDÖ</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29982-2025</t>
        </is>
      </c>
      <c r="B1291" s="1" t="n">
        <v>45826</v>
      </c>
      <c r="C1291" s="1" t="n">
        <v>46050</v>
      </c>
      <c r="D1291" t="inlineStr">
        <is>
          <t>STOCKHOLMS LÄN</t>
        </is>
      </c>
      <c r="E1291" t="inlineStr">
        <is>
          <t>SALEM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2549-2022</t>
        </is>
      </c>
      <c r="B1292" s="1" t="n">
        <v>44580</v>
      </c>
      <c r="C1292" s="1" t="n">
        <v>46050</v>
      </c>
      <c r="D1292" t="inlineStr">
        <is>
          <t>STOCKHOLMS LÄN</t>
        </is>
      </c>
      <c r="E1292" t="inlineStr">
        <is>
          <t>NORRTÄLJE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4438-2023</t>
        </is>
      </c>
      <c r="B1293" s="1" t="n">
        <v>44956</v>
      </c>
      <c r="C1293" s="1" t="n">
        <v>46050</v>
      </c>
      <c r="D1293" t="inlineStr">
        <is>
          <t>STOCKHOLMS LÄN</t>
        </is>
      </c>
      <c r="E1293" t="inlineStr">
        <is>
          <t>NORRTÄLJE</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4443-2023</t>
        </is>
      </c>
      <c r="B1294" s="1" t="n">
        <v>44956.45393518519</v>
      </c>
      <c r="C1294" s="1" t="n">
        <v>46050</v>
      </c>
      <c r="D1294" t="inlineStr">
        <is>
          <t>STOCKHOLMS LÄN</t>
        </is>
      </c>
      <c r="E1294" t="inlineStr">
        <is>
          <t>SÖDERTÄLJE</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28752-2024</t>
        </is>
      </c>
      <c r="B1295" s="1" t="n">
        <v>45478.57900462963</v>
      </c>
      <c r="C1295" s="1" t="n">
        <v>46050</v>
      </c>
      <c r="D1295" t="inlineStr">
        <is>
          <t>STOCKHOLMS LÄN</t>
        </is>
      </c>
      <c r="E1295" t="inlineStr">
        <is>
          <t>SIGTUNA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12609-2024</t>
        </is>
      </c>
      <c r="B1296" s="1" t="n">
        <v>45382.8109375</v>
      </c>
      <c r="C1296" s="1" t="n">
        <v>46050</v>
      </c>
      <c r="D1296" t="inlineStr">
        <is>
          <t>STOCKHOLMS LÄN</t>
        </is>
      </c>
      <c r="E1296" t="inlineStr">
        <is>
          <t>VALLENTUNA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47714-2023</t>
        </is>
      </c>
      <c r="B1297" s="1" t="n">
        <v>45198</v>
      </c>
      <c r="C1297" s="1" t="n">
        <v>46050</v>
      </c>
      <c r="D1297" t="inlineStr">
        <is>
          <t>STOCKHOLMS LÄN</t>
        </is>
      </c>
      <c r="E1297" t="inlineStr">
        <is>
          <t>SÖDERTÄLJE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47758-2023</t>
        </is>
      </c>
      <c r="B1298" s="1" t="n">
        <v>45203.83891203703</v>
      </c>
      <c r="C1298" s="1" t="n">
        <v>46050</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46779-2025</t>
        </is>
      </c>
      <c r="B1299" s="1" t="n">
        <v>45926</v>
      </c>
      <c r="C1299" s="1" t="n">
        <v>46050</v>
      </c>
      <c r="D1299" t="inlineStr">
        <is>
          <t>STOCKHOLMS LÄN</t>
        </is>
      </c>
      <c r="E1299" t="inlineStr">
        <is>
          <t>UPPLANDS VÄSBY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46856-2025</t>
        </is>
      </c>
      <c r="B1300" s="1" t="n">
        <v>45928.88810185185</v>
      </c>
      <c r="C1300" s="1" t="n">
        <v>46050</v>
      </c>
      <c r="D1300" t="inlineStr">
        <is>
          <t>STOCKHOLMS LÄN</t>
        </is>
      </c>
      <c r="E1300" t="inlineStr">
        <is>
          <t>NYNÄSHAMN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46857-2025</t>
        </is>
      </c>
      <c r="B1301" s="1" t="n">
        <v>45928.89146990741</v>
      </c>
      <c r="C1301" s="1" t="n">
        <v>46050</v>
      </c>
      <c r="D1301" t="inlineStr">
        <is>
          <t>STOCKHOLMS LÄN</t>
        </is>
      </c>
      <c r="E1301" t="inlineStr">
        <is>
          <t>NYNÄSHAMN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18512-2024</t>
        </is>
      </c>
      <c r="B1302" s="1" t="n">
        <v>45425.59938657407</v>
      </c>
      <c r="C1302" s="1" t="n">
        <v>46050</v>
      </c>
      <c r="D1302" t="inlineStr">
        <is>
          <t>STOCKHOLMS LÄN</t>
        </is>
      </c>
      <c r="E1302" t="inlineStr">
        <is>
          <t>HANINGE</t>
        </is>
      </c>
      <c r="F1302" t="inlineStr">
        <is>
          <t>Kommuner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50294-2023</t>
        </is>
      </c>
      <c r="B1303" s="1" t="n">
        <v>45216</v>
      </c>
      <c r="C1303" s="1" t="n">
        <v>46050</v>
      </c>
      <c r="D1303" t="inlineStr">
        <is>
          <t>STOCKHOLMS LÄN</t>
        </is>
      </c>
      <c r="E1303" t="inlineStr">
        <is>
          <t>UPPLANDS-BRO</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46900-2025</t>
        </is>
      </c>
      <c r="B1304" s="1" t="n">
        <v>45929.38712962963</v>
      </c>
      <c r="C1304" s="1" t="n">
        <v>46050</v>
      </c>
      <c r="D1304" t="inlineStr">
        <is>
          <t>STOCKHOLMS LÄN</t>
        </is>
      </c>
      <c r="E1304" t="inlineStr">
        <is>
          <t>NORRTÄLJE</t>
        </is>
      </c>
      <c r="F1304" t="inlineStr">
        <is>
          <t>Holmen skog AB</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47128-2023</t>
        </is>
      </c>
      <c r="B1305" s="1" t="n">
        <v>45196</v>
      </c>
      <c r="C1305" s="1" t="n">
        <v>46050</v>
      </c>
      <c r="D1305" t="inlineStr">
        <is>
          <t>STOCKHOLMS LÄN</t>
        </is>
      </c>
      <c r="E1305" t="inlineStr">
        <is>
          <t>NYNÄSHAMN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32948-2025</t>
        </is>
      </c>
      <c r="B1306" s="1" t="n">
        <v>45839</v>
      </c>
      <c r="C1306" s="1" t="n">
        <v>46050</v>
      </c>
      <c r="D1306" t="inlineStr">
        <is>
          <t>STOCKHOLMS LÄN</t>
        </is>
      </c>
      <c r="E1306" t="inlineStr">
        <is>
          <t>HANINGE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51061-2023</t>
        </is>
      </c>
      <c r="B1307" s="1" t="n">
        <v>45218.65849537037</v>
      </c>
      <c r="C1307" s="1" t="n">
        <v>46050</v>
      </c>
      <c r="D1307" t="inlineStr">
        <is>
          <t>STOCKHOLMS LÄN</t>
        </is>
      </c>
      <c r="E1307" t="inlineStr">
        <is>
          <t>NORRTÄLJE</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22697-2022</t>
        </is>
      </c>
      <c r="B1308" s="1" t="n">
        <v>44714.56040509259</v>
      </c>
      <c r="C1308" s="1" t="n">
        <v>46050</v>
      </c>
      <c r="D1308" t="inlineStr">
        <is>
          <t>STOCKHOLMS LÄN</t>
        </is>
      </c>
      <c r="E1308" t="inlineStr">
        <is>
          <t>NORRTÄLJE</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56756-2021</t>
        </is>
      </c>
      <c r="B1309" s="1" t="n">
        <v>44481</v>
      </c>
      <c r="C1309" s="1" t="n">
        <v>46050</v>
      </c>
      <c r="D1309" t="inlineStr">
        <is>
          <t>STOCKHOLMS LÄN</t>
        </is>
      </c>
      <c r="E1309" t="inlineStr">
        <is>
          <t>UPPLANDS-BRO</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45549-2022</t>
        </is>
      </c>
      <c r="B1310" s="1" t="n">
        <v>44845.48064814815</v>
      </c>
      <c r="C1310" s="1" t="n">
        <v>46050</v>
      </c>
      <c r="D1310" t="inlineStr">
        <is>
          <t>STOCKHOLMS LÄN</t>
        </is>
      </c>
      <c r="E1310" t="inlineStr">
        <is>
          <t>NORRTÄLJE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54396-2021</t>
        </is>
      </c>
      <c r="B1311" s="1" t="n">
        <v>44472</v>
      </c>
      <c r="C1311" s="1" t="n">
        <v>46050</v>
      </c>
      <c r="D1311" t="inlineStr">
        <is>
          <t>STOCKHOLMS LÄN</t>
        </is>
      </c>
      <c r="E1311" t="inlineStr">
        <is>
          <t>NORRTÄLJE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24727-2023</t>
        </is>
      </c>
      <c r="B1312" s="1" t="n">
        <v>45084.57695601852</v>
      </c>
      <c r="C1312" s="1" t="n">
        <v>46050</v>
      </c>
      <c r="D1312" t="inlineStr">
        <is>
          <t>STOCKHOLMS LÄN</t>
        </is>
      </c>
      <c r="E1312" t="inlineStr">
        <is>
          <t>NORRTÄLJE</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22528-2024</t>
        </is>
      </c>
      <c r="B1313" s="1" t="n">
        <v>45447.44967592593</v>
      </c>
      <c r="C1313" s="1" t="n">
        <v>46050</v>
      </c>
      <c r="D1313" t="inlineStr">
        <is>
          <t>STOCKHOLMS LÄN</t>
        </is>
      </c>
      <c r="E1313" t="inlineStr">
        <is>
          <t>ÖSTERÅKER</t>
        </is>
      </c>
      <c r="F1313" t="inlineStr">
        <is>
          <t>Övriga Aktiebolag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35256-2025</t>
        </is>
      </c>
      <c r="B1314" s="1" t="n">
        <v>45853</v>
      </c>
      <c r="C1314" s="1" t="n">
        <v>46050</v>
      </c>
      <c r="D1314" t="inlineStr">
        <is>
          <t>STOCKHOLMS LÄN</t>
        </is>
      </c>
      <c r="E1314" t="inlineStr">
        <is>
          <t>NORRTÄLJE</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48722-2023</t>
        </is>
      </c>
      <c r="B1315" s="1" t="n">
        <v>45208.70996527778</v>
      </c>
      <c r="C1315" s="1" t="n">
        <v>46050</v>
      </c>
      <c r="D1315" t="inlineStr">
        <is>
          <t>STOCKHOLMS LÄN</t>
        </is>
      </c>
      <c r="E1315" t="inlineStr">
        <is>
          <t>NORRTÄLJE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35235-2024</t>
        </is>
      </c>
      <c r="B1316" s="1" t="n">
        <v>45530</v>
      </c>
      <c r="C1316" s="1" t="n">
        <v>46050</v>
      </c>
      <c r="D1316" t="inlineStr">
        <is>
          <t>STOCKHOLMS LÄN</t>
        </is>
      </c>
      <c r="E1316" t="inlineStr">
        <is>
          <t>NORRTÄLJE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13836-2022</t>
        </is>
      </c>
      <c r="B1317" s="1" t="n">
        <v>44649</v>
      </c>
      <c r="C1317" s="1" t="n">
        <v>46050</v>
      </c>
      <c r="D1317" t="inlineStr">
        <is>
          <t>STOCKHOLMS LÄN</t>
        </is>
      </c>
      <c r="E1317" t="inlineStr">
        <is>
          <t>VALLENTUNA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35110-2025</t>
        </is>
      </c>
      <c r="B1318" s="1" t="n">
        <v>45852.58030092593</v>
      </c>
      <c r="C1318" s="1" t="n">
        <v>46050</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1448-2023</t>
        </is>
      </c>
      <c r="B1319" s="1" t="n">
        <v>44937</v>
      </c>
      <c r="C1319" s="1" t="n">
        <v>46050</v>
      </c>
      <c r="D1319" t="inlineStr">
        <is>
          <t>STOCKHOLMS LÄN</t>
        </is>
      </c>
      <c r="E1319" t="inlineStr">
        <is>
          <t>NORRTÄLJE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28681-2025</t>
        </is>
      </c>
      <c r="B1320" s="1" t="n">
        <v>45819.68207175926</v>
      </c>
      <c r="C1320" s="1" t="n">
        <v>46050</v>
      </c>
      <c r="D1320" t="inlineStr">
        <is>
          <t>STOCKHOLMS LÄN</t>
        </is>
      </c>
      <c r="E1320" t="inlineStr">
        <is>
          <t>SIGTUNA</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35254-2025</t>
        </is>
      </c>
      <c r="B1321" s="1" t="n">
        <v>45853</v>
      </c>
      <c r="C1321" s="1" t="n">
        <v>46050</v>
      </c>
      <c r="D1321" t="inlineStr">
        <is>
          <t>STOCKHOLMS LÄN</t>
        </is>
      </c>
      <c r="E1321" t="inlineStr">
        <is>
          <t>NORRTÄLJE</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46818-2025</t>
        </is>
      </c>
      <c r="B1322" s="1" t="n">
        <v>45926.71837962963</v>
      </c>
      <c r="C1322" s="1" t="n">
        <v>46050</v>
      </c>
      <c r="D1322" t="inlineStr">
        <is>
          <t>STOCKHOLMS LÄN</t>
        </is>
      </c>
      <c r="E1322" t="inlineStr">
        <is>
          <t>NYNÄSHAMN</t>
        </is>
      </c>
      <c r="G1322" t="n">
        <v>9.4</v>
      </c>
      <c r="H1322" t="n">
        <v>0</v>
      </c>
      <c r="I1322" t="n">
        <v>0</v>
      </c>
      <c r="J1322" t="n">
        <v>0</v>
      </c>
      <c r="K1322" t="n">
        <v>0</v>
      </c>
      <c r="L1322" t="n">
        <v>0</v>
      </c>
      <c r="M1322" t="n">
        <v>0</v>
      </c>
      <c r="N1322" t="n">
        <v>0</v>
      </c>
      <c r="O1322" t="n">
        <v>0</v>
      </c>
      <c r="P1322" t="n">
        <v>0</v>
      </c>
      <c r="Q1322" t="n">
        <v>0</v>
      </c>
      <c r="R1322" s="2" t="inlineStr"/>
    </row>
    <row r="1323" ht="15" customHeight="1">
      <c r="A1323" t="inlineStr">
        <is>
          <t>A 35047-2025</t>
        </is>
      </c>
      <c r="B1323" s="1" t="n">
        <v>45852.35094907408</v>
      </c>
      <c r="C1323" s="1" t="n">
        <v>46050</v>
      </c>
      <c r="D1323" t="inlineStr">
        <is>
          <t>STOCKHOLMS LÄN</t>
        </is>
      </c>
      <c r="E1323" t="inlineStr">
        <is>
          <t>EKERÖ</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8736-2024</t>
        </is>
      </c>
      <c r="B1324" s="1" t="n">
        <v>45356.4722800926</v>
      </c>
      <c r="C1324" s="1" t="n">
        <v>46050</v>
      </c>
      <c r="D1324" t="inlineStr">
        <is>
          <t>STOCKHOLMS LÄN</t>
        </is>
      </c>
      <c r="E1324" t="inlineStr">
        <is>
          <t>NORRTÄLJE</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32044-2023</t>
        </is>
      </c>
      <c r="B1325" s="1" t="n">
        <v>45119</v>
      </c>
      <c r="C1325" s="1" t="n">
        <v>46050</v>
      </c>
      <c r="D1325" t="inlineStr">
        <is>
          <t>STOCKHOLMS LÄN</t>
        </is>
      </c>
      <c r="E1325" t="inlineStr">
        <is>
          <t>SÖDERTÄLJE</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32074-2023</t>
        </is>
      </c>
      <c r="B1326" s="1" t="n">
        <v>45119</v>
      </c>
      <c r="C1326" s="1" t="n">
        <v>46050</v>
      </c>
      <c r="D1326" t="inlineStr">
        <is>
          <t>STOCKHOLMS LÄN</t>
        </is>
      </c>
      <c r="E1326" t="inlineStr">
        <is>
          <t>NYNÄSHAMN</t>
        </is>
      </c>
      <c r="F1326" t="inlineStr">
        <is>
          <t>Kommuner</t>
        </is>
      </c>
      <c r="G1326" t="n">
        <v>13.1</v>
      </c>
      <c r="H1326" t="n">
        <v>0</v>
      </c>
      <c r="I1326" t="n">
        <v>0</v>
      </c>
      <c r="J1326" t="n">
        <v>0</v>
      </c>
      <c r="K1326" t="n">
        <v>0</v>
      </c>
      <c r="L1326" t="n">
        <v>0</v>
      </c>
      <c r="M1326" t="n">
        <v>0</v>
      </c>
      <c r="N1326" t="n">
        <v>0</v>
      </c>
      <c r="O1326" t="n">
        <v>0</v>
      </c>
      <c r="P1326" t="n">
        <v>0</v>
      </c>
      <c r="Q1326" t="n">
        <v>0</v>
      </c>
      <c r="R1326" s="2" t="inlineStr"/>
    </row>
    <row r="1327" ht="15" customHeight="1">
      <c r="A1327" t="inlineStr">
        <is>
          <t>A 35479-2025</t>
        </is>
      </c>
      <c r="B1327" s="1" t="n">
        <v>45855.69387731481</v>
      </c>
      <c r="C1327" s="1" t="n">
        <v>46050</v>
      </c>
      <c r="D1327" t="inlineStr">
        <is>
          <t>STOCKHOLMS LÄN</t>
        </is>
      </c>
      <c r="E1327" t="inlineStr">
        <is>
          <t>NORRTÄLJE</t>
        </is>
      </c>
      <c r="F1327" t="inlineStr">
        <is>
          <t>Holmen skog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35483-2025</t>
        </is>
      </c>
      <c r="B1328" s="1" t="n">
        <v>45855</v>
      </c>
      <c r="C1328" s="1" t="n">
        <v>46050</v>
      </c>
      <c r="D1328" t="inlineStr">
        <is>
          <t>STOCKHOLMS LÄN</t>
        </is>
      </c>
      <c r="E1328" t="inlineStr">
        <is>
          <t>NYNÄSHAMN</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33149-2022</t>
        </is>
      </c>
      <c r="B1329" s="1" t="n">
        <v>44785</v>
      </c>
      <c r="C1329" s="1" t="n">
        <v>46050</v>
      </c>
      <c r="D1329" t="inlineStr">
        <is>
          <t>STOCKHOLMS LÄN</t>
        </is>
      </c>
      <c r="E1329" t="inlineStr">
        <is>
          <t>NORRTÄLJE</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35451-2025</t>
        </is>
      </c>
      <c r="B1330" s="1" t="n">
        <v>45855.57033564815</v>
      </c>
      <c r="C1330" s="1" t="n">
        <v>46050</v>
      </c>
      <c r="D1330" t="inlineStr">
        <is>
          <t>STOCKHOLMS LÄN</t>
        </is>
      </c>
      <c r="E1330" t="inlineStr">
        <is>
          <t>NORRTÄLJE</t>
        </is>
      </c>
      <c r="F1330" t="inlineStr">
        <is>
          <t>Holmen skog AB</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35478-2025</t>
        </is>
      </c>
      <c r="B1331" s="1" t="n">
        <v>45855.68413194444</v>
      </c>
      <c r="C1331" s="1" t="n">
        <v>46050</v>
      </c>
      <c r="D1331" t="inlineStr">
        <is>
          <t>STOCKHOLMS LÄN</t>
        </is>
      </c>
      <c r="E1331" t="inlineStr">
        <is>
          <t>NORRTÄLJE</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35656-2025</t>
        </is>
      </c>
      <c r="B1332" s="1" t="n">
        <v>45859</v>
      </c>
      <c r="C1332" s="1" t="n">
        <v>46050</v>
      </c>
      <c r="D1332" t="inlineStr">
        <is>
          <t>STOCKHOLMS LÄN</t>
        </is>
      </c>
      <c r="E1332" t="inlineStr">
        <is>
          <t>ÖSTERÅKER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47392-2025</t>
        </is>
      </c>
      <c r="B1333" s="1" t="n">
        <v>45930.60368055556</v>
      </c>
      <c r="C1333" s="1" t="n">
        <v>46050</v>
      </c>
      <c r="D1333" t="inlineStr">
        <is>
          <t>STOCKHOLMS LÄN</t>
        </is>
      </c>
      <c r="E1333" t="inlineStr">
        <is>
          <t>SIGTUNA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47463-2025</t>
        </is>
      </c>
      <c r="B1334" s="1" t="n">
        <v>45930.66210648148</v>
      </c>
      <c r="C1334" s="1" t="n">
        <v>46050</v>
      </c>
      <c r="D1334" t="inlineStr">
        <is>
          <t>STOCKHOLMS LÄN</t>
        </is>
      </c>
      <c r="E1334" t="inlineStr">
        <is>
          <t>NYNÄSHAMN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47498-2025</t>
        </is>
      </c>
      <c r="B1335" s="1" t="n">
        <v>45930.8134375</v>
      </c>
      <c r="C1335" s="1" t="n">
        <v>46050</v>
      </c>
      <c r="D1335" t="inlineStr">
        <is>
          <t>STOCKHOLMS LÄN</t>
        </is>
      </c>
      <c r="E1335" t="inlineStr">
        <is>
          <t>NORRTÄLJE</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47460-2025</t>
        </is>
      </c>
      <c r="B1336" s="1" t="n">
        <v>45930.66012731481</v>
      </c>
      <c r="C1336" s="1" t="n">
        <v>46050</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47496-2025</t>
        </is>
      </c>
      <c r="B1337" s="1" t="n">
        <v>45930.79252314815</v>
      </c>
      <c r="C1337" s="1" t="n">
        <v>46050</v>
      </c>
      <c r="D1337" t="inlineStr">
        <is>
          <t>STOCKHOLMS LÄN</t>
        </is>
      </c>
      <c r="E1337" t="inlineStr">
        <is>
          <t>NORRTÄLJE</t>
        </is>
      </c>
      <c r="F1337" t="inlineStr">
        <is>
          <t>Holmen skog AB</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47497-2025</t>
        </is>
      </c>
      <c r="B1338" s="1" t="n">
        <v>45930.80217592593</v>
      </c>
      <c r="C1338" s="1" t="n">
        <v>46050</v>
      </c>
      <c r="D1338" t="inlineStr">
        <is>
          <t>STOCKHOLMS LÄN</t>
        </is>
      </c>
      <c r="E1338" t="inlineStr">
        <is>
          <t>NORRTÄLJE</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35819-2025</t>
        </is>
      </c>
      <c r="B1339" s="1" t="n">
        <v>45861</v>
      </c>
      <c r="C1339" s="1" t="n">
        <v>46050</v>
      </c>
      <c r="D1339" t="inlineStr">
        <is>
          <t>STOCKHOLMS LÄN</t>
        </is>
      </c>
      <c r="E1339" t="inlineStr">
        <is>
          <t>ÖSTERÅKER</t>
        </is>
      </c>
      <c r="F1339" t="inlineStr">
        <is>
          <t>Övriga Aktiebolag</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48342-2025</t>
        </is>
      </c>
      <c r="B1340" s="1" t="n">
        <v>45933</v>
      </c>
      <c r="C1340" s="1" t="n">
        <v>46050</v>
      </c>
      <c r="D1340" t="inlineStr">
        <is>
          <t>STOCKHOLMS LÄN</t>
        </is>
      </c>
      <c r="E1340" t="inlineStr">
        <is>
          <t>SÖDERTÄLJE</t>
        </is>
      </c>
      <c r="F1340" t="inlineStr">
        <is>
          <t>Övriga statliga verk och myndigheter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48360-2025</t>
        </is>
      </c>
      <c r="B1341" s="1" t="n">
        <v>45933.66253472222</v>
      </c>
      <c r="C1341" s="1" t="n">
        <v>46050</v>
      </c>
      <c r="D1341" t="inlineStr">
        <is>
          <t>STOCKHOLMS LÄN</t>
        </is>
      </c>
      <c r="E1341" t="inlineStr">
        <is>
          <t>NORRTÄLJE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48370-2025</t>
        </is>
      </c>
      <c r="B1342" s="1" t="n">
        <v>45933.67854166667</v>
      </c>
      <c r="C1342" s="1" t="n">
        <v>46050</v>
      </c>
      <c r="D1342" t="inlineStr">
        <is>
          <t>STOCKHOLMS LÄN</t>
        </is>
      </c>
      <c r="E1342" t="inlineStr">
        <is>
          <t>NORRTÄLJE</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48364-2025</t>
        </is>
      </c>
      <c r="B1343" s="1" t="n">
        <v>45933.66796296297</v>
      </c>
      <c r="C1343" s="1" t="n">
        <v>46050</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48046-2025</t>
        </is>
      </c>
      <c r="B1344" s="1" t="n">
        <v>45932.67148148148</v>
      </c>
      <c r="C1344" s="1" t="n">
        <v>46050</v>
      </c>
      <c r="D1344" t="inlineStr">
        <is>
          <t>STOCKHOLMS LÄN</t>
        </is>
      </c>
      <c r="E1344" t="inlineStr">
        <is>
          <t>SÖDERTÄLJE</t>
        </is>
      </c>
      <c r="F1344" t="inlineStr">
        <is>
          <t>Sveaskog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1184-2024</t>
        </is>
      </c>
      <c r="B1345" s="1" t="n">
        <v>45302.57663194444</v>
      </c>
      <c r="C1345" s="1" t="n">
        <v>46050</v>
      </c>
      <c r="D1345" t="inlineStr">
        <is>
          <t>STOCKHOLMS LÄN</t>
        </is>
      </c>
      <c r="E1345" t="inlineStr">
        <is>
          <t>HANINGE</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55941-2023</t>
        </is>
      </c>
      <c r="B1346" s="1" t="n">
        <v>45240</v>
      </c>
      <c r="C1346" s="1" t="n">
        <v>46050</v>
      </c>
      <c r="D1346" t="inlineStr">
        <is>
          <t>STOCKHOLMS LÄN</t>
        </is>
      </c>
      <c r="E1346" t="inlineStr">
        <is>
          <t>SÖDERTÄLJE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41702-2023</t>
        </is>
      </c>
      <c r="B1347" s="1" t="n">
        <v>45176</v>
      </c>
      <c r="C1347" s="1" t="n">
        <v>46050</v>
      </c>
      <c r="D1347" t="inlineStr">
        <is>
          <t>STOCKHOLMS LÄN</t>
        </is>
      </c>
      <c r="E1347" t="inlineStr">
        <is>
          <t>SIGTUNA</t>
        </is>
      </c>
      <c r="F1347" t="inlineStr">
        <is>
          <t>Allmännings- och besparingsskogar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34444-2024</t>
        </is>
      </c>
      <c r="B1348" s="1" t="n">
        <v>45525</v>
      </c>
      <c r="C1348" s="1" t="n">
        <v>46050</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6537-2024</t>
        </is>
      </c>
      <c r="B1349" s="1" t="n">
        <v>45341.39853009259</v>
      </c>
      <c r="C1349" s="1" t="n">
        <v>46050</v>
      </c>
      <c r="D1349" t="inlineStr">
        <is>
          <t>STOCKHOLMS LÄN</t>
        </is>
      </c>
      <c r="E1349" t="inlineStr">
        <is>
          <t>NORRTÄLJE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40175-2024</t>
        </is>
      </c>
      <c r="B1350" s="1" t="n">
        <v>45554.55707175926</v>
      </c>
      <c r="C1350" s="1" t="n">
        <v>46050</v>
      </c>
      <c r="D1350" t="inlineStr">
        <is>
          <t>STOCKHOLMS LÄN</t>
        </is>
      </c>
      <c r="E1350" t="inlineStr">
        <is>
          <t>NORRTÄLJE</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14264-2025</t>
        </is>
      </c>
      <c r="B1351" s="1" t="n">
        <v>45740.6340162037</v>
      </c>
      <c r="C1351" s="1" t="n">
        <v>46050</v>
      </c>
      <c r="D1351" t="inlineStr">
        <is>
          <t>STOCKHOLMS LÄN</t>
        </is>
      </c>
      <c r="E1351" t="inlineStr">
        <is>
          <t>HANINGE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28982-2024</t>
        </is>
      </c>
      <c r="B1352" s="1" t="n">
        <v>45481.47568287037</v>
      </c>
      <c r="C1352" s="1" t="n">
        <v>46050</v>
      </c>
      <c r="D1352" t="inlineStr">
        <is>
          <t>STOCKHOLMS LÄN</t>
        </is>
      </c>
      <c r="E1352" t="inlineStr">
        <is>
          <t>SÖDERTÄLJE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20698-2025</t>
        </is>
      </c>
      <c r="B1353" s="1" t="n">
        <v>45776.47122685185</v>
      </c>
      <c r="C1353" s="1" t="n">
        <v>46050</v>
      </c>
      <c r="D1353" t="inlineStr">
        <is>
          <t>STOCKHOLMS LÄN</t>
        </is>
      </c>
      <c r="E1353" t="inlineStr">
        <is>
          <t>NORRTÄLJE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48174-2025</t>
        </is>
      </c>
      <c r="B1354" s="1" t="n">
        <v>45933.44230324074</v>
      </c>
      <c r="C1354" s="1" t="n">
        <v>46050</v>
      </c>
      <c r="D1354" t="inlineStr">
        <is>
          <t>STOCKHOLMS LÄN</t>
        </is>
      </c>
      <c r="E1354" t="inlineStr">
        <is>
          <t>NORRTÄLJE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54558-2024</t>
        </is>
      </c>
      <c r="B1355" s="1" t="n">
        <v>45617.62358796296</v>
      </c>
      <c r="C1355" s="1" t="n">
        <v>46050</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48014-2025</t>
        </is>
      </c>
      <c r="B1356" s="1" t="n">
        <v>45932.64520833334</v>
      </c>
      <c r="C1356" s="1" t="n">
        <v>46050</v>
      </c>
      <c r="D1356" t="inlineStr">
        <is>
          <t>STOCKHOLMS LÄN</t>
        </is>
      </c>
      <c r="E1356" t="inlineStr">
        <is>
          <t>VALLENTUNA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48127-2025</t>
        </is>
      </c>
      <c r="B1357" s="1" t="n">
        <v>45933.36621527778</v>
      </c>
      <c r="C1357" s="1" t="n">
        <v>46050</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48179-2025</t>
        </is>
      </c>
      <c r="B1358" s="1" t="n">
        <v>45933.44907407407</v>
      </c>
      <c r="C1358" s="1" t="n">
        <v>46050</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36082-2025</t>
        </is>
      </c>
      <c r="B1359" s="1" t="n">
        <v>45866.45336805555</v>
      </c>
      <c r="C1359" s="1" t="n">
        <v>46050</v>
      </c>
      <c r="D1359" t="inlineStr">
        <is>
          <t>STOCKHOLMS LÄN</t>
        </is>
      </c>
      <c r="E1359" t="inlineStr">
        <is>
          <t>NYNÄSHAMN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4804-2024</t>
        </is>
      </c>
      <c r="B1360" s="1" t="n">
        <v>45328</v>
      </c>
      <c r="C1360" s="1" t="n">
        <v>46050</v>
      </c>
      <c r="D1360" t="inlineStr">
        <is>
          <t>STOCKHOLMS LÄN</t>
        </is>
      </c>
      <c r="E1360" t="inlineStr">
        <is>
          <t>VALLENTUNA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48038-2025</t>
        </is>
      </c>
      <c r="B1361" s="1" t="n">
        <v>45932.66008101852</v>
      </c>
      <c r="C1361" s="1" t="n">
        <v>46050</v>
      </c>
      <c r="D1361" t="inlineStr">
        <is>
          <t>STOCKHOLMS LÄN</t>
        </is>
      </c>
      <c r="E1361" t="inlineStr">
        <is>
          <t>VALLENTUNA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23056-2023</t>
        </is>
      </c>
      <c r="B1362" s="1" t="n">
        <v>45075</v>
      </c>
      <c r="C1362" s="1" t="n">
        <v>46050</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48718-2025</t>
        </is>
      </c>
      <c r="B1363" s="1" t="n">
        <v>45936</v>
      </c>
      <c r="C1363" s="1" t="n">
        <v>46050</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47431-2023</t>
        </is>
      </c>
      <c r="B1364" s="1" t="n">
        <v>45202</v>
      </c>
      <c r="C1364" s="1" t="n">
        <v>46050</v>
      </c>
      <c r="D1364" t="inlineStr">
        <is>
          <t>STOCKHOLMS LÄN</t>
        </is>
      </c>
      <c r="E1364" t="inlineStr">
        <is>
          <t>NORRTÄLJE</t>
        </is>
      </c>
      <c r="F1364" t="inlineStr">
        <is>
          <t>Naturvårdsverket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48593-2025</t>
        </is>
      </c>
      <c r="B1365" s="1" t="n">
        <v>45936.4627662037</v>
      </c>
      <c r="C1365" s="1" t="n">
        <v>46050</v>
      </c>
      <c r="D1365" t="inlineStr">
        <is>
          <t>STOCKHOLMS LÄN</t>
        </is>
      </c>
      <c r="E1365" t="inlineStr">
        <is>
          <t>NORRTÄLJE</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59499-2023</t>
        </is>
      </c>
      <c r="B1366" s="1" t="n">
        <v>45254</v>
      </c>
      <c r="C1366" s="1" t="n">
        <v>46050</v>
      </c>
      <c r="D1366" t="inlineStr">
        <is>
          <t>STOCKHOLMS LÄN</t>
        </is>
      </c>
      <c r="E1366" t="inlineStr">
        <is>
          <t>NORRTÄLJE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36509-2025</t>
        </is>
      </c>
      <c r="B1367" s="1" t="n">
        <v>45869.57434027778</v>
      </c>
      <c r="C1367" s="1" t="n">
        <v>46050</v>
      </c>
      <c r="D1367" t="inlineStr">
        <is>
          <t>STOCKHOLMS LÄN</t>
        </is>
      </c>
      <c r="E1367" t="inlineStr">
        <is>
          <t>NYNÄSHAMN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22232-2024</t>
        </is>
      </c>
      <c r="B1368" s="1" t="n">
        <v>45446.4287962963</v>
      </c>
      <c r="C1368" s="1" t="n">
        <v>46050</v>
      </c>
      <c r="D1368" t="inlineStr">
        <is>
          <t>STOCKHOLMS LÄN</t>
        </is>
      </c>
      <c r="E1368" t="inlineStr">
        <is>
          <t>NORRTÄLJE</t>
        </is>
      </c>
      <c r="G1368" t="n">
        <v>12.8</v>
      </c>
      <c r="H1368" t="n">
        <v>0</v>
      </c>
      <c r="I1368" t="n">
        <v>0</v>
      </c>
      <c r="J1368" t="n">
        <v>0</v>
      </c>
      <c r="K1368" t="n">
        <v>0</v>
      </c>
      <c r="L1368" t="n">
        <v>0</v>
      </c>
      <c r="M1368" t="n">
        <v>0</v>
      </c>
      <c r="N1368" t="n">
        <v>0</v>
      </c>
      <c r="O1368" t="n">
        <v>0</v>
      </c>
      <c r="P1368" t="n">
        <v>0</v>
      </c>
      <c r="Q1368" t="n">
        <v>0</v>
      </c>
      <c r="R1368" s="2" t="inlineStr"/>
    </row>
    <row r="1369" ht="15" customHeight="1">
      <c r="A1369" t="inlineStr">
        <is>
          <t>A 59468-2023</t>
        </is>
      </c>
      <c r="B1369" s="1" t="n">
        <v>45254.41509259259</v>
      </c>
      <c r="C1369" s="1" t="n">
        <v>46050</v>
      </c>
      <c r="D1369" t="inlineStr">
        <is>
          <t>STOCKHOLMS LÄN</t>
        </is>
      </c>
      <c r="E1369" t="inlineStr">
        <is>
          <t>NORRTÄLJE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36396-2025</t>
        </is>
      </c>
      <c r="B1370" s="1" t="n">
        <v>45868.62267361111</v>
      </c>
      <c r="C1370" s="1" t="n">
        <v>46050</v>
      </c>
      <c r="D1370" t="inlineStr">
        <is>
          <t>STOCKHOLMS LÄN</t>
        </is>
      </c>
      <c r="E1370" t="inlineStr">
        <is>
          <t>NORRTÄLJE</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36496-2025</t>
        </is>
      </c>
      <c r="B1371" s="1" t="n">
        <v>45869.55287037037</v>
      </c>
      <c r="C1371" s="1" t="n">
        <v>46050</v>
      </c>
      <c r="D1371" t="inlineStr">
        <is>
          <t>STOCKHOLMS LÄN</t>
        </is>
      </c>
      <c r="E1371" t="inlineStr">
        <is>
          <t>NYNÄSHAMN</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28143-2024</t>
        </is>
      </c>
      <c r="B1372" s="1" t="n">
        <v>45476</v>
      </c>
      <c r="C1372" s="1" t="n">
        <v>46050</v>
      </c>
      <c r="D1372" t="inlineStr">
        <is>
          <t>STOCKHOLMS LÄN</t>
        </is>
      </c>
      <c r="E1372" t="inlineStr">
        <is>
          <t>ÖSTERÅKER</t>
        </is>
      </c>
      <c r="F1372" t="inlineStr">
        <is>
          <t>Övriga Aktiebolag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48443-2025</t>
        </is>
      </c>
      <c r="B1373" s="1" t="n">
        <v>45935.55326388889</v>
      </c>
      <c r="C1373" s="1" t="n">
        <v>46050</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48456-2025</t>
        </is>
      </c>
      <c r="B1374" s="1" t="n">
        <v>45935.85752314814</v>
      </c>
      <c r="C1374" s="1" t="n">
        <v>46050</v>
      </c>
      <c r="D1374" t="inlineStr">
        <is>
          <t>STOCKHOLMS LÄN</t>
        </is>
      </c>
      <c r="E1374" t="inlineStr">
        <is>
          <t>NYNÄSHAMN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36468-2025</t>
        </is>
      </c>
      <c r="B1375" s="1" t="n">
        <v>45869.47163194444</v>
      </c>
      <c r="C1375" s="1" t="n">
        <v>46050</v>
      </c>
      <c r="D1375" t="inlineStr">
        <is>
          <t>STOCKHOLMS LÄN</t>
        </is>
      </c>
      <c r="E1375" t="inlineStr">
        <is>
          <t>NYNÄSHAMN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12532-2025</t>
        </is>
      </c>
      <c r="B1376" s="1" t="n">
        <v>45730.69143518519</v>
      </c>
      <c r="C1376" s="1" t="n">
        <v>46050</v>
      </c>
      <c r="D1376" t="inlineStr">
        <is>
          <t>STOCKHOLMS LÄN</t>
        </is>
      </c>
      <c r="E1376" t="inlineStr">
        <is>
          <t>NORRTÄLJE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5732-2023</t>
        </is>
      </c>
      <c r="B1377" s="1" t="n">
        <v>44962</v>
      </c>
      <c r="C1377" s="1" t="n">
        <v>46050</v>
      </c>
      <c r="D1377" t="inlineStr">
        <is>
          <t>STOCKHOLMS LÄN</t>
        </is>
      </c>
      <c r="E1377" t="inlineStr">
        <is>
          <t>NORRTÄLJE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36611-2025</t>
        </is>
      </c>
      <c r="B1378" s="1" t="n">
        <v>45870</v>
      </c>
      <c r="C1378" s="1" t="n">
        <v>46050</v>
      </c>
      <c r="D1378" t="inlineStr">
        <is>
          <t>STOCKHOLMS LÄN</t>
        </is>
      </c>
      <c r="E1378" t="inlineStr">
        <is>
          <t>ÖSTERÅKER</t>
        </is>
      </c>
      <c r="F1378" t="inlineStr">
        <is>
          <t>Övriga Aktiebolag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36179-2022</t>
        </is>
      </c>
      <c r="B1379" s="1" t="n">
        <v>44803</v>
      </c>
      <c r="C1379" s="1" t="n">
        <v>46050</v>
      </c>
      <c r="D1379" t="inlineStr">
        <is>
          <t>STOCKHOLMS LÄN</t>
        </is>
      </c>
      <c r="E1379" t="inlineStr">
        <is>
          <t>SIGTUNA</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10653-2022</t>
        </is>
      </c>
      <c r="B1380" s="1" t="n">
        <v>44624.59434027778</v>
      </c>
      <c r="C1380" s="1" t="n">
        <v>46050</v>
      </c>
      <c r="D1380" t="inlineStr">
        <is>
          <t>STOCKHOLMS LÄN</t>
        </is>
      </c>
      <c r="E1380" t="inlineStr">
        <is>
          <t>NORRTÄLJE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43230-2022</t>
        </is>
      </c>
      <c r="B1381" s="1" t="n">
        <v>44834</v>
      </c>
      <c r="C1381" s="1" t="n">
        <v>46050</v>
      </c>
      <c r="D1381" t="inlineStr">
        <is>
          <t>STOCKHOLMS LÄN</t>
        </is>
      </c>
      <c r="E1381" t="inlineStr">
        <is>
          <t>NYKVARN</t>
        </is>
      </c>
      <c r="F1381" t="inlineStr">
        <is>
          <t>Allmännings- och besparingsskogar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44947-2021</t>
        </is>
      </c>
      <c r="B1382" s="1" t="n">
        <v>44438.69939814815</v>
      </c>
      <c r="C1382" s="1" t="n">
        <v>46050</v>
      </c>
      <c r="D1382" t="inlineStr">
        <is>
          <t>STOCKHOLMS LÄN</t>
        </is>
      </c>
      <c r="E1382" t="inlineStr">
        <is>
          <t>NYKVARN</t>
        </is>
      </c>
      <c r="F1382" t="inlineStr">
        <is>
          <t>Allmännings- och besparingsskogar</t>
        </is>
      </c>
      <c r="G1382" t="n">
        <v>11.3</v>
      </c>
      <c r="H1382" t="n">
        <v>0</v>
      </c>
      <c r="I1382" t="n">
        <v>0</v>
      </c>
      <c r="J1382" t="n">
        <v>0</v>
      </c>
      <c r="K1382" t="n">
        <v>0</v>
      </c>
      <c r="L1382" t="n">
        <v>0</v>
      </c>
      <c r="M1382" t="n">
        <v>0</v>
      </c>
      <c r="N1382" t="n">
        <v>0</v>
      </c>
      <c r="O1382" t="n">
        <v>0</v>
      </c>
      <c r="P1382" t="n">
        <v>0</v>
      </c>
      <c r="Q1382" t="n">
        <v>0</v>
      </c>
      <c r="R1382" s="2" t="inlineStr"/>
    </row>
    <row r="1383" ht="15" customHeight="1">
      <c r="A1383" t="inlineStr">
        <is>
          <t>A 21729-2024</t>
        </is>
      </c>
      <c r="B1383" s="1" t="n">
        <v>45442</v>
      </c>
      <c r="C1383" s="1" t="n">
        <v>46050</v>
      </c>
      <c r="D1383" t="inlineStr">
        <is>
          <t>STOCKHOLMS LÄN</t>
        </is>
      </c>
      <c r="E1383" t="inlineStr">
        <is>
          <t>NORRTÄLJE</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36614-2025</t>
        </is>
      </c>
      <c r="B1384" s="1" t="n">
        <v>45870</v>
      </c>
      <c r="C1384" s="1" t="n">
        <v>46050</v>
      </c>
      <c r="D1384" t="inlineStr">
        <is>
          <t>STOCKHOLMS LÄN</t>
        </is>
      </c>
      <c r="E1384" t="inlineStr">
        <is>
          <t>ÖSTERÅKER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2990-2023</t>
        </is>
      </c>
      <c r="B1385" s="1" t="n">
        <v>44945</v>
      </c>
      <c r="C1385" s="1" t="n">
        <v>46050</v>
      </c>
      <c r="D1385" t="inlineStr">
        <is>
          <t>STOCKHOLMS LÄN</t>
        </is>
      </c>
      <c r="E1385" t="inlineStr">
        <is>
          <t>SALEM</t>
        </is>
      </c>
      <c r="F1385" t="inlineStr">
        <is>
          <t>Kommuner</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9017-2023</t>
        </is>
      </c>
      <c r="B1386" s="1" t="n">
        <v>44979</v>
      </c>
      <c r="C1386" s="1" t="n">
        <v>46050</v>
      </c>
      <c r="D1386" t="inlineStr">
        <is>
          <t>STOCKHOLMS LÄN</t>
        </is>
      </c>
      <c r="E1386" t="inlineStr">
        <is>
          <t>NYNÄSHAMN</t>
        </is>
      </c>
      <c r="F1386" t="inlineStr">
        <is>
          <t>Kommuner</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11854-2025</t>
        </is>
      </c>
      <c r="B1387" s="1" t="n">
        <v>45728.38924768518</v>
      </c>
      <c r="C1387" s="1" t="n">
        <v>46050</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14762-2024</t>
        </is>
      </c>
      <c r="B1388" s="1" t="n">
        <v>45397</v>
      </c>
      <c r="C1388" s="1" t="n">
        <v>46050</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36612-2025</t>
        </is>
      </c>
      <c r="B1389" s="1" t="n">
        <v>45870</v>
      </c>
      <c r="C1389" s="1" t="n">
        <v>46050</v>
      </c>
      <c r="D1389" t="inlineStr">
        <is>
          <t>STOCKHOLMS LÄN</t>
        </is>
      </c>
      <c r="E1389" t="inlineStr">
        <is>
          <t>ÖSTERÅKER</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58011-2021</t>
        </is>
      </c>
      <c r="B1390" s="1" t="n">
        <v>44487</v>
      </c>
      <c r="C1390" s="1" t="n">
        <v>46050</v>
      </c>
      <c r="D1390" t="inlineStr">
        <is>
          <t>STOCKHOLMS LÄN</t>
        </is>
      </c>
      <c r="E1390" t="inlineStr">
        <is>
          <t>UPPLANDS-BRO</t>
        </is>
      </c>
      <c r="F1390" t="inlineStr">
        <is>
          <t>Övriga statliga verk och myndigheter</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48606-2025</t>
        </is>
      </c>
      <c r="B1391" s="1" t="n">
        <v>45936.47019675926</v>
      </c>
      <c r="C1391" s="1" t="n">
        <v>46050</v>
      </c>
      <c r="D1391" t="inlineStr">
        <is>
          <t>STOCKHOLMS LÄN</t>
        </is>
      </c>
      <c r="E1391" t="inlineStr">
        <is>
          <t>HANINGE</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48780-2025</t>
        </is>
      </c>
      <c r="B1392" s="1" t="n">
        <v>45937.30377314815</v>
      </c>
      <c r="C1392" s="1" t="n">
        <v>46050</v>
      </c>
      <c r="D1392" t="inlineStr">
        <is>
          <t>STOCKHOLMS LÄN</t>
        </is>
      </c>
      <c r="E1392" t="inlineStr">
        <is>
          <t>NORRTÄLJE</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49175-2025</t>
        </is>
      </c>
      <c r="B1393" s="1" t="n">
        <v>45938.3790162037</v>
      </c>
      <c r="C1393" s="1" t="n">
        <v>46050</v>
      </c>
      <c r="D1393" t="inlineStr">
        <is>
          <t>STOCKHOLMS LÄN</t>
        </is>
      </c>
      <c r="E1393" t="inlineStr">
        <is>
          <t>BOTKYRKA</t>
        </is>
      </c>
      <c r="F1393" t="inlineStr">
        <is>
          <t>Övriga Aktiebolag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59712-2024</t>
        </is>
      </c>
      <c r="B1394" s="1" t="n">
        <v>45639.45166666667</v>
      </c>
      <c r="C1394" s="1" t="n">
        <v>46050</v>
      </c>
      <c r="D1394" t="inlineStr">
        <is>
          <t>STOCKHOLMS LÄN</t>
        </is>
      </c>
      <c r="E1394" t="inlineStr">
        <is>
          <t>NORRTÄLJE</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46405-2022</t>
        </is>
      </c>
      <c r="B1395" s="1" t="n">
        <v>44846</v>
      </c>
      <c r="C1395" s="1" t="n">
        <v>46050</v>
      </c>
      <c r="D1395" t="inlineStr">
        <is>
          <t>STOCKHOLMS LÄN</t>
        </is>
      </c>
      <c r="E1395" t="inlineStr">
        <is>
          <t>BOTKYRKA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35127-2023</t>
        </is>
      </c>
      <c r="B1396" s="1" t="n">
        <v>45145.51</v>
      </c>
      <c r="C1396" s="1" t="n">
        <v>46050</v>
      </c>
      <c r="D1396" t="inlineStr">
        <is>
          <t>STOCKHOLMS LÄN</t>
        </is>
      </c>
      <c r="E1396" t="inlineStr">
        <is>
          <t>NORRTÄLJE</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33046-2022</t>
        </is>
      </c>
      <c r="B1397" s="1" t="n">
        <v>44785</v>
      </c>
      <c r="C1397" s="1" t="n">
        <v>46050</v>
      </c>
      <c r="D1397" t="inlineStr">
        <is>
          <t>STOCKHOLMS LÄN</t>
        </is>
      </c>
      <c r="E1397" t="inlineStr">
        <is>
          <t>VÄRMDÖ</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49129-2025</t>
        </is>
      </c>
      <c r="B1398" s="1" t="n">
        <v>45937.89517361111</v>
      </c>
      <c r="C1398" s="1" t="n">
        <v>46050</v>
      </c>
      <c r="D1398" t="inlineStr">
        <is>
          <t>STOCKHOLMS LÄN</t>
        </is>
      </c>
      <c r="E1398" t="inlineStr">
        <is>
          <t>NORRTÄLJE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17286-2022</t>
        </is>
      </c>
      <c r="B1399" s="1" t="n">
        <v>44678</v>
      </c>
      <c r="C1399" s="1" t="n">
        <v>46050</v>
      </c>
      <c r="D1399" t="inlineStr">
        <is>
          <t>STOCKHOLMS LÄN</t>
        </is>
      </c>
      <c r="E1399" t="inlineStr">
        <is>
          <t>SIGTUNA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37261-2025</t>
        </is>
      </c>
      <c r="B1400" s="1" t="n">
        <v>45876.45253472222</v>
      </c>
      <c r="C1400" s="1" t="n">
        <v>46050</v>
      </c>
      <c r="D1400" t="inlineStr">
        <is>
          <t>STOCKHOLMS LÄN</t>
        </is>
      </c>
      <c r="E1400" t="inlineStr">
        <is>
          <t>NORRTÄLJE</t>
        </is>
      </c>
      <c r="F1400" t="inlineStr">
        <is>
          <t>Kommuner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92-2024</t>
        </is>
      </c>
      <c r="B1401" s="1" t="n">
        <v>45293</v>
      </c>
      <c r="C1401" s="1" t="n">
        <v>46050</v>
      </c>
      <c r="D1401" t="inlineStr">
        <is>
          <t>STOCKHOLMS LÄN</t>
        </is>
      </c>
      <c r="E1401" t="inlineStr">
        <is>
          <t>SÖDERTÄLJE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45255-2022</t>
        </is>
      </c>
      <c r="B1402" s="1" t="n">
        <v>44840</v>
      </c>
      <c r="C1402" s="1" t="n">
        <v>46050</v>
      </c>
      <c r="D1402" t="inlineStr">
        <is>
          <t>STOCKHOLMS LÄN</t>
        </is>
      </c>
      <c r="E1402" t="inlineStr">
        <is>
          <t>NORRTÄLJE</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37245-2025</t>
        </is>
      </c>
      <c r="B1403" s="1" t="n">
        <v>45876.39396990741</v>
      </c>
      <c r="C1403" s="1" t="n">
        <v>46050</v>
      </c>
      <c r="D1403" t="inlineStr">
        <is>
          <t>STOCKHOLMS LÄN</t>
        </is>
      </c>
      <c r="E1403" t="inlineStr">
        <is>
          <t>EKERÖ</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59893-2022</t>
        </is>
      </c>
      <c r="B1404" s="1" t="n">
        <v>44908.77368055555</v>
      </c>
      <c r="C1404" s="1" t="n">
        <v>46050</v>
      </c>
      <c r="D1404" t="inlineStr">
        <is>
          <t>STOCKHOLMS LÄN</t>
        </is>
      </c>
      <c r="E1404" t="inlineStr">
        <is>
          <t>NORRTÄLJE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49916-2025</t>
        </is>
      </c>
      <c r="B1405" s="1" t="n">
        <v>45940.62260416667</v>
      </c>
      <c r="C1405" s="1" t="n">
        <v>46050</v>
      </c>
      <c r="D1405" t="inlineStr">
        <is>
          <t>STOCKHOLMS LÄN</t>
        </is>
      </c>
      <c r="E1405" t="inlineStr">
        <is>
          <t>SIGTUNA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35838-2023</t>
        </is>
      </c>
      <c r="B1406" s="1" t="n">
        <v>45147</v>
      </c>
      <c r="C1406" s="1" t="n">
        <v>46050</v>
      </c>
      <c r="D1406" t="inlineStr">
        <is>
          <t>STOCKHOLMS LÄN</t>
        </is>
      </c>
      <c r="E1406" t="inlineStr">
        <is>
          <t>VAXHOLM</t>
        </is>
      </c>
      <c r="F1406" t="inlineStr">
        <is>
          <t>Övriga statliga verk och myndigheter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39905-2023</t>
        </is>
      </c>
      <c r="B1407" s="1" t="n">
        <v>45168.44489583333</v>
      </c>
      <c r="C1407" s="1" t="n">
        <v>46050</v>
      </c>
      <c r="D1407" t="inlineStr">
        <is>
          <t>STOCKHOLMS LÄN</t>
        </is>
      </c>
      <c r="E1407" t="inlineStr">
        <is>
          <t>NORRTÄLJE</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17020-2022</t>
        </is>
      </c>
      <c r="B1408" s="1" t="n">
        <v>44676</v>
      </c>
      <c r="C1408" s="1" t="n">
        <v>46050</v>
      </c>
      <c r="D1408" t="inlineStr">
        <is>
          <t>STOCKHOLMS LÄN</t>
        </is>
      </c>
      <c r="E1408" t="inlineStr">
        <is>
          <t>HANINGE</t>
        </is>
      </c>
      <c r="F1408" t="inlineStr">
        <is>
          <t>Övriga statliga verk och myndigheter</t>
        </is>
      </c>
      <c r="G1408" t="n">
        <v>12.4</v>
      </c>
      <c r="H1408" t="n">
        <v>0</v>
      </c>
      <c r="I1408" t="n">
        <v>0</v>
      </c>
      <c r="J1408" t="n">
        <v>0</v>
      </c>
      <c r="K1408" t="n">
        <v>0</v>
      </c>
      <c r="L1408" t="n">
        <v>0</v>
      </c>
      <c r="M1408" t="n">
        <v>0</v>
      </c>
      <c r="N1408" t="n">
        <v>0</v>
      </c>
      <c r="O1408" t="n">
        <v>0</v>
      </c>
      <c r="P1408" t="n">
        <v>0</v>
      </c>
      <c r="Q1408" t="n">
        <v>0</v>
      </c>
      <c r="R1408" s="2" t="inlineStr"/>
    </row>
    <row r="1409" ht="15" customHeight="1">
      <c r="A1409" t="inlineStr">
        <is>
          <t>A 5645-2023</t>
        </is>
      </c>
      <c r="B1409" s="1" t="n">
        <v>44960.60469907407</v>
      </c>
      <c r="C1409" s="1" t="n">
        <v>46050</v>
      </c>
      <c r="D1409" t="inlineStr">
        <is>
          <t>STOCKHOLMS LÄN</t>
        </is>
      </c>
      <c r="E1409" t="inlineStr">
        <is>
          <t>NORRTÄLJE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68361-2021</t>
        </is>
      </c>
      <c r="B1410" s="1" t="n">
        <v>44528.91494212963</v>
      </c>
      <c r="C1410" s="1" t="n">
        <v>46050</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37628-2025</t>
        </is>
      </c>
      <c r="B1411" s="1" t="n">
        <v>45880.46189814815</v>
      </c>
      <c r="C1411" s="1" t="n">
        <v>46050</v>
      </c>
      <c r="D1411" t="inlineStr">
        <is>
          <t>STOCKHOLMS LÄN</t>
        </is>
      </c>
      <c r="E1411" t="inlineStr">
        <is>
          <t>NORRTÄLJE</t>
        </is>
      </c>
      <c r="F1411" t="inlineStr">
        <is>
          <t>Sveaskog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29369-2024</t>
        </is>
      </c>
      <c r="B1412" s="1" t="n">
        <v>45483.57244212963</v>
      </c>
      <c r="C1412" s="1" t="n">
        <v>46050</v>
      </c>
      <c r="D1412" t="inlineStr">
        <is>
          <t>STOCKHOLMS LÄN</t>
        </is>
      </c>
      <c r="E1412" t="inlineStr">
        <is>
          <t>NORRTÄLJE</t>
        </is>
      </c>
      <c r="G1412" t="n">
        <v>15.9</v>
      </c>
      <c r="H1412" t="n">
        <v>0</v>
      </c>
      <c r="I1412" t="n">
        <v>0</v>
      </c>
      <c r="J1412" t="n">
        <v>0</v>
      </c>
      <c r="K1412" t="n">
        <v>0</v>
      </c>
      <c r="L1412" t="n">
        <v>0</v>
      </c>
      <c r="M1412" t="n">
        <v>0</v>
      </c>
      <c r="N1412" t="n">
        <v>0</v>
      </c>
      <c r="O1412" t="n">
        <v>0</v>
      </c>
      <c r="P1412" t="n">
        <v>0</v>
      </c>
      <c r="Q1412" t="n">
        <v>0</v>
      </c>
      <c r="R1412" s="2" t="inlineStr"/>
    </row>
    <row r="1413" ht="15" customHeight="1">
      <c r="A1413" t="inlineStr">
        <is>
          <t>A 37632-2025</t>
        </is>
      </c>
      <c r="B1413" s="1" t="n">
        <v>45880.46524305556</v>
      </c>
      <c r="C1413" s="1" t="n">
        <v>46050</v>
      </c>
      <c r="D1413" t="inlineStr">
        <is>
          <t>STOCKHOLMS LÄN</t>
        </is>
      </c>
      <c r="E1413" t="inlineStr">
        <is>
          <t>NORRTÄLJE</t>
        </is>
      </c>
      <c r="F1413" t="inlineStr">
        <is>
          <t>Sveaskog</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29841-2024</t>
        </is>
      </c>
      <c r="B1414" s="1" t="n">
        <v>45485.60261574074</v>
      </c>
      <c r="C1414" s="1" t="n">
        <v>46050</v>
      </c>
      <c r="D1414" t="inlineStr">
        <is>
          <t>STOCKHOLMS LÄN</t>
        </is>
      </c>
      <c r="E1414" t="inlineStr">
        <is>
          <t>NORRTÄLJE</t>
        </is>
      </c>
      <c r="G1414" t="n">
        <v>15.9</v>
      </c>
      <c r="H1414" t="n">
        <v>0</v>
      </c>
      <c r="I1414" t="n">
        <v>0</v>
      </c>
      <c r="J1414" t="n">
        <v>0</v>
      </c>
      <c r="K1414" t="n">
        <v>0</v>
      </c>
      <c r="L1414" t="n">
        <v>0</v>
      </c>
      <c r="M1414" t="n">
        <v>0</v>
      </c>
      <c r="N1414" t="n">
        <v>0</v>
      </c>
      <c r="O1414" t="n">
        <v>0</v>
      </c>
      <c r="P1414" t="n">
        <v>0</v>
      </c>
      <c r="Q1414" t="n">
        <v>0</v>
      </c>
      <c r="R1414" s="2" t="inlineStr"/>
    </row>
    <row r="1415" ht="15" customHeight="1">
      <c r="A1415" t="inlineStr">
        <is>
          <t>A 60529-2023</t>
        </is>
      </c>
      <c r="B1415" s="1" t="n">
        <v>45259</v>
      </c>
      <c r="C1415" s="1" t="n">
        <v>46050</v>
      </c>
      <c r="D1415" t="inlineStr">
        <is>
          <t>STOCKHOLMS LÄN</t>
        </is>
      </c>
      <c r="E1415" t="inlineStr">
        <is>
          <t>NORRTÄLJE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50097-2025</t>
        </is>
      </c>
      <c r="B1416" s="1" t="n">
        <v>45943.50207175926</v>
      </c>
      <c r="C1416" s="1" t="n">
        <v>46050</v>
      </c>
      <c r="D1416" t="inlineStr">
        <is>
          <t>STOCKHOLMS LÄN</t>
        </is>
      </c>
      <c r="E1416" t="inlineStr">
        <is>
          <t>NORRTÄLJE</t>
        </is>
      </c>
      <c r="F1416" t="inlineStr">
        <is>
          <t>Holmen skog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20692-2025</t>
        </is>
      </c>
      <c r="B1417" s="1" t="n">
        <v>45776.46369212963</v>
      </c>
      <c r="C1417" s="1" t="n">
        <v>46050</v>
      </c>
      <c r="D1417" t="inlineStr">
        <is>
          <t>STOCKHOLMS LÄN</t>
        </is>
      </c>
      <c r="E1417" t="inlineStr">
        <is>
          <t>NORRTÄLJE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49622-2021</t>
        </is>
      </c>
      <c r="B1418" s="1" t="n">
        <v>44455</v>
      </c>
      <c r="C1418" s="1" t="n">
        <v>46050</v>
      </c>
      <c r="D1418" t="inlineStr">
        <is>
          <t>STOCKHOLMS LÄN</t>
        </is>
      </c>
      <c r="E1418" t="inlineStr">
        <is>
          <t>UPPLANDS-BRO</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49836-2025</t>
        </is>
      </c>
      <c r="B1419" s="1" t="n">
        <v>45940.46862268518</v>
      </c>
      <c r="C1419" s="1" t="n">
        <v>46050</v>
      </c>
      <c r="D1419" t="inlineStr">
        <is>
          <t>STOCKHOLMS LÄN</t>
        </is>
      </c>
      <c r="E1419" t="inlineStr">
        <is>
          <t>NORRTÄLJE</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12907-2024</t>
        </is>
      </c>
      <c r="B1420" s="1" t="n">
        <v>45385</v>
      </c>
      <c r="C1420" s="1" t="n">
        <v>46050</v>
      </c>
      <c r="D1420" t="inlineStr">
        <is>
          <t>STOCKHOLMS LÄN</t>
        </is>
      </c>
      <c r="E1420" t="inlineStr">
        <is>
          <t>SÖDERTÄLJE</t>
        </is>
      </c>
      <c r="G1420" t="n">
        <v>11.9</v>
      </c>
      <c r="H1420" t="n">
        <v>0</v>
      </c>
      <c r="I1420" t="n">
        <v>0</v>
      </c>
      <c r="J1420" t="n">
        <v>0</v>
      </c>
      <c r="K1420" t="n">
        <v>0</v>
      </c>
      <c r="L1420" t="n">
        <v>0</v>
      </c>
      <c r="M1420" t="n">
        <v>0</v>
      </c>
      <c r="N1420" t="n">
        <v>0</v>
      </c>
      <c r="O1420" t="n">
        <v>0</v>
      </c>
      <c r="P1420" t="n">
        <v>0</v>
      </c>
      <c r="Q1420" t="n">
        <v>0</v>
      </c>
      <c r="R1420" s="2" t="inlineStr"/>
    </row>
    <row r="1421" ht="15" customHeight="1">
      <c r="A1421" t="inlineStr">
        <is>
          <t>A 37630-2025</t>
        </is>
      </c>
      <c r="B1421" s="1" t="n">
        <v>45880.46372685185</v>
      </c>
      <c r="C1421" s="1" t="n">
        <v>46050</v>
      </c>
      <c r="D1421" t="inlineStr">
        <is>
          <t>STOCKHOLMS LÄN</t>
        </is>
      </c>
      <c r="E1421" t="inlineStr">
        <is>
          <t>NORRTÄLJE</t>
        </is>
      </c>
      <c r="F1421" t="inlineStr">
        <is>
          <t>Sveaskog</t>
        </is>
      </c>
      <c r="G1421" t="n">
        <v>12.9</v>
      </c>
      <c r="H1421" t="n">
        <v>0</v>
      </c>
      <c r="I1421" t="n">
        <v>0</v>
      </c>
      <c r="J1421" t="n">
        <v>0</v>
      </c>
      <c r="K1421" t="n">
        <v>0</v>
      </c>
      <c r="L1421" t="n">
        <v>0</v>
      </c>
      <c r="M1421" t="n">
        <v>0</v>
      </c>
      <c r="N1421" t="n">
        <v>0</v>
      </c>
      <c r="O1421" t="n">
        <v>0</v>
      </c>
      <c r="P1421" t="n">
        <v>0</v>
      </c>
      <c r="Q1421" t="n">
        <v>0</v>
      </c>
      <c r="R1421" s="2" t="inlineStr"/>
    </row>
    <row r="1422" ht="15" customHeight="1">
      <c r="A1422" t="inlineStr">
        <is>
          <t>A 26909-2024</t>
        </is>
      </c>
      <c r="B1422" s="1" t="n">
        <v>45470</v>
      </c>
      <c r="C1422" s="1" t="n">
        <v>46050</v>
      </c>
      <c r="D1422" t="inlineStr">
        <is>
          <t>STOCKHOLMS LÄN</t>
        </is>
      </c>
      <c r="E1422" t="inlineStr">
        <is>
          <t>SÖDERTÄLJE</t>
        </is>
      </c>
      <c r="F1422" t="inlineStr">
        <is>
          <t>Kommuner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20649-2022</t>
        </is>
      </c>
      <c r="B1423" s="1" t="n">
        <v>44700</v>
      </c>
      <c r="C1423" s="1" t="n">
        <v>46050</v>
      </c>
      <c r="D1423" t="inlineStr">
        <is>
          <t>STOCKHOLMS LÄN</t>
        </is>
      </c>
      <c r="E1423" t="inlineStr">
        <is>
          <t>BOTKYRKA</t>
        </is>
      </c>
      <c r="F1423" t="inlineStr">
        <is>
          <t>Övriga Aktiebolag</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24707-2023</t>
        </is>
      </c>
      <c r="B1424" s="1" t="n">
        <v>45084</v>
      </c>
      <c r="C1424" s="1" t="n">
        <v>46050</v>
      </c>
      <c r="D1424" t="inlineStr">
        <is>
          <t>STOCKHOLMS LÄN</t>
        </is>
      </c>
      <c r="E1424" t="inlineStr">
        <is>
          <t>VALLENTUNA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46071-2024</t>
        </is>
      </c>
      <c r="B1425" s="1" t="n">
        <v>45581</v>
      </c>
      <c r="C1425" s="1" t="n">
        <v>46050</v>
      </c>
      <c r="D1425" t="inlineStr">
        <is>
          <t>STOCKHOLMS LÄN</t>
        </is>
      </c>
      <c r="E1425" t="inlineStr">
        <is>
          <t>NORRTÄLJE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5968-2023</t>
        </is>
      </c>
      <c r="B1426" s="1" t="n">
        <v>44959</v>
      </c>
      <c r="C1426" s="1" t="n">
        <v>46050</v>
      </c>
      <c r="D1426" t="inlineStr">
        <is>
          <t>STOCKHOLMS LÄN</t>
        </is>
      </c>
      <c r="E1426" t="inlineStr">
        <is>
          <t>VAXHOLM</t>
        </is>
      </c>
      <c r="F1426" t="inlineStr">
        <is>
          <t>Övriga statliga verk och myndigheter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52950-2024</t>
        </is>
      </c>
      <c r="B1427" s="1" t="n">
        <v>45610.89103009259</v>
      </c>
      <c r="C1427" s="1" t="n">
        <v>46050</v>
      </c>
      <c r="D1427" t="inlineStr">
        <is>
          <t>STOCKHOLMS LÄN</t>
        </is>
      </c>
      <c r="E1427" t="inlineStr">
        <is>
          <t>NYNÄSHAMN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28502-2023</t>
        </is>
      </c>
      <c r="B1428" s="1" t="n">
        <v>45103</v>
      </c>
      <c r="C1428" s="1" t="n">
        <v>46050</v>
      </c>
      <c r="D1428" t="inlineStr">
        <is>
          <t>STOCKHOLMS LÄN</t>
        </is>
      </c>
      <c r="E1428" t="inlineStr">
        <is>
          <t>SÖDERTÄLJE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36052-2023</t>
        </is>
      </c>
      <c r="B1429" s="1" t="n">
        <v>45149</v>
      </c>
      <c r="C1429" s="1" t="n">
        <v>46050</v>
      </c>
      <c r="D1429" t="inlineStr">
        <is>
          <t>STOCKHOLMS LÄN</t>
        </is>
      </c>
      <c r="E1429" t="inlineStr">
        <is>
          <t>NYNÄSHAMN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19706-2023</t>
        </is>
      </c>
      <c r="B1430" s="1" t="n">
        <v>45051.455</v>
      </c>
      <c r="C1430" s="1" t="n">
        <v>46050</v>
      </c>
      <c r="D1430" t="inlineStr">
        <is>
          <t>STOCKHOLMS LÄN</t>
        </is>
      </c>
      <c r="E1430" t="inlineStr">
        <is>
          <t>NORRTÄLJE</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50327-2025</t>
        </is>
      </c>
      <c r="B1431" s="1" t="n">
        <v>45944.46387731482</v>
      </c>
      <c r="C1431" s="1" t="n">
        <v>46050</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15176-2024</t>
        </is>
      </c>
      <c r="B1432" s="1" t="n">
        <v>45400</v>
      </c>
      <c r="C1432" s="1" t="n">
        <v>46050</v>
      </c>
      <c r="D1432" t="inlineStr">
        <is>
          <t>STOCKHOLMS LÄN</t>
        </is>
      </c>
      <c r="E1432" t="inlineStr">
        <is>
          <t>NYNÄSHAMN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12900-2022</t>
        </is>
      </c>
      <c r="B1433" s="1" t="n">
        <v>44642</v>
      </c>
      <c r="C1433" s="1" t="n">
        <v>46050</v>
      </c>
      <c r="D1433" t="inlineStr">
        <is>
          <t>STOCKHOLMS LÄN</t>
        </is>
      </c>
      <c r="E1433" t="inlineStr">
        <is>
          <t>SIGTUNA</t>
        </is>
      </c>
      <c r="G1433" t="n">
        <v>5.6</v>
      </c>
      <c r="H1433" t="n">
        <v>0</v>
      </c>
      <c r="I1433" t="n">
        <v>0</v>
      </c>
      <c r="J1433" t="n">
        <v>0</v>
      </c>
      <c r="K1433" t="n">
        <v>0</v>
      </c>
      <c r="L1433" t="n">
        <v>0</v>
      </c>
      <c r="M1433" t="n">
        <v>0</v>
      </c>
      <c r="N1433" t="n">
        <v>0</v>
      </c>
      <c r="O1433" t="n">
        <v>0</v>
      </c>
      <c r="P1433" t="n">
        <v>0</v>
      </c>
      <c r="Q1433" t="n">
        <v>0</v>
      </c>
      <c r="R1433" s="2" t="inlineStr"/>
      <c r="U1433">
        <f>HYPERLINK("https://klasma.github.io/Logging_0191/knärot/A 12900-2022 karta knärot.png", "A 12900-2022")</f>
        <v/>
      </c>
      <c r="V1433">
        <f>HYPERLINK("https://klasma.github.io/Logging_0191/klagomål/A 12900-2022 FSC-klagomål.docx", "A 12900-2022")</f>
        <v/>
      </c>
      <c r="W1433">
        <f>HYPERLINK("https://klasma.github.io/Logging_0191/klagomålsmail/A 12900-2022 FSC-klagomål mail.docx", "A 12900-2022")</f>
        <v/>
      </c>
      <c r="X1433">
        <f>HYPERLINK("https://klasma.github.io/Logging_0191/tillsyn/A 12900-2022 tillsynsbegäran.docx", "A 12900-2022")</f>
        <v/>
      </c>
      <c r="Y1433">
        <f>HYPERLINK("https://klasma.github.io/Logging_0191/tillsynsmail/A 12900-2022 tillsynsbegäran mail.docx", "A 12900-2022")</f>
        <v/>
      </c>
    </row>
    <row r="1434" ht="15" customHeight="1">
      <c r="A1434" t="inlineStr">
        <is>
          <t>A 18539-2021</t>
        </is>
      </c>
      <c r="B1434" s="1" t="n">
        <v>44306</v>
      </c>
      <c r="C1434" s="1" t="n">
        <v>46050</v>
      </c>
      <c r="D1434" t="inlineStr">
        <is>
          <t>STOCKHOLMS LÄN</t>
        </is>
      </c>
      <c r="E1434" t="inlineStr">
        <is>
          <t>NORRTÄLJE</t>
        </is>
      </c>
      <c r="F1434" t="inlineStr">
        <is>
          <t>Holmen skog AB</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13137-2024</t>
        </is>
      </c>
      <c r="B1435" s="1" t="n">
        <v>45386.34175925926</v>
      </c>
      <c r="C1435" s="1" t="n">
        <v>46050</v>
      </c>
      <c r="D1435" t="inlineStr">
        <is>
          <t>STOCKHOLMS LÄN</t>
        </is>
      </c>
      <c r="E1435" t="inlineStr">
        <is>
          <t>NORRTÄLJE</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17612-2022</t>
        </is>
      </c>
      <c r="B1436" s="1" t="n">
        <v>44680</v>
      </c>
      <c r="C1436" s="1" t="n">
        <v>46050</v>
      </c>
      <c r="D1436" t="inlineStr">
        <is>
          <t>STOCKHOLMS LÄN</t>
        </is>
      </c>
      <c r="E1436" t="inlineStr">
        <is>
          <t>NORRTÄLJE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44346-2021</t>
        </is>
      </c>
      <c r="B1437" s="1" t="n">
        <v>44434</v>
      </c>
      <c r="C1437" s="1" t="n">
        <v>46050</v>
      </c>
      <c r="D1437" t="inlineStr">
        <is>
          <t>STOCKHOLMS LÄN</t>
        </is>
      </c>
      <c r="E1437" t="inlineStr">
        <is>
          <t>VALLENTUNA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50563-2025</t>
        </is>
      </c>
      <c r="B1438" s="1" t="n">
        <v>45944</v>
      </c>
      <c r="C1438" s="1" t="n">
        <v>46050</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16835-2022</t>
        </is>
      </c>
      <c r="B1439" s="1" t="n">
        <v>44673</v>
      </c>
      <c r="C1439" s="1" t="n">
        <v>46050</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50474-2025</t>
        </is>
      </c>
      <c r="B1440" s="1" t="n">
        <v>45945.36526620371</v>
      </c>
      <c r="C1440" s="1" t="n">
        <v>46050</v>
      </c>
      <c r="D1440" t="inlineStr">
        <is>
          <t>STOCKHOLMS LÄN</t>
        </is>
      </c>
      <c r="E1440" t="inlineStr">
        <is>
          <t>BOTKYRKA</t>
        </is>
      </c>
      <c r="F1440" t="inlineStr">
        <is>
          <t>Övriga Aktiebolag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50333-2025</t>
        </is>
      </c>
      <c r="B1441" s="1" t="n">
        <v>45944.47178240741</v>
      </c>
      <c r="C1441" s="1" t="n">
        <v>46050</v>
      </c>
      <c r="D1441" t="inlineStr">
        <is>
          <t>STOCKHOLMS LÄN</t>
        </is>
      </c>
      <c r="E1441" t="inlineStr">
        <is>
          <t>NORRTÄLJE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9562-2025</t>
        </is>
      </c>
      <c r="B1442" s="1" t="n">
        <v>45715.61215277778</v>
      </c>
      <c r="C1442" s="1" t="n">
        <v>46050</v>
      </c>
      <c r="D1442" t="inlineStr">
        <is>
          <t>STOCKHOLMS LÄN</t>
        </is>
      </c>
      <c r="E1442" t="inlineStr">
        <is>
          <t>SÖDERTÄLJE</t>
        </is>
      </c>
      <c r="F1442" t="inlineStr">
        <is>
          <t>Sveaskog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62765-2022</t>
        </is>
      </c>
      <c r="B1443" s="1" t="n">
        <v>44637</v>
      </c>
      <c r="C1443" s="1" t="n">
        <v>46050</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24350-2025</t>
        </is>
      </c>
      <c r="B1444" s="1" t="n">
        <v>45797.58350694444</v>
      </c>
      <c r="C1444" s="1" t="n">
        <v>46050</v>
      </c>
      <c r="D1444" t="inlineStr">
        <is>
          <t>STOCKHOLMS LÄN</t>
        </is>
      </c>
      <c r="E1444" t="inlineStr">
        <is>
          <t>NORRTÄLJE</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26703-2025</t>
        </is>
      </c>
      <c r="B1445" s="1" t="n">
        <v>45810.45263888889</v>
      </c>
      <c r="C1445" s="1" t="n">
        <v>46050</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58404-2023</t>
        </is>
      </c>
      <c r="B1446" s="1" t="n">
        <v>45245</v>
      </c>
      <c r="C1446" s="1" t="n">
        <v>46050</v>
      </c>
      <c r="D1446" t="inlineStr">
        <is>
          <t>STOCKHOLMS LÄN</t>
        </is>
      </c>
      <c r="E1446" t="inlineStr">
        <is>
          <t>NORRTÄLJE</t>
        </is>
      </c>
      <c r="G1446" t="n">
        <v>53.5</v>
      </c>
      <c r="H1446" t="n">
        <v>0</v>
      </c>
      <c r="I1446" t="n">
        <v>0</v>
      </c>
      <c r="J1446" t="n">
        <v>0</v>
      </c>
      <c r="K1446" t="n">
        <v>0</v>
      </c>
      <c r="L1446" t="n">
        <v>0</v>
      </c>
      <c r="M1446" t="n">
        <v>0</v>
      </c>
      <c r="N1446" t="n">
        <v>0</v>
      </c>
      <c r="O1446" t="n">
        <v>0</v>
      </c>
      <c r="P1446" t="n">
        <v>0</v>
      </c>
      <c r="Q1446" t="n">
        <v>0</v>
      </c>
      <c r="R1446" s="2" t="inlineStr"/>
    </row>
    <row r="1447" ht="15" customHeight="1">
      <c r="A1447" t="inlineStr">
        <is>
          <t>A 51122-2025</t>
        </is>
      </c>
      <c r="B1447" s="1" t="n">
        <v>45947.53693287037</v>
      </c>
      <c r="C1447" s="1" t="n">
        <v>46050</v>
      </c>
      <c r="D1447" t="inlineStr">
        <is>
          <t>STOCKHOLMS LÄN</t>
        </is>
      </c>
      <c r="E1447" t="inlineStr">
        <is>
          <t>NORRTÄLJE</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51233-2025</t>
        </is>
      </c>
      <c r="B1448" s="1" t="n">
        <v>45947.68232638889</v>
      </c>
      <c r="C1448" s="1" t="n">
        <v>46050</v>
      </c>
      <c r="D1448" t="inlineStr">
        <is>
          <t>STOCKHOLMS LÄN</t>
        </is>
      </c>
      <c r="E1448" t="inlineStr">
        <is>
          <t>NORRTÄLJE</t>
        </is>
      </c>
      <c r="F1448" t="inlineStr">
        <is>
          <t>Naturvårdsverket</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51236-2025</t>
        </is>
      </c>
      <c r="B1449" s="1" t="n">
        <v>45947.69078703703</v>
      </c>
      <c r="C1449" s="1" t="n">
        <v>46050</v>
      </c>
      <c r="D1449" t="inlineStr">
        <is>
          <t>STOCKHOLMS LÄN</t>
        </is>
      </c>
      <c r="E1449" t="inlineStr">
        <is>
          <t>NORRTÄLJE</t>
        </is>
      </c>
      <c r="F1449" t="inlineStr">
        <is>
          <t>Naturvårdsverket</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51241-2025</t>
        </is>
      </c>
      <c r="B1450" s="1" t="n">
        <v>45947.71726851852</v>
      </c>
      <c r="C1450" s="1" t="n">
        <v>46050</v>
      </c>
      <c r="D1450" t="inlineStr">
        <is>
          <t>STOCKHOLMS LÄN</t>
        </is>
      </c>
      <c r="E1450" t="inlineStr">
        <is>
          <t>NORRTÄLJE</t>
        </is>
      </c>
      <c r="F1450" t="inlineStr">
        <is>
          <t>Naturvårdsverket</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38194-2025</t>
        </is>
      </c>
      <c r="B1451" s="1" t="n">
        <v>45882.65921296296</v>
      </c>
      <c r="C1451" s="1" t="n">
        <v>46050</v>
      </c>
      <c r="D1451" t="inlineStr">
        <is>
          <t>STOCKHOLMS LÄN</t>
        </is>
      </c>
      <c r="E1451" t="inlineStr">
        <is>
          <t>SÖDERTÄLJE</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50784-2025</t>
        </is>
      </c>
      <c r="B1452" s="1" t="n">
        <v>45946</v>
      </c>
      <c r="C1452" s="1" t="n">
        <v>46050</v>
      </c>
      <c r="D1452" t="inlineStr">
        <is>
          <t>STOCKHOLMS LÄN</t>
        </is>
      </c>
      <c r="E1452" t="inlineStr">
        <is>
          <t>VALLENTUNA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51240-2025</t>
        </is>
      </c>
      <c r="B1453" s="1" t="n">
        <v>45947.70420138889</v>
      </c>
      <c r="C1453" s="1" t="n">
        <v>46050</v>
      </c>
      <c r="D1453" t="inlineStr">
        <is>
          <t>STOCKHOLMS LÄN</t>
        </is>
      </c>
      <c r="E1453" t="inlineStr">
        <is>
          <t>NORRTÄLJE</t>
        </is>
      </c>
      <c r="F1453" t="inlineStr">
        <is>
          <t>Naturvårdsverket</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8586-2023</t>
        </is>
      </c>
      <c r="B1454" s="1" t="n">
        <v>44977</v>
      </c>
      <c r="C1454" s="1" t="n">
        <v>46050</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8611-2023</t>
        </is>
      </c>
      <c r="B1455" s="1" t="n">
        <v>44977</v>
      </c>
      <c r="C1455" s="1" t="n">
        <v>46050</v>
      </c>
      <c r="D1455" t="inlineStr">
        <is>
          <t>STOCKHOLMS LÄN</t>
        </is>
      </c>
      <c r="E1455" t="inlineStr">
        <is>
          <t>SÖDERTÄLJE</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38153-2025</t>
        </is>
      </c>
      <c r="B1456" s="1" t="n">
        <v>45882.59722222222</v>
      </c>
      <c r="C1456" s="1" t="n">
        <v>46050</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42572-2024</t>
        </is>
      </c>
      <c r="B1457" s="1" t="n">
        <v>45565.64217592592</v>
      </c>
      <c r="C1457" s="1" t="n">
        <v>46050</v>
      </c>
      <c r="D1457" t="inlineStr">
        <is>
          <t>STOCKHOLMS LÄN</t>
        </is>
      </c>
      <c r="E1457" t="inlineStr">
        <is>
          <t>SIGTUNA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52770-2024</t>
        </is>
      </c>
      <c r="B1458" s="1" t="n">
        <v>45610.52414351852</v>
      </c>
      <c r="C1458" s="1" t="n">
        <v>46050</v>
      </c>
      <c r="D1458" t="inlineStr">
        <is>
          <t>STOCKHOLMS LÄN</t>
        </is>
      </c>
      <c r="E1458" t="inlineStr">
        <is>
          <t>HANINGE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51121-2025</t>
        </is>
      </c>
      <c r="B1459" s="1" t="n">
        <v>45947.53293981482</v>
      </c>
      <c r="C1459" s="1" t="n">
        <v>46050</v>
      </c>
      <c r="D1459" t="inlineStr">
        <is>
          <t>STOCKHOLMS LÄN</t>
        </is>
      </c>
      <c r="E1459" t="inlineStr">
        <is>
          <t>NORRTÄLJE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59477-2025</t>
        </is>
      </c>
      <c r="B1460" s="1" t="n">
        <v>45989.58679398148</v>
      </c>
      <c r="C1460" s="1" t="n">
        <v>46050</v>
      </c>
      <c r="D1460" t="inlineStr">
        <is>
          <t>STOCKHOLMS LÄN</t>
        </is>
      </c>
      <c r="E1460" t="inlineStr">
        <is>
          <t>NORRTÄLJE</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16202-2022</t>
        </is>
      </c>
      <c r="B1461" s="1" t="n">
        <v>44670</v>
      </c>
      <c r="C1461" s="1" t="n">
        <v>46050</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22816-2021</t>
        </is>
      </c>
      <c r="B1462" s="1" t="n">
        <v>44325</v>
      </c>
      <c r="C1462" s="1" t="n">
        <v>46050</v>
      </c>
      <c r="D1462" t="inlineStr">
        <is>
          <t>STOCKHOLMS LÄN</t>
        </is>
      </c>
      <c r="E1462" t="inlineStr">
        <is>
          <t>NORRTÄLJE</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3108-2024</t>
        </is>
      </c>
      <c r="B1463" s="1" t="n">
        <v>45316</v>
      </c>
      <c r="C1463" s="1" t="n">
        <v>46050</v>
      </c>
      <c r="D1463" t="inlineStr">
        <is>
          <t>STOCKHOLMS LÄN</t>
        </is>
      </c>
      <c r="E1463" t="inlineStr">
        <is>
          <t>SÖDERTÄLJE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55018-2024</t>
        </is>
      </c>
      <c r="B1464" s="1" t="n">
        <v>45621.35712962963</v>
      </c>
      <c r="C1464" s="1" t="n">
        <v>46050</v>
      </c>
      <c r="D1464" t="inlineStr">
        <is>
          <t>STOCKHOLMS LÄN</t>
        </is>
      </c>
      <c r="E1464" t="inlineStr">
        <is>
          <t>NORRTÄLJE</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50136-2023</t>
        </is>
      </c>
      <c r="B1465" s="1" t="n">
        <v>45215</v>
      </c>
      <c r="C1465" s="1" t="n">
        <v>46050</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25656-2023</t>
        </is>
      </c>
      <c r="B1466" s="1" t="n">
        <v>45089</v>
      </c>
      <c r="C1466" s="1" t="n">
        <v>46050</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6003-2025</t>
        </is>
      </c>
      <c r="B1467" s="1" t="n">
        <v>45695.57881944445</v>
      </c>
      <c r="C1467" s="1" t="n">
        <v>46050</v>
      </c>
      <c r="D1467" t="inlineStr">
        <is>
          <t>STOCKHOLMS LÄN</t>
        </is>
      </c>
      <c r="E1467" t="inlineStr">
        <is>
          <t>NORRTÄLJE</t>
        </is>
      </c>
      <c r="F1467" t="inlineStr">
        <is>
          <t>Holmen skog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11430-2022</t>
        </is>
      </c>
      <c r="B1468" s="1" t="n">
        <v>44630.5968287037</v>
      </c>
      <c r="C1468" s="1" t="n">
        <v>46050</v>
      </c>
      <c r="D1468" t="inlineStr">
        <is>
          <t>STOCKHOLMS LÄN</t>
        </is>
      </c>
      <c r="E1468" t="inlineStr">
        <is>
          <t>NYKVARN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42337-2024</t>
        </is>
      </c>
      <c r="B1469" s="1" t="n">
        <v>45562</v>
      </c>
      <c r="C1469" s="1" t="n">
        <v>46050</v>
      </c>
      <c r="D1469" t="inlineStr">
        <is>
          <t>STOCKHOLMS LÄN</t>
        </is>
      </c>
      <c r="E1469" t="inlineStr">
        <is>
          <t>SÖDERTÄLJE</t>
        </is>
      </c>
      <c r="F1469" t="inlineStr">
        <is>
          <t>Övriga statliga verk och myndigheter</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51532-2025</t>
        </is>
      </c>
      <c r="B1470" s="1" t="n">
        <v>45950.68297453703</v>
      </c>
      <c r="C1470" s="1" t="n">
        <v>46050</v>
      </c>
      <c r="D1470" t="inlineStr">
        <is>
          <t>STOCKHOLMS LÄN</t>
        </is>
      </c>
      <c r="E1470" t="inlineStr">
        <is>
          <t>NORRTÄLJE</t>
        </is>
      </c>
      <c r="F1470" t="inlineStr">
        <is>
          <t>Naturvårdsverket</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51789-2025</t>
        </is>
      </c>
      <c r="B1471" s="1" t="n">
        <v>45951.68046296296</v>
      </c>
      <c r="C1471" s="1" t="n">
        <v>46050</v>
      </c>
      <c r="D1471" t="inlineStr">
        <is>
          <t>STOCKHOLMS LÄN</t>
        </is>
      </c>
      <c r="E1471" t="inlineStr">
        <is>
          <t>NORRTÄLJE</t>
        </is>
      </c>
      <c r="F1471" t="inlineStr">
        <is>
          <t>Naturvårdsverket</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11902-2024</t>
        </is>
      </c>
      <c r="B1472" s="1" t="n">
        <v>45376.55704861111</v>
      </c>
      <c r="C1472" s="1" t="n">
        <v>46050</v>
      </c>
      <c r="D1472" t="inlineStr">
        <is>
          <t>STOCKHOLMS LÄN</t>
        </is>
      </c>
      <c r="E1472" t="inlineStr">
        <is>
          <t>NORRTÄLJE</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14776-2024</t>
        </is>
      </c>
      <c r="B1473" s="1" t="n">
        <v>45397</v>
      </c>
      <c r="C1473" s="1" t="n">
        <v>46050</v>
      </c>
      <c r="D1473" t="inlineStr">
        <is>
          <t>STOCKHOLMS LÄN</t>
        </is>
      </c>
      <c r="E1473" t="inlineStr">
        <is>
          <t>ÖSTERÅKER</t>
        </is>
      </c>
      <c r="G1473" t="n">
        <v>13.6</v>
      </c>
      <c r="H1473" t="n">
        <v>0</v>
      </c>
      <c r="I1473" t="n">
        <v>0</v>
      </c>
      <c r="J1473" t="n">
        <v>0</v>
      </c>
      <c r="K1473" t="n">
        <v>0</v>
      </c>
      <c r="L1473" t="n">
        <v>0</v>
      </c>
      <c r="M1473" t="n">
        <v>0</v>
      </c>
      <c r="N1473" t="n">
        <v>0</v>
      </c>
      <c r="O1473" t="n">
        <v>0</v>
      </c>
      <c r="P1473" t="n">
        <v>0</v>
      </c>
      <c r="Q1473" t="n">
        <v>0</v>
      </c>
      <c r="R1473" s="2" t="inlineStr"/>
    </row>
    <row r="1474" ht="15" customHeight="1">
      <c r="A1474" t="inlineStr">
        <is>
          <t>A 38049-2023</t>
        </is>
      </c>
      <c r="B1474" s="1" t="n">
        <v>45159</v>
      </c>
      <c r="C1474" s="1" t="n">
        <v>46050</v>
      </c>
      <c r="D1474" t="inlineStr">
        <is>
          <t>STOCKHOLMS LÄN</t>
        </is>
      </c>
      <c r="E1474" t="inlineStr">
        <is>
          <t>NORRTÄLJE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59535-2024</t>
        </is>
      </c>
      <c r="B1475" s="1" t="n">
        <v>45638.59979166667</v>
      </c>
      <c r="C1475" s="1" t="n">
        <v>46050</v>
      </c>
      <c r="D1475" t="inlineStr">
        <is>
          <t>STOCKHOLMS LÄN</t>
        </is>
      </c>
      <c r="E1475" t="inlineStr">
        <is>
          <t>NORRTÄLJE</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8528-2024</t>
        </is>
      </c>
      <c r="B1476" s="1" t="n">
        <v>45355.49099537037</v>
      </c>
      <c r="C1476" s="1" t="n">
        <v>46050</v>
      </c>
      <c r="D1476" t="inlineStr">
        <is>
          <t>STOCKHOLMS LÄN</t>
        </is>
      </c>
      <c r="E1476" t="inlineStr">
        <is>
          <t>BOTKYRKA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67921-2021</t>
        </is>
      </c>
      <c r="B1477" s="1" t="n">
        <v>44525</v>
      </c>
      <c r="C1477" s="1" t="n">
        <v>46050</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45233-2024</t>
        </is>
      </c>
      <c r="B1478" s="1" t="n">
        <v>45575</v>
      </c>
      <c r="C1478" s="1" t="n">
        <v>46050</v>
      </c>
      <c r="D1478" t="inlineStr">
        <is>
          <t>STOCKHOLMS LÄN</t>
        </is>
      </c>
      <c r="E1478" t="inlineStr">
        <is>
          <t>SIGTUNA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7457-2025</t>
        </is>
      </c>
      <c r="B1479" s="1" t="n">
        <v>45705.43699074074</v>
      </c>
      <c r="C1479" s="1" t="n">
        <v>46050</v>
      </c>
      <c r="D1479" t="inlineStr">
        <is>
          <t>STOCKHOLMS LÄN</t>
        </is>
      </c>
      <c r="E1479" t="inlineStr">
        <is>
          <t>NYNÄSHAMN</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4183-2025</t>
        </is>
      </c>
      <c r="B1480" s="1" t="n">
        <v>45685.44592592592</v>
      </c>
      <c r="C1480" s="1" t="n">
        <v>46050</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38880-2025</t>
        </is>
      </c>
      <c r="B1481" s="1" t="n">
        <v>45887.57966435186</v>
      </c>
      <c r="C1481" s="1" t="n">
        <v>46050</v>
      </c>
      <c r="D1481" t="inlineStr">
        <is>
          <t>STOCKHOLMS LÄN</t>
        </is>
      </c>
      <c r="E1481" t="inlineStr">
        <is>
          <t>HANINGE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59957-2023</t>
        </is>
      </c>
      <c r="B1482" s="1" t="n">
        <v>45257</v>
      </c>
      <c r="C1482" s="1" t="n">
        <v>46050</v>
      </c>
      <c r="D1482" t="inlineStr">
        <is>
          <t>STOCKHOLMS LÄN</t>
        </is>
      </c>
      <c r="E1482" t="inlineStr">
        <is>
          <t>SIGTUNA</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51960-2025</t>
        </is>
      </c>
      <c r="B1483" s="1" t="n">
        <v>45952.54755787037</v>
      </c>
      <c r="C1483" s="1" t="n">
        <v>46050</v>
      </c>
      <c r="D1483" t="inlineStr">
        <is>
          <t>STOCKHOLMS LÄN</t>
        </is>
      </c>
      <c r="E1483" t="inlineStr">
        <is>
          <t>NORRTÄLJE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18592-2023</t>
        </is>
      </c>
      <c r="B1484" s="1" t="n">
        <v>45043</v>
      </c>
      <c r="C1484" s="1" t="n">
        <v>46050</v>
      </c>
      <c r="D1484" t="inlineStr">
        <is>
          <t>STOCKHOLMS LÄN</t>
        </is>
      </c>
      <c r="E1484" t="inlineStr">
        <is>
          <t>SÖDERTÄLJE</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9480-2025</t>
        </is>
      </c>
      <c r="B1485" s="1" t="n">
        <v>45715</v>
      </c>
      <c r="C1485" s="1" t="n">
        <v>46050</v>
      </c>
      <c r="D1485" t="inlineStr">
        <is>
          <t>STOCKHOLMS LÄN</t>
        </is>
      </c>
      <c r="E1485" t="inlineStr">
        <is>
          <t>NORRTÄLJE</t>
        </is>
      </c>
      <c r="F1485" t="inlineStr">
        <is>
          <t>Övriga Aktiebolag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65499-2021</t>
        </is>
      </c>
      <c r="B1486" s="1" t="n">
        <v>44516</v>
      </c>
      <c r="C1486" s="1" t="n">
        <v>46050</v>
      </c>
      <c r="D1486" t="inlineStr">
        <is>
          <t>STOCKHOLMS LÄN</t>
        </is>
      </c>
      <c r="E1486" t="inlineStr">
        <is>
          <t>NORRTÄLJE</t>
        </is>
      </c>
      <c r="F1486" t="inlineStr">
        <is>
          <t>Kommuner</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51941-2025</t>
        </is>
      </c>
      <c r="B1487" s="1" t="n">
        <v>45952.52261574074</v>
      </c>
      <c r="C1487" s="1" t="n">
        <v>46050</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1381-2023</t>
        </is>
      </c>
      <c r="B1488" s="1" t="n">
        <v>44936.68457175926</v>
      </c>
      <c r="C1488" s="1" t="n">
        <v>46050</v>
      </c>
      <c r="D1488" t="inlineStr">
        <is>
          <t>STOCKHOLMS LÄN</t>
        </is>
      </c>
      <c r="E1488" t="inlineStr">
        <is>
          <t>SÖDERTÄLJE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52061-2025</t>
        </is>
      </c>
      <c r="B1489" s="1" t="n">
        <v>45952.63679398148</v>
      </c>
      <c r="C1489" s="1" t="n">
        <v>46050</v>
      </c>
      <c r="D1489" t="inlineStr">
        <is>
          <t>STOCKHOLMS LÄN</t>
        </is>
      </c>
      <c r="E1489" t="inlineStr">
        <is>
          <t>NORRTÄLJE</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51945-2025</t>
        </is>
      </c>
      <c r="B1490" s="1" t="n">
        <v>45952.52679398148</v>
      </c>
      <c r="C1490" s="1" t="n">
        <v>46050</v>
      </c>
      <c r="D1490" t="inlineStr">
        <is>
          <t>STOCKHOLMS LÄN</t>
        </is>
      </c>
      <c r="E1490" t="inlineStr">
        <is>
          <t>NORRTÄLJE</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52220-2025</t>
        </is>
      </c>
      <c r="B1491" s="1" t="n">
        <v>45953</v>
      </c>
      <c r="C1491" s="1" t="n">
        <v>46050</v>
      </c>
      <c r="D1491" t="inlineStr">
        <is>
          <t>STOCKHOLMS LÄN</t>
        </is>
      </c>
      <c r="E1491" t="inlineStr">
        <is>
          <t>ÖSTERÅKER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51954-2025</t>
        </is>
      </c>
      <c r="B1492" s="1" t="n">
        <v>45952</v>
      </c>
      <c r="C1492" s="1" t="n">
        <v>46050</v>
      </c>
      <c r="D1492" t="inlineStr">
        <is>
          <t>STOCKHOLMS LÄN</t>
        </is>
      </c>
      <c r="E1492" t="inlineStr">
        <is>
          <t>NYNÄSHAMN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52251-2025</t>
        </is>
      </c>
      <c r="B1493" s="1" t="n">
        <v>45953.49185185185</v>
      </c>
      <c r="C1493" s="1" t="n">
        <v>46050</v>
      </c>
      <c r="D1493" t="inlineStr">
        <is>
          <t>STOCKHOLMS LÄN</t>
        </is>
      </c>
      <c r="E1493" t="inlineStr">
        <is>
          <t>NORRTÄLJE</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52254-2025</t>
        </is>
      </c>
      <c r="B1494" s="1" t="n">
        <v>45953.49519675926</v>
      </c>
      <c r="C1494" s="1" t="n">
        <v>46050</v>
      </c>
      <c r="D1494" t="inlineStr">
        <is>
          <t>STOCKHOLMS LÄN</t>
        </is>
      </c>
      <c r="E1494" t="inlineStr">
        <is>
          <t>NORRTÄLJE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52773-2025</t>
        </is>
      </c>
      <c r="B1495" s="1" t="n">
        <v>45957.41457175926</v>
      </c>
      <c r="C1495" s="1" t="n">
        <v>46050</v>
      </c>
      <c r="D1495" t="inlineStr">
        <is>
          <t>STOCKHOLMS LÄN</t>
        </is>
      </c>
      <c r="E1495" t="inlineStr">
        <is>
          <t>NORRTÄLJE</t>
        </is>
      </c>
      <c r="F1495" t="inlineStr">
        <is>
          <t>Sveaskog</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52777-2025</t>
        </is>
      </c>
      <c r="B1496" s="1" t="n">
        <v>45957.41832175926</v>
      </c>
      <c r="C1496" s="1" t="n">
        <v>46050</v>
      </c>
      <c r="D1496" t="inlineStr">
        <is>
          <t>STOCKHOLMS LÄN</t>
        </is>
      </c>
      <c r="E1496" t="inlineStr">
        <is>
          <t>NORRTÄLJE</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52526-2025</t>
        </is>
      </c>
      <c r="B1497" s="1" t="n">
        <v>45954.53061342592</v>
      </c>
      <c r="C1497" s="1" t="n">
        <v>46050</v>
      </c>
      <c r="D1497" t="inlineStr">
        <is>
          <t>STOCKHOLMS LÄN</t>
        </is>
      </c>
      <c r="E1497" t="inlineStr">
        <is>
          <t>NORRTÄLJE</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24522-2023</t>
        </is>
      </c>
      <c r="B1498" s="1" t="n">
        <v>45082.69179398148</v>
      </c>
      <c r="C1498" s="1" t="n">
        <v>46050</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53000-2025</t>
        </is>
      </c>
      <c r="B1499" s="1" t="n">
        <v>45957.74357638889</v>
      </c>
      <c r="C1499" s="1" t="n">
        <v>46050</v>
      </c>
      <c r="D1499" t="inlineStr">
        <is>
          <t>STOCKHOLMS LÄN</t>
        </is>
      </c>
      <c r="E1499" t="inlineStr">
        <is>
          <t>NORRTÄLJE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25625-2023</t>
        </is>
      </c>
      <c r="B1500" s="1" t="n">
        <v>45089</v>
      </c>
      <c r="C1500" s="1" t="n">
        <v>46050</v>
      </c>
      <c r="D1500" t="inlineStr">
        <is>
          <t>STOCKHOLMS LÄN</t>
        </is>
      </c>
      <c r="E1500" t="inlineStr">
        <is>
          <t>NORRTÄLJE</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37147-2023</t>
        </is>
      </c>
      <c r="B1501" s="1" t="n">
        <v>45155</v>
      </c>
      <c r="C1501" s="1" t="n">
        <v>46050</v>
      </c>
      <c r="D1501" t="inlineStr">
        <is>
          <t>STOCKHOLMS LÄN</t>
        </is>
      </c>
      <c r="E1501" t="inlineStr">
        <is>
          <t>NORRTÄLJE</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7186-2024</t>
        </is>
      </c>
      <c r="B1502" s="1" t="n">
        <v>45344</v>
      </c>
      <c r="C1502" s="1" t="n">
        <v>46050</v>
      </c>
      <c r="D1502" t="inlineStr">
        <is>
          <t>STOCKHOLMS LÄN</t>
        </is>
      </c>
      <c r="E1502" t="inlineStr">
        <is>
          <t>NORRTÄLJE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52703-2025</t>
        </is>
      </c>
      <c r="B1503" s="1" t="n">
        <v>45956.88643518519</v>
      </c>
      <c r="C1503" s="1" t="n">
        <v>46050</v>
      </c>
      <c r="D1503" t="inlineStr">
        <is>
          <t>STOCKHOLMS LÄN</t>
        </is>
      </c>
      <c r="E1503" t="inlineStr">
        <is>
          <t>NORRTÄLJE</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45869-2022</t>
        </is>
      </c>
      <c r="B1504" s="1" t="n">
        <v>44844</v>
      </c>
      <c r="C1504" s="1" t="n">
        <v>46050</v>
      </c>
      <c r="D1504" t="inlineStr">
        <is>
          <t>STOCKHOLMS LÄN</t>
        </is>
      </c>
      <c r="E1504" t="inlineStr">
        <is>
          <t>BOTKYRKA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52729-2025</t>
        </is>
      </c>
      <c r="B1505" s="1" t="n">
        <v>45957.3636574074</v>
      </c>
      <c r="C1505" s="1" t="n">
        <v>46050</v>
      </c>
      <c r="D1505" t="inlineStr">
        <is>
          <t>STOCKHOLMS LÄN</t>
        </is>
      </c>
      <c r="E1505" t="inlineStr">
        <is>
          <t>NORRTÄLJE</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56354-2023</t>
        </is>
      </c>
      <c r="B1506" s="1" t="n">
        <v>45243</v>
      </c>
      <c r="C1506" s="1" t="n">
        <v>46050</v>
      </c>
      <c r="D1506" t="inlineStr">
        <is>
          <t>STOCKHOLMS LÄN</t>
        </is>
      </c>
      <c r="E1506" t="inlineStr">
        <is>
          <t>SÖDERTÄLJE</t>
        </is>
      </c>
      <c r="G1506" t="n">
        <v>11.4</v>
      </c>
      <c r="H1506" t="n">
        <v>0</v>
      </c>
      <c r="I1506" t="n">
        <v>0</v>
      </c>
      <c r="J1506" t="n">
        <v>0</v>
      </c>
      <c r="K1506" t="n">
        <v>0</v>
      </c>
      <c r="L1506" t="n">
        <v>0</v>
      </c>
      <c r="M1506" t="n">
        <v>0</v>
      </c>
      <c r="N1506" t="n">
        <v>0</v>
      </c>
      <c r="O1506" t="n">
        <v>0</v>
      </c>
      <c r="P1506" t="n">
        <v>0</v>
      </c>
      <c r="Q1506" t="n">
        <v>0</v>
      </c>
      <c r="R1506" s="2" t="inlineStr"/>
    </row>
    <row r="1507" ht="15" customHeight="1">
      <c r="A1507" t="inlineStr">
        <is>
          <t>A 52734-2025</t>
        </is>
      </c>
      <c r="B1507" s="1" t="n">
        <v>45957.3710300926</v>
      </c>
      <c r="C1507" s="1" t="n">
        <v>46050</v>
      </c>
      <c r="D1507" t="inlineStr">
        <is>
          <t>STOCKHOLMS LÄN</t>
        </is>
      </c>
      <c r="E1507" t="inlineStr">
        <is>
          <t>NORRTÄLJE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57602-2024</t>
        </is>
      </c>
      <c r="B1508" s="1" t="n">
        <v>45630.52866898148</v>
      </c>
      <c r="C1508" s="1" t="n">
        <v>46050</v>
      </c>
      <c r="D1508" t="inlineStr">
        <is>
          <t>STOCKHOLMS LÄN</t>
        </is>
      </c>
      <c r="E1508" t="inlineStr">
        <is>
          <t>NORRTÄLJE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3686-2022</t>
        </is>
      </c>
      <c r="B1509" s="1" t="n">
        <v>44586.57239583333</v>
      </c>
      <c r="C1509" s="1" t="n">
        <v>46050</v>
      </c>
      <c r="D1509" t="inlineStr">
        <is>
          <t>STOCKHOLMS LÄN</t>
        </is>
      </c>
      <c r="E1509" t="inlineStr">
        <is>
          <t>BOTKYRKA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64600-2021</t>
        </is>
      </c>
      <c r="B1510" s="1" t="n">
        <v>44511.70518518519</v>
      </c>
      <c r="C1510" s="1" t="n">
        <v>46050</v>
      </c>
      <c r="D1510" t="inlineStr">
        <is>
          <t>STOCKHOLMS LÄN</t>
        </is>
      </c>
      <c r="E1510" t="inlineStr">
        <is>
          <t>NORRTÄLJE</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50602-2021</t>
        </is>
      </c>
      <c r="B1511" s="1" t="n">
        <v>44459</v>
      </c>
      <c r="C1511" s="1" t="n">
        <v>46050</v>
      </c>
      <c r="D1511" t="inlineStr">
        <is>
          <t>STOCKHOLMS LÄN</t>
        </is>
      </c>
      <c r="E1511" t="inlineStr">
        <is>
          <t>NORRTÄLJE</t>
        </is>
      </c>
      <c r="F1511" t="inlineStr">
        <is>
          <t>Holmen skog AB</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26365-2024</t>
        </is>
      </c>
      <c r="B1512" s="1" t="n">
        <v>45469</v>
      </c>
      <c r="C1512" s="1" t="n">
        <v>46050</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52776-2025</t>
        </is>
      </c>
      <c r="B1513" s="1" t="n">
        <v>45957.41724537037</v>
      </c>
      <c r="C1513" s="1" t="n">
        <v>46050</v>
      </c>
      <c r="D1513" t="inlineStr">
        <is>
          <t>STOCKHOLMS LÄN</t>
        </is>
      </c>
      <c r="E1513" t="inlineStr">
        <is>
          <t>NORRTÄLJE</t>
        </is>
      </c>
      <c r="F1513" t="inlineStr">
        <is>
          <t>Sveaskog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21560-2021</t>
        </is>
      </c>
      <c r="B1514" s="1" t="n">
        <v>44321</v>
      </c>
      <c r="C1514" s="1" t="n">
        <v>46050</v>
      </c>
      <c r="D1514" t="inlineStr">
        <is>
          <t>STOCKHOLMS LÄN</t>
        </is>
      </c>
      <c r="E1514" t="inlineStr">
        <is>
          <t>UPPLANDS-BRO</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52529-2025</t>
        </is>
      </c>
      <c r="B1515" s="1" t="n">
        <v>45954.53229166667</v>
      </c>
      <c r="C1515" s="1" t="n">
        <v>46050</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52704-2025</t>
        </is>
      </c>
      <c r="B1516" s="1" t="n">
        <v>45956.89097222222</v>
      </c>
      <c r="C1516" s="1" t="n">
        <v>46050</v>
      </c>
      <c r="D1516" t="inlineStr">
        <is>
          <t>STOCKHOLMS LÄN</t>
        </is>
      </c>
      <c r="E1516" t="inlineStr">
        <is>
          <t>NORRTÄLJE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52553-2025</t>
        </is>
      </c>
      <c r="B1517" s="1" t="n">
        <v>45954.5624537037</v>
      </c>
      <c r="C1517" s="1" t="n">
        <v>46050</v>
      </c>
      <c r="D1517" t="inlineStr">
        <is>
          <t>STOCKHOLMS LÄN</t>
        </is>
      </c>
      <c r="E1517" t="inlineStr">
        <is>
          <t>NORRTÄLJE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31375-2024</t>
        </is>
      </c>
      <c r="B1518" s="1" t="n">
        <v>45505</v>
      </c>
      <c r="C1518" s="1" t="n">
        <v>46050</v>
      </c>
      <c r="D1518" t="inlineStr">
        <is>
          <t>STOCKHOLMS LÄN</t>
        </is>
      </c>
      <c r="E1518" t="inlineStr">
        <is>
          <t>SÖDERTÄLJE</t>
        </is>
      </c>
      <c r="F1518" t="inlineStr">
        <is>
          <t>Kommuner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5910-2022</t>
        </is>
      </c>
      <c r="B1519" s="1" t="n">
        <v>44597</v>
      </c>
      <c r="C1519" s="1" t="n">
        <v>46050</v>
      </c>
      <c r="D1519" t="inlineStr">
        <is>
          <t>STOCKHOLMS LÄN</t>
        </is>
      </c>
      <c r="E1519" t="inlineStr">
        <is>
          <t>VALLENTUNA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11718-2021</t>
        </is>
      </c>
      <c r="B1520" s="1" t="n">
        <v>44265</v>
      </c>
      <c r="C1520" s="1" t="n">
        <v>46050</v>
      </c>
      <c r="D1520" t="inlineStr">
        <is>
          <t>STOCKHOLMS LÄN</t>
        </is>
      </c>
      <c r="E1520" t="inlineStr">
        <is>
          <t>SIGTUNA</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26640-2023</t>
        </is>
      </c>
      <c r="B1521" s="1" t="n">
        <v>45092</v>
      </c>
      <c r="C1521" s="1" t="n">
        <v>46050</v>
      </c>
      <c r="D1521" t="inlineStr">
        <is>
          <t>STOCKHOLMS LÄN</t>
        </is>
      </c>
      <c r="E1521" t="inlineStr">
        <is>
          <t>NORRTÄLJE</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31827-2023</t>
        </is>
      </c>
      <c r="B1522" s="1" t="n">
        <v>45118</v>
      </c>
      <c r="C1522" s="1" t="n">
        <v>46050</v>
      </c>
      <c r="D1522" t="inlineStr">
        <is>
          <t>STOCKHOLMS LÄN</t>
        </is>
      </c>
      <c r="E1522" t="inlineStr">
        <is>
          <t>NORRTÄLJE</t>
        </is>
      </c>
      <c r="F1522" t="inlineStr">
        <is>
          <t>Kyrkan</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58993-2022</t>
        </is>
      </c>
      <c r="B1523" s="1" t="n">
        <v>44903</v>
      </c>
      <c r="C1523" s="1" t="n">
        <v>46050</v>
      </c>
      <c r="D1523" t="inlineStr">
        <is>
          <t>STOCKHOLMS LÄN</t>
        </is>
      </c>
      <c r="E1523" t="inlineStr">
        <is>
          <t>NORRTÄLJE</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28900-2022</t>
        </is>
      </c>
      <c r="B1524" s="1" t="n">
        <v>44749.55258101852</v>
      </c>
      <c r="C1524" s="1" t="n">
        <v>46050</v>
      </c>
      <c r="D1524" t="inlineStr">
        <is>
          <t>STOCKHOLMS LÄN</t>
        </is>
      </c>
      <c r="E1524" t="inlineStr">
        <is>
          <t>NORRTÄLJE</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17574-2025</t>
        </is>
      </c>
      <c r="B1525" s="1" t="n">
        <v>45757.65178240741</v>
      </c>
      <c r="C1525" s="1" t="n">
        <v>46050</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53299-2025</t>
        </is>
      </c>
      <c r="B1526" s="1" t="n">
        <v>45959.31901620371</v>
      </c>
      <c r="C1526" s="1" t="n">
        <v>46050</v>
      </c>
      <c r="D1526" t="inlineStr">
        <is>
          <t>STOCKHOLMS LÄN</t>
        </is>
      </c>
      <c r="E1526" t="inlineStr">
        <is>
          <t>NORRTÄLJE</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17086-2025</t>
        </is>
      </c>
      <c r="B1527" s="1" t="n">
        <v>45754</v>
      </c>
      <c r="C1527" s="1" t="n">
        <v>46050</v>
      </c>
      <c r="D1527" t="inlineStr">
        <is>
          <t>STOCKHOLMS LÄN</t>
        </is>
      </c>
      <c r="E1527" t="inlineStr">
        <is>
          <t>VÄRMDÖ</t>
        </is>
      </c>
      <c r="F1527" t="inlineStr">
        <is>
          <t>Övriga statliga verk och myndigheter</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53087-2025</t>
        </is>
      </c>
      <c r="B1528" s="1" t="n">
        <v>45958.41065972222</v>
      </c>
      <c r="C1528" s="1" t="n">
        <v>46050</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20711-2021</t>
        </is>
      </c>
      <c r="B1529" s="1" t="n">
        <v>44316</v>
      </c>
      <c r="C1529" s="1" t="n">
        <v>46050</v>
      </c>
      <c r="D1529" t="inlineStr">
        <is>
          <t>STOCKHOLMS LÄN</t>
        </is>
      </c>
      <c r="E1529" t="inlineStr">
        <is>
          <t>NYKVARN</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53115-2025</t>
        </is>
      </c>
      <c r="B1530" s="1" t="n">
        <v>45958.44614583333</v>
      </c>
      <c r="C1530" s="1" t="n">
        <v>46050</v>
      </c>
      <c r="D1530" t="inlineStr">
        <is>
          <t>STOCKHOLMS LÄN</t>
        </is>
      </c>
      <c r="E1530" t="inlineStr">
        <is>
          <t>NORRTÄLJE</t>
        </is>
      </c>
      <c r="F1530" t="inlineStr">
        <is>
          <t>Kyrkan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50059-2021</t>
        </is>
      </c>
      <c r="B1531" s="1" t="n">
        <v>44455</v>
      </c>
      <c r="C1531" s="1" t="n">
        <v>46050</v>
      </c>
      <c r="D1531" t="inlineStr">
        <is>
          <t>STOCKHOLMS LÄN</t>
        </is>
      </c>
      <c r="E1531" t="inlineStr">
        <is>
          <t>SÖDERTÄLJE</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53629-2025</t>
        </is>
      </c>
      <c r="B1532" s="1" t="n">
        <v>45960.49570601852</v>
      </c>
      <c r="C1532" s="1" t="n">
        <v>46050</v>
      </c>
      <c r="D1532" t="inlineStr">
        <is>
          <t>STOCKHOLMS LÄN</t>
        </is>
      </c>
      <c r="E1532" t="inlineStr">
        <is>
          <t>NORRTÄLJE</t>
        </is>
      </c>
      <c r="F1532" t="inlineStr">
        <is>
          <t>Naturvårdsverket</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58297-2023</t>
        </is>
      </c>
      <c r="B1533" s="1" t="n">
        <v>45245</v>
      </c>
      <c r="C1533" s="1" t="n">
        <v>46050</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20304-2023</t>
        </is>
      </c>
      <c r="B1534" s="1" t="n">
        <v>45056</v>
      </c>
      <c r="C1534" s="1" t="n">
        <v>46050</v>
      </c>
      <c r="D1534" t="inlineStr">
        <is>
          <t>STOCKHOLMS LÄN</t>
        </is>
      </c>
      <c r="E1534" t="inlineStr">
        <is>
          <t>NORRTÄLJE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12299-2025</t>
        </is>
      </c>
      <c r="B1535" s="1" t="n">
        <v>45729.71065972222</v>
      </c>
      <c r="C1535" s="1" t="n">
        <v>46050</v>
      </c>
      <c r="D1535" t="inlineStr">
        <is>
          <t>STOCKHOLMS LÄN</t>
        </is>
      </c>
      <c r="E1535" t="inlineStr">
        <is>
          <t>NORRTÄLJE</t>
        </is>
      </c>
      <c r="F1535" t="inlineStr">
        <is>
          <t>Holmen skog AB</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22157-2023</t>
        </is>
      </c>
      <c r="B1536" s="1" t="n">
        <v>45069</v>
      </c>
      <c r="C1536" s="1" t="n">
        <v>46050</v>
      </c>
      <c r="D1536" t="inlineStr">
        <is>
          <t>STOCKHOLMS LÄN</t>
        </is>
      </c>
      <c r="E1536" t="inlineStr">
        <is>
          <t>NORRTÄLJE</t>
        </is>
      </c>
      <c r="G1536" t="n">
        <v>0.6</v>
      </c>
      <c r="H1536" t="n">
        <v>0</v>
      </c>
      <c r="I1536" t="n">
        <v>0</v>
      </c>
      <c r="J1536" t="n">
        <v>0</v>
      </c>
      <c r="K1536" t="n">
        <v>0</v>
      </c>
      <c r="L1536" t="n">
        <v>0</v>
      </c>
      <c r="M1536" t="n">
        <v>0</v>
      </c>
      <c r="N1536" t="n">
        <v>0</v>
      </c>
      <c r="O1536" t="n">
        <v>0</v>
      </c>
      <c r="P1536" t="n">
        <v>0</v>
      </c>
      <c r="Q1536" t="n">
        <v>0</v>
      </c>
      <c r="R1536" s="2" t="inlineStr"/>
      <c r="U1536">
        <f>HYPERLINK("https://klasma.github.io/Logging_0188/knärot/A 22157-2023 karta knärot.png", "A 22157-2023")</f>
        <v/>
      </c>
      <c r="V1536">
        <f>HYPERLINK("https://klasma.github.io/Logging_0188/klagomål/A 22157-2023 FSC-klagomål.docx", "A 22157-2023")</f>
        <v/>
      </c>
      <c r="W1536">
        <f>HYPERLINK("https://klasma.github.io/Logging_0188/klagomålsmail/A 22157-2023 FSC-klagomål mail.docx", "A 22157-2023")</f>
        <v/>
      </c>
      <c r="X1536">
        <f>HYPERLINK("https://klasma.github.io/Logging_0188/tillsyn/A 22157-2023 tillsynsbegäran.docx", "A 22157-2023")</f>
        <v/>
      </c>
      <c r="Y1536">
        <f>HYPERLINK("https://klasma.github.io/Logging_0188/tillsynsmail/A 22157-2023 tillsynsbegäran mail.docx", "A 22157-2023")</f>
        <v/>
      </c>
    </row>
    <row r="1537" ht="15" customHeight="1">
      <c r="A1537" t="inlineStr">
        <is>
          <t>A 24994-2021</t>
        </is>
      </c>
      <c r="B1537" s="1" t="n">
        <v>44341</v>
      </c>
      <c r="C1537" s="1" t="n">
        <v>46050</v>
      </c>
      <c r="D1537" t="inlineStr">
        <is>
          <t>STOCKHOLMS LÄN</t>
        </is>
      </c>
      <c r="E1537" t="inlineStr">
        <is>
          <t>VALLENTUNA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11929-2024</t>
        </is>
      </c>
      <c r="B1538" s="1" t="n">
        <v>45376.64532407407</v>
      </c>
      <c r="C1538" s="1" t="n">
        <v>46050</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33958-2023</t>
        </is>
      </c>
      <c r="B1539" s="1" t="n">
        <v>45124</v>
      </c>
      <c r="C1539" s="1" t="n">
        <v>46050</v>
      </c>
      <c r="D1539" t="inlineStr">
        <is>
          <t>STOCKHOLMS LÄN</t>
        </is>
      </c>
      <c r="E1539" t="inlineStr">
        <is>
          <t>VÄRMDÖ</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31120-2023</t>
        </is>
      </c>
      <c r="B1540" s="1" t="n">
        <v>45113</v>
      </c>
      <c r="C1540" s="1" t="n">
        <v>46050</v>
      </c>
      <c r="D1540" t="inlineStr">
        <is>
          <t>STOCKHOLMS LÄN</t>
        </is>
      </c>
      <c r="E1540" t="inlineStr">
        <is>
          <t>UPPLANDS VÄSBY</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6775-2022</t>
        </is>
      </c>
      <c r="B1541" s="1" t="n">
        <v>44602.52413194445</v>
      </c>
      <c r="C1541" s="1" t="n">
        <v>46050</v>
      </c>
      <c r="D1541" t="inlineStr">
        <is>
          <t>STOCKHOLMS LÄN</t>
        </is>
      </c>
      <c r="E1541" t="inlineStr">
        <is>
          <t>NYNÄSHAMN</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27868-2025</t>
        </is>
      </c>
      <c r="B1542" s="1" t="n">
        <v>45817</v>
      </c>
      <c r="C1542" s="1" t="n">
        <v>46050</v>
      </c>
      <c r="D1542" t="inlineStr">
        <is>
          <t>STOCKHOLMS LÄN</t>
        </is>
      </c>
      <c r="E1542" t="inlineStr">
        <is>
          <t>VALLENTUNA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53747-2025</t>
        </is>
      </c>
      <c r="B1543" s="1" t="n">
        <v>45960.65415509259</v>
      </c>
      <c r="C1543" s="1" t="n">
        <v>46050</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8296-2023</t>
        </is>
      </c>
      <c r="B1544" s="1" t="n">
        <v>44974</v>
      </c>
      <c r="C1544" s="1" t="n">
        <v>46050</v>
      </c>
      <c r="D1544" t="inlineStr">
        <is>
          <t>STOCKHOLMS LÄN</t>
        </is>
      </c>
      <c r="E1544" t="inlineStr">
        <is>
          <t>NORRTÄLJE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24575-2024</t>
        </is>
      </c>
      <c r="B1545" s="1" t="n">
        <v>45460.45523148148</v>
      </c>
      <c r="C1545" s="1" t="n">
        <v>46050</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64899-2023</t>
        </is>
      </c>
      <c r="B1546" s="1" t="n">
        <v>45282</v>
      </c>
      <c r="C1546" s="1" t="n">
        <v>46050</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52593-2024</t>
        </is>
      </c>
      <c r="B1547" s="1" t="n">
        <v>45609.70778935185</v>
      </c>
      <c r="C1547" s="1" t="n">
        <v>46050</v>
      </c>
      <c r="D1547" t="inlineStr">
        <is>
          <t>STOCKHOLMS LÄN</t>
        </is>
      </c>
      <c r="E1547" t="inlineStr">
        <is>
          <t>NORRTÄLJE</t>
        </is>
      </c>
      <c r="F1547" t="inlineStr">
        <is>
          <t>Holmen skog AB</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52617-2024</t>
        </is>
      </c>
      <c r="B1548" s="1" t="n">
        <v>45609.85146990741</v>
      </c>
      <c r="C1548" s="1" t="n">
        <v>46050</v>
      </c>
      <c r="D1548" t="inlineStr">
        <is>
          <t>STOCKHOLMS LÄN</t>
        </is>
      </c>
      <c r="E1548" t="inlineStr">
        <is>
          <t>NORRTÄLJE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54460-2025</t>
        </is>
      </c>
      <c r="B1549" s="1" t="n">
        <v>45965.56219907408</v>
      </c>
      <c r="C1549" s="1" t="n">
        <v>46050</v>
      </c>
      <c r="D1549" t="inlineStr">
        <is>
          <t>STOCKHOLMS LÄN</t>
        </is>
      </c>
      <c r="E1549" t="inlineStr">
        <is>
          <t>VALLENTUNA</t>
        </is>
      </c>
      <c r="G1549" t="n">
        <v>22.9</v>
      </c>
      <c r="H1549" t="n">
        <v>0</v>
      </c>
      <c r="I1549" t="n">
        <v>0</v>
      </c>
      <c r="J1549" t="n">
        <v>0</v>
      </c>
      <c r="K1549" t="n">
        <v>0</v>
      </c>
      <c r="L1549" t="n">
        <v>0</v>
      </c>
      <c r="M1549" t="n">
        <v>0</v>
      </c>
      <c r="N1549" t="n">
        <v>0</v>
      </c>
      <c r="O1549" t="n">
        <v>0</v>
      </c>
      <c r="P1549" t="n">
        <v>0</v>
      </c>
      <c r="Q1549" t="n">
        <v>0</v>
      </c>
      <c r="R1549" s="2" t="inlineStr"/>
    </row>
    <row r="1550" ht="15" customHeight="1">
      <c r="A1550" t="inlineStr">
        <is>
          <t>A 22816-2021</t>
        </is>
      </c>
      <c r="B1550" s="1" t="n">
        <v>44325</v>
      </c>
      <c r="C1550" s="1" t="n">
        <v>46050</v>
      </c>
      <c r="D1550" t="inlineStr">
        <is>
          <t>STOCKHOLMS LÄN</t>
        </is>
      </c>
      <c r="E1550" t="inlineStr">
        <is>
          <t>NORRTÄLJE</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59904-2023</t>
        </is>
      </c>
      <c r="B1551" s="1" t="n">
        <v>45257</v>
      </c>
      <c r="C1551" s="1" t="n">
        <v>46050</v>
      </c>
      <c r="D1551" t="inlineStr">
        <is>
          <t>STOCKHOLMS LÄN</t>
        </is>
      </c>
      <c r="E1551" t="inlineStr">
        <is>
          <t>NORRTÄLJE</t>
        </is>
      </c>
      <c r="G1551" t="n">
        <v>17.4</v>
      </c>
      <c r="H1551" t="n">
        <v>0</v>
      </c>
      <c r="I1551" t="n">
        <v>0</v>
      </c>
      <c r="J1551" t="n">
        <v>0</v>
      </c>
      <c r="K1551" t="n">
        <v>0</v>
      </c>
      <c r="L1551" t="n">
        <v>0</v>
      </c>
      <c r="M1551" t="n">
        <v>0</v>
      </c>
      <c r="N1551" t="n">
        <v>0</v>
      </c>
      <c r="O1551" t="n">
        <v>0</v>
      </c>
      <c r="P1551" t="n">
        <v>0</v>
      </c>
      <c r="Q1551" t="n">
        <v>0</v>
      </c>
      <c r="R1551" s="2" t="inlineStr"/>
    </row>
    <row r="1552" ht="15" customHeight="1">
      <c r="A1552" t="inlineStr">
        <is>
          <t>A 9914-2023</t>
        </is>
      </c>
      <c r="B1552" s="1" t="n">
        <v>44985</v>
      </c>
      <c r="C1552" s="1" t="n">
        <v>46050</v>
      </c>
      <c r="D1552" t="inlineStr">
        <is>
          <t>STOCKHOLMS LÄN</t>
        </is>
      </c>
      <c r="E1552" t="inlineStr">
        <is>
          <t>NORRTÄLJE</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15260-2023</t>
        </is>
      </c>
      <c r="B1553" s="1" t="n">
        <v>45019</v>
      </c>
      <c r="C1553" s="1" t="n">
        <v>46050</v>
      </c>
      <c r="D1553" t="inlineStr">
        <is>
          <t>STOCKHOLMS LÄN</t>
        </is>
      </c>
      <c r="E1553" t="inlineStr">
        <is>
          <t>NACKA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54466-2025</t>
        </is>
      </c>
      <c r="B1554" s="1" t="n">
        <v>45965.56984953704</v>
      </c>
      <c r="C1554" s="1" t="n">
        <v>46050</v>
      </c>
      <c r="D1554" t="inlineStr">
        <is>
          <t>STOCKHOLMS LÄN</t>
        </is>
      </c>
      <c r="E1554" t="inlineStr">
        <is>
          <t>VALLENTUNA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17990-2024</t>
        </is>
      </c>
      <c r="B1555" s="1" t="n">
        <v>45419</v>
      </c>
      <c r="C1555" s="1" t="n">
        <v>46050</v>
      </c>
      <c r="D1555" t="inlineStr">
        <is>
          <t>STOCKHOLMS LÄN</t>
        </is>
      </c>
      <c r="E1555" t="inlineStr">
        <is>
          <t>NYNÄSHAMN</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11062-2024</t>
        </is>
      </c>
      <c r="B1556" s="1" t="n">
        <v>45370</v>
      </c>
      <c r="C1556" s="1" t="n">
        <v>46050</v>
      </c>
      <c r="D1556" t="inlineStr">
        <is>
          <t>STOCKHOLMS LÄN</t>
        </is>
      </c>
      <c r="E1556" t="inlineStr">
        <is>
          <t>NORRTÄLJE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54448-2025</t>
        </is>
      </c>
      <c r="B1557" s="1" t="n">
        <v>45965</v>
      </c>
      <c r="C1557" s="1" t="n">
        <v>46050</v>
      </c>
      <c r="D1557" t="inlineStr">
        <is>
          <t>STOCKHOLMS LÄN</t>
        </is>
      </c>
      <c r="E1557" t="inlineStr">
        <is>
          <t>SÖDERTÄLJE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54468-2025</t>
        </is>
      </c>
      <c r="B1558" s="1" t="n">
        <v>45965</v>
      </c>
      <c r="C1558" s="1" t="n">
        <v>46050</v>
      </c>
      <c r="D1558" t="inlineStr">
        <is>
          <t>STOCKHOLMS LÄN</t>
        </is>
      </c>
      <c r="E1558" t="inlineStr">
        <is>
          <t>BOTKYRKA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33569-2023</t>
        </is>
      </c>
      <c r="B1559" s="1" t="n">
        <v>45131.666875</v>
      </c>
      <c r="C1559" s="1" t="n">
        <v>46050</v>
      </c>
      <c r="D1559" t="inlineStr">
        <is>
          <t>STOCKHOLMS LÄN</t>
        </is>
      </c>
      <c r="E1559" t="inlineStr">
        <is>
          <t>NORRTÄLJE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15692-2023</t>
        </is>
      </c>
      <c r="B1560" s="1" t="n">
        <v>45020</v>
      </c>
      <c r="C1560" s="1" t="n">
        <v>46050</v>
      </c>
      <c r="D1560" t="inlineStr">
        <is>
          <t>STOCKHOLMS LÄN</t>
        </is>
      </c>
      <c r="E1560" t="inlineStr">
        <is>
          <t>BOTKYRKA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15905-2023</t>
        </is>
      </c>
      <c r="B1561" s="1" t="n">
        <v>45022</v>
      </c>
      <c r="C1561" s="1" t="n">
        <v>46050</v>
      </c>
      <c r="D1561" t="inlineStr">
        <is>
          <t>STOCKHOLMS LÄN</t>
        </is>
      </c>
      <c r="E1561" t="inlineStr">
        <is>
          <t>NORRTÄLJE</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60795-2023</t>
        </is>
      </c>
      <c r="B1562" s="1" t="n">
        <v>45260</v>
      </c>
      <c r="C1562" s="1" t="n">
        <v>46050</v>
      </c>
      <c r="D1562" t="inlineStr">
        <is>
          <t>STOCKHOLMS LÄN</t>
        </is>
      </c>
      <c r="E1562" t="inlineStr">
        <is>
          <t>VALLENTUNA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39394-2023</t>
        </is>
      </c>
      <c r="B1563" s="1" t="n">
        <v>45166</v>
      </c>
      <c r="C1563" s="1" t="n">
        <v>46050</v>
      </c>
      <c r="D1563" t="inlineStr">
        <is>
          <t>STOCKHOLMS LÄN</t>
        </is>
      </c>
      <c r="E1563" t="inlineStr">
        <is>
          <t>ÖSTERÅKER</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60997-2022</t>
        </is>
      </c>
      <c r="B1564" s="1" t="n">
        <v>44914.70746527778</v>
      </c>
      <c r="C1564" s="1" t="n">
        <v>46050</v>
      </c>
      <c r="D1564" t="inlineStr">
        <is>
          <t>STOCKHOLMS LÄN</t>
        </is>
      </c>
      <c r="E1564" t="inlineStr">
        <is>
          <t>VALLENTUNA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62708-2025</t>
        </is>
      </c>
      <c r="B1565" s="1" t="n">
        <v>46008.50986111111</v>
      </c>
      <c r="C1565" s="1" t="n">
        <v>46050</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17624-2024</t>
        </is>
      </c>
      <c r="B1566" s="1" t="n">
        <v>45417.84</v>
      </c>
      <c r="C1566" s="1" t="n">
        <v>46050</v>
      </c>
      <c r="D1566" t="inlineStr">
        <is>
          <t>STOCKHOLMS LÄN</t>
        </is>
      </c>
      <c r="E1566" t="inlineStr">
        <is>
          <t>VÄRMDÖ</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15956-2023</t>
        </is>
      </c>
      <c r="B1567" s="1" t="n">
        <v>45022.61003472222</v>
      </c>
      <c r="C1567" s="1" t="n">
        <v>46050</v>
      </c>
      <c r="D1567" t="inlineStr">
        <is>
          <t>STOCKHOLMS LÄN</t>
        </is>
      </c>
      <c r="E1567" t="inlineStr">
        <is>
          <t>NORRTÄLJE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62689-2025</t>
        </is>
      </c>
      <c r="B1568" s="1" t="n">
        <v>46008.47171296296</v>
      </c>
      <c r="C1568" s="1" t="n">
        <v>46050</v>
      </c>
      <c r="D1568" t="inlineStr">
        <is>
          <t>STOCKHOLMS LÄN</t>
        </is>
      </c>
      <c r="E1568" t="inlineStr">
        <is>
          <t>NORRTÄLJE</t>
        </is>
      </c>
      <c r="F1568" t="inlineStr">
        <is>
          <t>Kyrkan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62681-2025</t>
        </is>
      </c>
      <c r="B1569" s="1" t="n">
        <v>46008.45534722223</v>
      </c>
      <c r="C1569" s="1" t="n">
        <v>46050</v>
      </c>
      <c r="D1569" t="inlineStr">
        <is>
          <t>STOCKHOLMS LÄN</t>
        </is>
      </c>
      <c r="E1569" t="inlineStr">
        <is>
          <t>NORRTÄLJE</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64411-2023</t>
        </is>
      </c>
      <c r="B1570" s="1" t="n">
        <v>45280.63304398148</v>
      </c>
      <c r="C1570" s="1" t="n">
        <v>46050</v>
      </c>
      <c r="D1570" t="inlineStr">
        <is>
          <t>STOCKHOLMS LÄN</t>
        </is>
      </c>
      <c r="E1570" t="inlineStr">
        <is>
          <t>NYNÄSHAMN</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47626-2022</t>
        </is>
      </c>
      <c r="B1571" s="1" t="n">
        <v>44854</v>
      </c>
      <c r="C1571" s="1" t="n">
        <v>46050</v>
      </c>
      <c r="D1571" t="inlineStr">
        <is>
          <t>STOCKHOLMS LÄN</t>
        </is>
      </c>
      <c r="E1571" t="inlineStr">
        <is>
          <t>NORRTÄLJE</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62206-2022</t>
        </is>
      </c>
      <c r="B1572" s="1" t="n">
        <v>44922</v>
      </c>
      <c r="C1572" s="1" t="n">
        <v>46050</v>
      </c>
      <c r="D1572" t="inlineStr">
        <is>
          <t>STOCKHOLMS LÄN</t>
        </is>
      </c>
      <c r="E1572" t="inlineStr">
        <is>
          <t>NORRTÄLJE</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62922-2025</t>
        </is>
      </c>
      <c r="B1573" s="1" t="n">
        <v>46009.38064814815</v>
      </c>
      <c r="C1573" s="1" t="n">
        <v>46050</v>
      </c>
      <c r="D1573" t="inlineStr">
        <is>
          <t>STOCKHOLMS LÄN</t>
        </is>
      </c>
      <c r="E1573" t="inlineStr">
        <is>
          <t>NORRTÄLJE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31695-2022</t>
        </is>
      </c>
      <c r="B1574" s="1" t="n">
        <v>44776</v>
      </c>
      <c r="C1574" s="1" t="n">
        <v>46050</v>
      </c>
      <c r="D1574" t="inlineStr">
        <is>
          <t>STOCKHOLMS LÄN</t>
        </is>
      </c>
      <c r="E1574" t="inlineStr">
        <is>
          <t>SIGTUNA</t>
        </is>
      </c>
      <c r="F1574" t="inlineStr">
        <is>
          <t>Kommuner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20618-2022</t>
        </is>
      </c>
      <c r="B1575" s="1" t="n">
        <v>44700.50659722222</v>
      </c>
      <c r="C1575" s="1" t="n">
        <v>46050</v>
      </c>
      <c r="D1575" t="inlineStr">
        <is>
          <t>STOCKHOLMS LÄN</t>
        </is>
      </c>
      <c r="E1575" t="inlineStr">
        <is>
          <t>NORRTÄLJE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40168-2023</t>
        </is>
      </c>
      <c r="B1576" s="1" t="n">
        <v>45169.38591435185</v>
      </c>
      <c r="C1576" s="1" t="n">
        <v>46050</v>
      </c>
      <c r="D1576" t="inlineStr">
        <is>
          <t>STOCKHOLMS LÄN</t>
        </is>
      </c>
      <c r="E1576" t="inlineStr">
        <is>
          <t>NYKVARN</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40192-2023</t>
        </is>
      </c>
      <c r="B1577" s="1" t="n">
        <v>45169</v>
      </c>
      <c r="C1577" s="1" t="n">
        <v>46050</v>
      </c>
      <c r="D1577" t="inlineStr">
        <is>
          <t>STOCKHOLMS LÄN</t>
        </is>
      </c>
      <c r="E1577" t="inlineStr">
        <is>
          <t>NORRTÄLJE</t>
        </is>
      </c>
      <c r="F1577" t="inlineStr">
        <is>
          <t>Kyrkan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54907-2025</t>
        </is>
      </c>
      <c r="B1578" s="1" t="n">
        <v>45967.37137731481</v>
      </c>
      <c r="C1578" s="1" t="n">
        <v>46050</v>
      </c>
      <c r="D1578" t="inlineStr">
        <is>
          <t>STOCKHOLMS LÄN</t>
        </is>
      </c>
      <c r="E1578" t="inlineStr">
        <is>
          <t>NORRTÄLJE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17320-2023</t>
        </is>
      </c>
      <c r="B1579" s="1" t="n">
        <v>45035.54853009259</v>
      </c>
      <c r="C1579" s="1" t="n">
        <v>46050</v>
      </c>
      <c r="D1579" t="inlineStr">
        <is>
          <t>STOCKHOLMS LÄN</t>
        </is>
      </c>
      <c r="E1579" t="inlineStr">
        <is>
          <t>SIGTUNA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11900-2022</t>
        </is>
      </c>
      <c r="B1580" s="1" t="n">
        <v>44635</v>
      </c>
      <c r="C1580" s="1" t="n">
        <v>46050</v>
      </c>
      <c r="D1580" t="inlineStr">
        <is>
          <t>STOCKHOLMS LÄN</t>
        </is>
      </c>
      <c r="E1580" t="inlineStr">
        <is>
          <t>NORRTÄLJE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10973-2025</t>
        </is>
      </c>
      <c r="B1581" s="1" t="n">
        <v>45723</v>
      </c>
      <c r="C1581" s="1" t="n">
        <v>46050</v>
      </c>
      <c r="D1581" t="inlineStr">
        <is>
          <t>STOCKHOLMS LÄN</t>
        </is>
      </c>
      <c r="E1581" t="inlineStr">
        <is>
          <t>NORRTÄLJE</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27885-2022</t>
        </is>
      </c>
      <c r="B1582" s="1" t="n">
        <v>44743.67418981482</v>
      </c>
      <c r="C1582" s="1" t="n">
        <v>46050</v>
      </c>
      <c r="D1582" t="inlineStr">
        <is>
          <t>STOCKHOLMS LÄN</t>
        </is>
      </c>
      <c r="E1582" t="inlineStr">
        <is>
          <t>NORRTÄLJE</t>
        </is>
      </c>
      <c r="F1582" t="inlineStr">
        <is>
          <t>Holmen skog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41681-2023</t>
        </is>
      </c>
      <c r="B1583" s="1" t="n">
        <v>45173</v>
      </c>
      <c r="C1583" s="1" t="n">
        <v>46050</v>
      </c>
      <c r="D1583" t="inlineStr">
        <is>
          <t>STOCKHOLMS LÄN</t>
        </is>
      </c>
      <c r="E1583" t="inlineStr">
        <is>
          <t>NYKVARN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55503-2025</t>
        </is>
      </c>
      <c r="B1584" s="1" t="n">
        <v>45971</v>
      </c>
      <c r="C1584" s="1" t="n">
        <v>46050</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16803-2022</t>
        </is>
      </c>
      <c r="B1585" s="1" t="n">
        <v>44673</v>
      </c>
      <c r="C1585" s="1" t="n">
        <v>46050</v>
      </c>
      <c r="D1585" t="inlineStr">
        <is>
          <t>STOCKHOLMS LÄN</t>
        </is>
      </c>
      <c r="E1585" t="inlineStr">
        <is>
          <t>ÖSTERÅKER</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954-2023</t>
        </is>
      </c>
      <c r="B1586" s="1" t="n">
        <v>44934.7921875</v>
      </c>
      <c r="C1586" s="1" t="n">
        <v>46050</v>
      </c>
      <c r="D1586" t="inlineStr">
        <is>
          <t>STOCKHOLMS LÄN</t>
        </is>
      </c>
      <c r="E1586" t="inlineStr">
        <is>
          <t>SÖDERTÄLJE</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35200-2023</t>
        </is>
      </c>
      <c r="B1587" s="1" t="n">
        <v>45145</v>
      </c>
      <c r="C1587" s="1" t="n">
        <v>46050</v>
      </c>
      <c r="D1587" t="inlineStr">
        <is>
          <t>STOCKHOLMS LÄN</t>
        </is>
      </c>
      <c r="E1587" t="inlineStr">
        <is>
          <t>SÖDERTÄLJE</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63378-2025</t>
        </is>
      </c>
      <c r="B1588" s="1" t="n">
        <v>46010.72528935185</v>
      </c>
      <c r="C1588" s="1" t="n">
        <v>46050</v>
      </c>
      <c r="D1588" t="inlineStr">
        <is>
          <t>STOCKHOLMS LÄN</t>
        </is>
      </c>
      <c r="E1588" t="inlineStr">
        <is>
          <t>EKERÖ</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60949-2025</t>
        </is>
      </c>
      <c r="B1589" s="1" t="n">
        <v>45996</v>
      </c>
      <c r="C1589" s="1" t="n">
        <v>46050</v>
      </c>
      <c r="D1589" t="inlineStr">
        <is>
          <t>STOCKHOLMS LÄN</t>
        </is>
      </c>
      <c r="E1589" t="inlineStr">
        <is>
          <t>SIGTUNA</t>
        </is>
      </c>
      <c r="G1589" t="n">
        <v>21.9</v>
      </c>
      <c r="H1589" t="n">
        <v>0</v>
      </c>
      <c r="I1589" t="n">
        <v>0</v>
      </c>
      <c r="J1589" t="n">
        <v>0</v>
      </c>
      <c r="K1589" t="n">
        <v>0</v>
      </c>
      <c r="L1589" t="n">
        <v>0</v>
      </c>
      <c r="M1589" t="n">
        <v>0</v>
      </c>
      <c r="N1589" t="n">
        <v>0</v>
      </c>
      <c r="O1589" t="n">
        <v>0</v>
      </c>
      <c r="P1589" t="n">
        <v>0</v>
      </c>
      <c r="Q1589" t="n">
        <v>0</v>
      </c>
      <c r="R1589" s="2" t="inlineStr"/>
    </row>
    <row r="1590" ht="15" customHeight="1">
      <c r="A1590" t="inlineStr">
        <is>
          <t>A 60969-2025</t>
        </is>
      </c>
      <c r="B1590" s="1" t="n">
        <v>45996</v>
      </c>
      <c r="C1590" s="1" t="n">
        <v>46050</v>
      </c>
      <c r="D1590" t="inlineStr">
        <is>
          <t>STOCKHOLMS LÄN</t>
        </is>
      </c>
      <c r="E1590" t="inlineStr">
        <is>
          <t>SIGTUNA</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55532-2025</t>
        </is>
      </c>
      <c r="B1591" s="1" t="n">
        <v>45971.62462962963</v>
      </c>
      <c r="C1591" s="1" t="n">
        <v>46050</v>
      </c>
      <c r="D1591" t="inlineStr">
        <is>
          <t>STOCKHOLMS LÄN</t>
        </is>
      </c>
      <c r="E1591" t="inlineStr">
        <is>
          <t>SÖDERTÄLJE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470-2022</t>
        </is>
      </c>
      <c r="B1592" s="1" t="n">
        <v>44565</v>
      </c>
      <c r="C1592" s="1" t="n">
        <v>46050</v>
      </c>
      <c r="D1592" t="inlineStr">
        <is>
          <t>STOCKHOLMS LÄN</t>
        </is>
      </c>
      <c r="E1592" t="inlineStr">
        <is>
          <t>ÖSTERÅKER</t>
        </is>
      </c>
      <c r="F1592" t="inlineStr">
        <is>
          <t>Övriga Aktiebolag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73151-2021</t>
        </is>
      </c>
      <c r="B1593" s="1" t="n">
        <v>44550.5162037037</v>
      </c>
      <c r="C1593" s="1" t="n">
        <v>46050</v>
      </c>
      <c r="D1593" t="inlineStr">
        <is>
          <t>STOCKHOLMS LÄN</t>
        </is>
      </c>
      <c r="E1593" t="inlineStr">
        <is>
          <t>BOTKYRKA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3341-2025</t>
        </is>
      </c>
      <c r="B1594" s="1" t="n">
        <v>45679</v>
      </c>
      <c r="C1594" s="1" t="n">
        <v>46050</v>
      </c>
      <c r="D1594" t="inlineStr">
        <is>
          <t>STOCKHOLMS LÄN</t>
        </is>
      </c>
      <c r="E1594" t="inlineStr">
        <is>
          <t>NYNÄSHAMN</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24363-2023</t>
        </is>
      </c>
      <c r="B1595" s="1" t="n">
        <v>45076</v>
      </c>
      <c r="C1595" s="1" t="n">
        <v>46050</v>
      </c>
      <c r="D1595" t="inlineStr">
        <is>
          <t>STOCKHOLMS LÄN</t>
        </is>
      </c>
      <c r="E1595" t="inlineStr">
        <is>
          <t>HUDDINGE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55599-2025</t>
        </is>
      </c>
      <c r="B1596" s="1" t="n">
        <v>45971.76810185185</v>
      </c>
      <c r="C1596" s="1" t="n">
        <v>46050</v>
      </c>
      <c r="D1596" t="inlineStr">
        <is>
          <t>STOCKHOLMS LÄN</t>
        </is>
      </c>
      <c r="E1596" t="inlineStr">
        <is>
          <t>NORRTÄLJE</t>
        </is>
      </c>
      <c r="F1596" t="inlineStr">
        <is>
          <t>Holmen skog AB</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56114-2025</t>
        </is>
      </c>
      <c r="B1597" s="1" t="n">
        <v>45973.74474537037</v>
      </c>
      <c r="C1597" s="1" t="n">
        <v>46050</v>
      </c>
      <c r="D1597" t="inlineStr">
        <is>
          <t>STOCKHOLMS LÄN</t>
        </is>
      </c>
      <c r="E1597" t="inlineStr">
        <is>
          <t>NORRTÄLJE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18528-2024</t>
        </is>
      </c>
      <c r="B1598" s="1" t="n">
        <v>45425.61965277778</v>
      </c>
      <c r="C1598" s="1" t="n">
        <v>46050</v>
      </c>
      <c r="D1598" t="inlineStr">
        <is>
          <t>STOCKHOLMS LÄN</t>
        </is>
      </c>
      <c r="E1598" t="inlineStr">
        <is>
          <t>HANINGE</t>
        </is>
      </c>
      <c r="F1598" t="inlineStr">
        <is>
          <t>Kommuner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60224-2023</t>
        </is>
      </c>
      <c r="B1599" s="1" t="n">
        <v>45257</v>
      </c>
      <c r="C1599" s="1" t="n">
        <v>46050</v>
      </c>
      <c r="D1599" t="inlineStr">
        <is>
          <t>STOCKHOLMS LÄN</t>
        </is>
      </c>
      <c r="E1599" t="inlineStr">
        <is>
          <t>NORRTÄLJE</t>
        </is>
      </c>
      <c r="G1599" t="n">
        <v>8.1</v>
      </c>
      <c r="H1599" t="n">
        <v>0</v>
      </c>
      <c r="I1599" t="n">
        <v>0</v>
      </c>
      <c r="J1599" t="n">
        <v>0</v>
      </c>
      <c r="K1599" t="n">
        <v>0</v>
      </c>
      <c r="L1599" t="n">
        <v>0</v>
      </c>
      <c r="M1599" t="n">
        <v>0</v>
      </c>
      <c r="N1599" t="n">
        <v>0</v>
      </c>
      <c r="O1599" t="n">
        <v>0</v>
      </c>
      <c r="P1599" t="n">
        <v>0</v>
      </c>
      <c r="Q1599" t="n">
        <v>0</v>
      </c>
      <c r="R1599" s="2" t="inlineStr"/>
    </row>
    <row r="1600" ht="15" customHeight="1">
      <c r="A1600" t="inlineStr">
        <is>
          <t>A 5142-2024</t>
        </is>
      </c>
      <c r="B1600" s="1" t="n">
        <v>45330</v>
      </c>
      <c r="C1600" s="1" t="n">
        <v>46050</v>
      </c>
      <c r="D1600" t="inlineStr">
        <is>
          <t>STOCKHOLMS LÄN</t>
        </is>
      </c>
      <c r="E1600" t="inlineStr">
        <is>
          <t>SIGTUNA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5158-2024</t>
        </is>
      </c>
      <c r="B1601" s="1" t="n">
        <v>45330.50098379629</v>
      </c>
      <c r="C1601" s="1" t="n">
        <v>46050</v>
      </c>
      <c r="D1601" t="inlineStr">
        <is>
          <t>STOCKHOLMS LÄN</t>
        </is>
      </c>
      <c r="E1601" t="inlineStr">
        <is>
          <t>NORRTÄLJE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20957-2023</t>
        </is>
      </c>
      <c r="B1602" s="1" t="n">
        <v>45061</v>
      </c>
      <c r="C1602" s="1" t="n">
        <v>46050</v>
      </c>
      <c r="D1602" t="inlineStr">
        <is>
          <t>STOCKHOLMS LÄN</t>
        </is>
      </c>
      <c r="E1602" t="inlineStr">
        <is>
          <t>SIGTUNA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14775-2024</t>
        </is>
      </c>
      <c r="B1603" s="1" t="n">
        <v>45397.73675925926</v>
      </c>
      <c r="C1603" s="1" t="n">
        <v>46050</v>
      </c>
      <c r="D1603" t="inlineStr">
        <is>
          <t>STOCKHOLMS LÄN</t>
        </is>
      </c>
      <c r="E1603" t="inlineStr">
        <is>
          <t>VALLENTUNA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9130-2025</t>
        </is>
      </c>
      <c r="B1604" s="1" t="n">
        <v>45713.92623842593</v>
      </c>
      <c r="C1604" s="1" t="n">
        <v>46050</v>
      </c>
      <c r="D1604" t="inlineStr">
        <is>
          <t>STOCKHOLMS LÄN</t>
        </is>
      </c>
      <c r="E1604" t="inlineStr">
        <is>
          <t>NORRTÄLJE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17551-2025</t>
        </is>
      </c>
      <c r="B1605" s="1" t="n">
        <v>45757.61421296297</v>
      </c>
      <c r="C1605" s="1" t="n">
        <v>46050</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56210-2025</t>
        </is>
      </c>
      <c r="B1606" s="1" t="n">
        <v>45974.47630787037</v>
      </c>
      <c r="C1606" s="1" t="n">
        <v>46050</v>
      </c>
      <c r="D1606" t="inlineStr">
        <is>
          <t>STOCKHOLMS LÄN</t>
        </is>
      </c>
      <c r="E1606" t="inlineStr">
        <is>
          <t>NYNÄSHAMN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39082-2021</t>
        </is>
      </c>
      <c r="B1607" s="1" t="n">
        <v>44412</v>
      </c>
      <c r="C1607" s="1" t="n">
        <v>46050</v>
      </c>
      <c r="D1607" t="inlineStr">
        <is>
          <t>STOCKHOLMS LÄN</t>
        </is>
      </c>
      <c r="E1607" t="inlineStr">
        <is>
          <t>VÄRMDÖ</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1703-2023</t>
        </is>
      </c>
      <c r="B1608" s="1" t="n">
        <v>44938.44412037037</v>
      </c>
      <c r="C1608" s="1" t="n">
        <v>46050</v>
      </c>
      <c r="D1608" t="inlineStr">
        <is>
          <t>STOCKHOLMS LÄN</t>
        </is>
      </c>
      <c r="E1608" t="inlineStr">
        <is>
          <t>HANINGE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56385-2025</t>
        </is>
      </c>
      <c r="B1609" s="1" t="n">
        <v>45974.71993055556</v>
      </c>
      <c r="C1609" s="1" t="n">
        <v>46050</v>
      </c>
      <c r="D1609" t="inlineStr">
        <is>
          <t>STOCKHOLMS LÄN</t>
        </is>
      </c>
      <c r="E1609" t="inlineStr">
        <is>
          <t>NYNÄSHAMN</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55010-2024</t>
        </is>
      </c>
      <c r="B1610" s="1" t="n">
        <v>45621.34425925926</v>
      </c>
      <c r="C1610" s="1" t="n">
        <v>46050</v>
      </c>
      <c r="D1610" t="inlineStr">
        <is>
          <t>STOCKHOLMS LÄN</t>
        </is>
      </c>
      <c r="E1610" t="inlineStr">
        <is>
          <t>NORRTÄLJE</t>
        </is>
      </c>
      <c r="F1610" t="inlineStr">
        <is>
          <t>Sveaskog</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8673-2025</t>
        </is>
      </c>
      <c r="B1611" s="1" t="n">
        <v>45712.4272337963</v>
      </c>
      <c r="C1611" s="1" t="n">
        <v>46050</v>
      </c>
      <c r="D1611" t="inlineStr">
        <is>
          <t>STOCKHOLMS LÄN</t>
        </is>
      </c>
      <c r="E1611" t="inlineStr">
        <is>
          <t>SIGTUNA</t>
        </is>
      </c>
      <c r="F1611" t="inlineStr">
        <is>
          <t>Allmännings- och besparingsskogar</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31105-2022</t>
        </is>
      </c>
      <c r="B1612" s="1" t="n">
        <v>44769.66039351852</v>
      </c>
      <c r="C1612" s="1" t="n">
        <v>46050</v>
      </c>
      <c r="D1612" t="inlineStr">
        <is>
          <t>STOCKHOLMS LÄN</t>
        </is>
      </c>
      <c r="E1612" t="inlineStr">
        <is>
          <t>NORRTÄLJE</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8565-2025</t>
        </is>
      </c>
      <c r="B1613" s="1" t="n">
        <v>45709</v>
      </c>
      <c r="C1613" s="1" t="n">
        <v>46050</v>
      </c>
      <c r="D1613" t="inlineStr">
        <is>
          <t>STOCKHOLMS LÄN</t>
        </is>
      </c>
      <c r="E1613" t="inlineStr">
        <is>
          <t>VALLENTUNA</t>
        </is>
      </c>
      <c r="F1613" t="inlineStr">
        <is>
          <t>Kommuner</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64110-2023</t>
        </is>
      </c>
      <c r="B1614" s="1" t="n">
        <v>45279</v>
      </c>
      <c r="C1614" s="1" t="n">
        <v>46050</v>
      </c>
      <c r="D1614" t="inlineStr">
        <is>
          <t>STOCKHOLMS LÄN</t>
        </is>
      </c>
      <c r="E1614" t="inlineStr">
        <is>
          <t>UPPLANDS-BRO</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56207-2025</t>
        </is>
      </c>
      <c r="B1615" s="1" t="n">
        <v>45974.47329861111</v>
      </c>
      <c r="C1615" s="1" t="n">
        <v>46050</v>
      </c>
      <c r="D1615" t="inlineStr">
        <is>
          <t>STOCKHOLMS LÄN</t>
        </is>
      </c>
      <c r="E1615" t="inlineStr">
        <is>
          <t>NORRTÄLJE</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41677-2023</t>
        </is>
      </c>
      <c r="B1616" s="1" t="n">
        <v>45173</v>
      </c>
      <c r="C1616" s="1" t="n">
        <v>46050</v>
      </c>
      <c r="D1616" t="inlineStr">
        <is>
          <t>STOCKHOLMS LÄN</t>
        </is>
      </c>
      <c r="E1616" t="inlineStr">
        <is>
          <t>NYNÄSHAMN</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41680-2023</t>
        </is>
      </c>
      <c r="B1617" s="1" t="n">
        <v>45173</v>
      </c>
      <c r="C1617" s="1" t="n">
        <v>46050</v>
      </c>
      <c r="D1617" t="inlineStr">
        <is>
          <t>STOCKHOLMS LÄN</t>
        </is>
      </c>
      <c r="E1617" t="inlineStr">
        <is>
          <t>NYNÄSHAMN</t>
        </is>
      </c>
      <c r="G1617" t="n">
        <v>12.3</v>
      </c>
      <c r="H1617" t="n">
        <v>0</v>
      </c>
      <c r="I1617" t="n">
        <v>0</v>
      </c>
      <c r="J1617" t="n">
        <v>0</v>
      </c>
      <c r="K1617" t="n">
        <v>0</v>
      </c>
      <c r="L1617" t="n">
        <v>0</v>
      </c>
      <c r="M1617" t="n">
        <v>0</v>
      </c>
      <c r="N1617" t="n">
        <v>0</v>
      </c>
      <c r="O1617" t="n">
        <v>0</v>
      </c>
      <c r="P1617" t="n">
        <v>0</v>
      </c>
      <c r="Q1617" t="n">
        <v>0</v>
      </c>
      <c r="R1617" s="2" t="inlineStr"/>
    </row>
    <row r="1618" ht="15" customHeight="1">
      <c r="A1618" t="inlineStr">
        <is>
          <t>A 23098-2024</t>
        </is>
      </c>
      <c r="B1618" s="1" t="n">
        <v>45450</v>
      </c>
      <c r="C1618" s="1" t="n">
        <v>46050</v>
      </c>
      <c r="D1618" t="inlineStr">
        <is>
          <t>STOCKHOLMS LÄN</t>
        </is>
      </c>
      <c r="E1618" t="inlineStr">
        <is>
          <t>UPPLANDS-BRO</t>
        </is>
      </c>
      <c r="F1618" t="inlineStr">
        <is>
          <t>Övriga statliga verk och myndigheter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56948-2025</t>
        </is>
      </c>
      <c r="B1619" s="1" t="n">
        <v>45978.64356481482</v>
      </c>
      <c r="C1619" s="1" t="n">
        <v>46050</v>
      </c>
      <c r="D1619" t="inlineStr">
        <is>
          <t>STOCKHOLMS LÄN</t>
        </is>
      </c>
      <c r="E1619" t="inlineStr">
        <is>
          <t>UPPLANDS VÄSBY</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8787-2024</t>
        </is>
      </c>
      <c r="B1620" s="1" t="n">
        <v>45356</v>
      </c>
      <c r="C1620" s="1" t="n">
        <v>46050</v>
      </c>
      <c r="D1620" t="inlineStr">
        <is>
          <t>STOCKHOLMS LÄN</t>
        </is>
      </c>
      <c r="E1620" t="inlineStr">
        <is>
          <t>VALLENTUNA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24283-2022</t>
        </is>
      </c>
      <c r="B1621" s="1" t="n">
        <v>44725.79453703704</v>
      </c>
      <c r="C1621" s="1" t="n">
        <v>46050</v>
      </c>
      <c r="D1621" t="inlineStr">
        <is>
          <t>STOCKHOLMS LÄN</t>
        </is>
      </c>
      <c r="E1621" t="inlineStr">
        <is>
          <t>NYKVARN</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59165-2022</t>
        </is>
      </c>
      <c r="B1622" s="1" t="n">
        <v>44904.4783912037</v>
      </c>
      <c r="C1622" s="1" t="n">
        <v>46050</v>
      </c>
      <c r="D1622" t="inlineStr">
        <is>
          <t>STOCKHOLMS LÄN</t>
        </is>
      </c>
      <c r="E1622" t="inlineStr">
        <is>
          <t>SIGTUNA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30620-2022</t>
        </is>
      </c>
      <c r="B1623" s="1" t="n">
        <v>44763.40914351852</v>
      </c>
      <c r="C1623" s="1" t="n">
        <v>46050</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56917-2025</t>
        </is>
      </c>
      <c r="B1624" s="1" t="n">
        <v>45978.58453703704</v>
      </c>
      <c r="C1624" s="1" t="n">
        <v>46050</v>
      </c>
      <c r="D1624" t="inlineStr">
        <is>
          <t>STOCKHOLMS LÄN</t>
        </is>
      </c>
      <c r="E1624" t="inlineStr">
        <is>
          <t>UPPLANDS VÄSBY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50113-2024</t>
        </is>
      </c>
      <c r="B1625" s="1" t="n">
        <v>45600.411875</v>
      </c>
      <c r="C1625" s="1" t="n">
        <v>46050</v>
      </c>
      <c r="D1625" t="inlineStr">
        <is>
          <t>STOCKHOLMS LÄN</t>
        </is>
      </c>
      <c r="E1625" t="inlineStr">
        <is>
          <t>NORRTÄLJE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55724-2024</t>
        </is>
      </c>
      <c r="B1626" s="1" t="n">
        <v>45622.81020833334</v>
      </c>
      <c r="C1626" s="1" t="n">
        <v>46050</v>
      </c>
      <c r="D1626" t="inlineStr">
        <is>
          <t>STOCKHOLMS LÄN</t>
        </is>
      </c>
      <c r="E1626" t="inlineStr">
        <is>
          <t>EKERÖ</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28365-2022</t>
        </is>
      </c>
      <c r="B1627" s="1" t="n">
        <v>44747</v>
      </c>
      <c r="C1627" s="1" t="n">
        <v>46050</v>
      </c>
      <c r="D1627" t="inlineStr">
        <is>
          <t>STOCKHOLMS LÄN</t>
        </is>
      </c>
      <c r="E1627" t="inlineStr">
        <is>
          <t>NORRTÄLJE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42955-2022</t>
        </is>
      </c>
      <c r="B1628" s="1" t="n">
        <v>44833.40876157407</v>
      </c>
      <c r="C1628" s="1" t="n">
        <v>46050</v>
      </c>
      <c r="D1628" t="inlineStr">
        <is>
          <t>STOCKHOLMS LÄN</t>
        </is>
      </c>
      <c r="E1628" t="inlineStr">
        <is>
          <t>NORRTÄLJE</t>
        </is>
      </c>
      <c r="G1628" t="n">
        <v>13.1</v>
      </c>
      <c r="H1628" t="n">
        <v>0</v>
      </c>
      <c r="I1628" t="n">
        <v>0</v>
      </c>
      <c r="J1628" t="n">
        <v>0</v>
      </c>
      <c r="K1628" t="n">
        <v>0</v>
      </c>
      <c r="L1628" t="n">
        <v>0</v>
      </c>
      <c r="M1628" t="n">
        <v>0</v>
      </c>
      <c r="N1628" t="n">
        <v>0</v>
      </c>
      <c r="O1628" t="n">
        <v>0</v>
      </c>
      <c r="P1628" t="n">
        <v>0</v>
      </c>
      <c r="Q1628" t="n">
        <v>0</v>
      </c>
      <c r="R1628" s="2" t="inlineStr"/>
    </row>
    <row r="1629" ht="15" customHeight="1">
      <c r="A1629" t="inlineStr">
        <is>
          <t>A 64431-2023</t>
        </is>
      </c>
      <c r="B1629" s="1" t="n">
        <v>45280</v>
      </c>
      <c r="C1629" s="1" t="n">
        <v>46050</v>
      </c>
      <c r="D1629" t="inlineStr">
        <is>
          <t>STOCKHOLMS LÄN</t>
        </is>
      </c>
      <c r="E1629" t="inlineStr">
        <is>
          <t>UPPLANDS VÄSBY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28851-2022</t>
        </is>
      </c>
      <c r="B1630" s="1" t="n">
        <v>44749.47957175926</v>
      </c>
      <c r="C1630" s="1" t="n">
        <v>46050</v>
      </c>
      <c r="D1630" t="inlineStr">
        <is>
          <t>STOCKHOLMS LÄN</t>
        </is>
      </c>
      <c r="E1630" t="inlineStr">
        <is>
          <t>SIGTUNA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1283-2025</t>
        </is>
      </c>
      <c r="B1631" s="1" t="n">
        <v>45667.49878472222</v>
      </c>
      <c r="C1631" s="1" t="n">
        <v>46050</v>
      </c>
      <c r="D1631" t="inlineStr">
        <is>
          <t>STOCKHOLMS LÄN</t>
        </is>
      </c>
      <c r="E1631" t="inlineStr">
        <is>
          <t>NORRTÄLJE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49568-2024</t>
        </is>
      </c>
      <c r="B1632" s="1" t="n">
        <v>45596.49587962963</v>
      </c>
      <c r="C1632" s="1" t="n">
        <v>46050</v>
      </c>
      <c r="D1632" t="inlineStr">
        <is>
          <t>STOCKHOLMS LÄN</t>
        </is>
      </c>
      <c r="E1632" t="inlineStr">
        <is>
          <t>VÄRMDÖ</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9703-2021</t>
        </is>
      </c>
      <c r="B1633" s="1" t="n">
        <v>44252</v>
      </c>
      <c r="C1633" s="1" t="n">
        <v>46050</v>
      </c>
      <c r="D1633" t="inlineStr">
        <is>
          <t>STOCKHOLMS LÄN</t>
        </is>
      </c>
      <c r="E1633" t="inlineStr">
        <is>
          <t>NORRTÄLJE</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9120-2025</t>
        </is>
      </c>
      <c r="B1634" s="1" t="n">
        <v>45713.82875</v>
      </c>
      <c r="C1634" s="1" t="n">
        <v>46050</v>
      </c>
      <c r="D1634" t="inlineStr">
        <is>
          <t>STOCKHOLMS LÄN</t>
        </is>
      </c>
      <c r="E1634" t="inlineStr">
        <is>
          <t>SIGTUNA</t>
        </is>
      </c>
      <c r="F1634" t="inlineStr">
        <is>
          <t>Allmännings- och besparingsskogar</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57871-2025</t>
        </is>
      </c>
      <c r="B1635" s="1" t="n">
        <v>45981.6530787037</v>
      </c>
      <c r="C1635" s="1" t="n">
        <v>46050</v>
      </c>
      <c r="D1635" t="inlineStr">
        <is>
          <t>STOCKHOLMS LÄN</t>
        </is>
      </c>
      <c r="E1635" t="inlineStr">
        <is>
          <t>SIGTUNA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18490-2025</t>
        </is>
      </c>
      <c r="B1636" s="1" t="n">
        <v>45763</v>
      </c>
      <c r="C1636" s="1" t="n">
        <v>46050</v>
      </c>
      <c r="D1636" t="inlineStr">
        <is>
          <t>STOCKHOLMS LÄN</t>
        </is>
      </c>
      <c r="E1636" t="inlineStr">
        <is>
          <t>HANINGE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61937-2021</t>
        </is>
      </c>
      <c r="B1637" s="1" t="n">
        <v>44502</v>
      </c>
      <c r="C1637" s="1" t="n">
        <v>46050</v>
      </c>
      <c r="D1637" t="inlineStr">
        <is>
          <t>STOCKHOLMS LÄN</t>
        </is>
      </c>
      <c r="E1637" t="inlineStr">
        <is>
          <t>SIGTUNA</t>
        </is>
      </c>
      <c r="G1637" t="n">
        <v>14.7</v>
      </c>
      <c r="H1637" t="n">
        <v>0</v>
      </c>
      <c r="I1637" t="n">
        <v>0</v>
      </c>
      <c r="J1637" t="n">
        <v>0</v>
      </c>
      <c r="K1637" t="n">
        <v>0</v>
      </c>
      <c r="L1637" t="n">
        <v>0</v>
      </c>
      <c r="M1637" t="n">
        <v>0</v>
      </c>
      <c r="N1637" t="n">
        <v>0</v>
      </c>
      <c r="O1637" t="n">
        <v>0</v>
      </c>
      <c r="P1637" t="n">
        <v>0</v>
      </c>
      <c r="Q1637" t="n">
        <v>0</v>
      </c>
      <c r="R1637" s="2" t="inlineStr"/>
    </row>
    <row r="1638" ht="15" customHeight="1">
      <c r="A1638" t="inlineStr">
        <is>
          <t>A 57879-2025</t>
        </is>
      </c>
      <c r="B1638" s="1" t="n">
        <v>45981.66293981481</v>
      </c>
      <c r="C1638" s="1" t="n">
        <v>46050</v>
      </c>
      <c r="D1638" t="inlineStr">
        <is>
          <t>STOCKHOLMS LÄN</t>
        </is>
      </c>
      <c r="E1638" t="inlineStr">
        <is>
          <t>SIGTUNA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57881-2025</t>
        </is>
      </c>
      <c r="B1639" s="1" t="n">
        <v>45981.66450231482</v>
      </c>
      <c r="C1639" s="1" t="n">
        <v>46050</v>
      </c>
      <c r="D1639" t="inlineStr">
        <is>
          <t>STOCKHOLMS LÄN</t>
        </is>
      </c>
      <c r="E1639" t="inlineStr">
        <is>
          <t>SIGTUNA</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13767-2025</t>
        </is>
      </c>
      <c r="B1640" s="1" t="n">
        <v>45737.43347222222</v>
      </c>
      <c r="C1640" s="1" t="n">
        <v>46050</v>
      </c>
      <c r="D1640" t="inlineStr">
        <is>
          <t>STOCKHOLMS LÄN</t>
        </is>
      </c>
      <c r="E1640" t="inlineStr">
        <is>
          <t>NORRTÄLJE</t>
        </is>
      </c>
      <c r="F1640" t="inlineStr">
        <is>
          <t>Holmen skog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31212-2024</t>
        </is>
      </c>
      <c r="B1641" s="1" t="n">
        <v>45503</v>
      </c>
      <c r="C1641" s="1" t="n">
        <v>46050</v>
      </c>
      <c r="D1641" t="inlineStr">
        <is>
          <t>STOCKHOLMS LÄN</t>
        </is>
      </c>
      <c r="E1641" t="inlineStr">
        <is>
          <t>SÖDERTÄLJE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20013-2025</t>
        </is>
      </c>
      <c r="B1642" s="1" t="n">
        <v>45772.30436342592</v>
      </c>
      <c r="C1642" s="1" t="n">
        <v>46050</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14782-2024</t>
        </is>
      </c>
      <c r="B1643" s="1" t="n">
        <v>45397.74266203704</v>
      </c>
      <c r="C1643" s="1" t="n">
        <v>46050</v>
      </c>
      <c r="D1643" t="inlineStr">
        <is>
          <t>STOCKHOLMS LÄN</t>
        </is>
      </c>
      <c r="E1643" t="inlineStr">
        <is>
          <t>VALLENTUNA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53362-2023</t>
        </is>
      </c>
      <c r="B1644" s="1" t="n">
        <v>45223</v>
      </c>
      <c r="C1644" s="1" t="n">
        <v>46050</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15422-2024</t>
        </is>
      </c>
      <c r="B1645" s="1" t="n">
        <v>45401.3653125</v>
      </c>
      <c r="C1645" s="1" t="n">
        <v>46050</v>
      </c>
      <c r="D1645" t="inlineStr">
        <is>
          <t>STOCKHOLMS LÄN</t>
        </is>
      </c>
      <c r="E1645" t="inlineStr">
        <is>
          <t>NORRTÄLJE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52562-2023</t>
        </is>
      </c>
      <c r="B1646" s="1" t="n">
        <v>45225</v>
      </c>
      <c r="C1646" s="1" t="n">
        <v>46050</v>
      </c>
      <c r="D1646" t="inlineStr">
        <is>
          <t>STOCKHOLMS LÄN</t>
        </is>
      </c>
      <c r="E1646" t="inlineStr">
        <is>
          <t>VALLENTUNA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58140-2023</t>
        </is>
      </c>
      <c r="B1647" s="1" t="n">
        <v>45250</v>
      </c>
      <c r="C1647" s="1" t="n">
        <v>46050</v>
      </c>
      <c r="D1647" t="inlineStr">
        <is>
          <t>STOCKHOLMS LÄN</t>
        </is>
      </c>
      <c r="E1647" t="inlineStr">
        <is>
          <t>SÖDERTÄLJE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59377-2024</t>
        </is>
      </c>
      <c r="B1648" s="1" t="n">
        <v>45638.35164351852</v>
      </c>
      <c r="C1648" s="1" t="n">
        <v>46050</v>
      </c>
      <c r="D1648" t="inlineStr">
        <is>
          <t>STOCKHOLMS LÄN</t>
        </is>
      </c>
      <c r="E1648" t="inlineStr">
        <is>
          <t>UPPLANDS-BRO</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30508-2023</t>
        </is>
      </c>
      <c r="B1649" s="1" t="n">
        <v>45111</v>
      </c>
      <c r="C1649" s="1" t="n">
        <v>46050</v>
      </c>
      <c r="D1649" t="inlineStr">
        <is>
          <t>STOCKHOLMS LÄN</t>
        </is>
      </c>
      <c r="E1649" t="inlineStr">
        <is>
          <t>NORRTÄLJE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231-2026</t>
        </is>
      </c>
      <c r="B1650" s="1" t="n">
        <v>46027.34201388889</v>
      </c>
      <c r="C1650" s="1" t="n">
        <v>46050</v>
      </c>
      <c r="D1650" t="inlineStr">
        <is>
          <t>STOCKHOLMS LÄN</t>
        </is>
      </c>
      <c r="E1650" t="inlineStr">
        <is>
          <t>SÖDERTÄLJE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58403-2025</t>
        </is>
      </c>
      <c r="B1651" s="1" t="n">
        <v>45985.56777777777</v>
      </c>
      <c r="C1651" s="1" t="n">
        <v>46050</v>
      </c>
      <c r="D1651" t="inlineStr">
        <is>
          <t>STOCKHOLMS LÄN</t>
        </is>
      </c>
      <c r="E1651" t="inlineStr">
        <is>
          <t>NORRTÄLJE</t>
        </is>
      </c>
      <c r="F1651" t="inlineStr">
        <is>
          <t>Naturvårdsverket</t>
        </is>
      </c>
      <c r="G1651" t="n">
        <v>13.5</v>
      </c>
      <c r="H1651" t="n">
        <v>0</v>
      </c>
      <c r="I1651" t="n">
        <v>0</v>
      </c>
      <c r="J1651" t="n">
        <v>0</v>
      </c>
      <c r="K1651" t="n">
        <v>0</v>
      </c>
      <c r="L1651" t="n">
        <v>0</v>
      </c>
      <c r="M1651" t="n">
        <v>0</v>
      </c>
      <c r="N1651" t="n">
        <v>0</v>
      </c>
      <c r="O1651" t="n">
        <v>0</v>
      </c>
      <c r="P1651" t="n">
        <v>0</v>
      </c>
      <c r="Q1651" t="n">
        <v>0</v>
      </c>
      <c r="R1651" s="2" t="inlineStr"/>
    </row>
    <row r="1652" ht="15" customHeight="1">
      <c r="A1652" t="inlineStr">
        <is>
          <t>A 46438-2023</t>
        </is>
      </c>
      <c r="B1652" s="1" t="n">
        <v>45197</v>
      </c>
      <c r="C1652" s="1" t="n">
        <v>46050</v>
      </c>
      <c r="D1652" t="inlineStr">
        <is>
          <t>STOCKHOLMS LÄN</t>
        </is>
      </c>
      <c r="E1652" t="inlineStr">
        <is>
          <t>UPPLANDS-BRO</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233-2026</t>
        </is>
      </c>
      <c r="B1653" s="1" t="n">
        <v>46027.34767361111</v>
      </c>
      <c r="C1653" s="1" t="n">
        <v>46050</v>
      </c>
      <c r="D1653" t="inlineStr">
        <is>
          <t>STOCKHOLMS LÄN</t>
        </is>
      </c>
      <c r="E1653" t="inlineStr">
        <is>
          <t>SÖDERTÄLJE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8096-2023</t>
        </is>
      </c>
      <c r="B1654" s="1" t="n">
        <v>44974.389375</v>
      </c>
      <c r="C1654" s="1" t="n">
        <v>46050</v>
      </c>
      <c r="D1654" t="inlineStr">
        <is>
          <t>STOCKHOLMS LÄN</t>
        </is>
      </c>
      <c r="E1654" t="inlineStr">
        <is>
          <t>NYKVARN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49530-2023</t>
        </is>
      </c>
      <c r="B1655" s="1" t="n">
        <v>45205</v>
      </c>
      <c r="C1655" s="1" t="n">
        <v>46050</v>
      </c>
      <c r="D1655" t="inlineStr">
        <is>
          <t>STOCKHOLMS LÄN</t>
        </is>
      </c>
      <c r="E1655" t="inlineStr">
        <is>
          <t>VALLENTUNA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51087-2023</t>
        </is>
      </c>
      <c r="B1656" s="1" t="n">
        <v>45218.73296296296</v>
      </c>
      <c r="C1656" s="1" t="n">
        <v>46050</v>
      </c>
      <c r="D1656" t="inlineStr">
        <is>
          <t>STOCKHOLMS LÄN</t>
        </is>
      </c>
      <c r="E1656" t="inlineStr">
        <is>
          <t>SÖDERTÄLJE</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9032-2023</t>
        </is>
      </c>
      <c r="B1657" s="1" t="n">
        <v>44979</v>
      </c>
      <c r="C1657" s="1" t="n">
        <v>46050</v>
      </c>
      <c r="D1657" t="inlineStr">
        <is>
          <t>STOCKHOLMS LÄN</t>
        </is>
      </c>
      <c r="E1657" t="inlineStr">
        <is>
          <t>BOTKYRKA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234-2026</t>
        </is>
      </c>
      <c r="B1658" s="1" t="n">
        <v>46027.36018518519</v>
      </c>
      <c r="C1658" s="1" t="n">
        <v>46050</v>
      </c>
      <c r="D1658" t="inlineStr">
        <is>
          <t>STOCKHOLMS LÄN</t>
        </is>
      </c>
      <c r="E1658" t="inlineStr">
        <is>
          <t>SÖDERTÄLJE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18548-2024</t>
        </is>
      </c>
      <c r="B1659" s="1" t="n">
        <v>45425.64708333334</v>
      </c>
      <c r="C1659" s="1" t="n">
        <v>46050</v>
      </c>
      <c r="D1659" t="inlineStr">
        <is>
          <t>STOCKHOLMS LÄN</t>
        </is>
      </c>
      <c r="E1659" t="inlineStr">
        <is>
          <t>HANINGE</t>
        </is>
      </c>
      <c r="F1659" t="inlineStr">
        <is>
          <t>Kommuner</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16008-2025</t>
        </is>
      </c>
      <c r="B1660" s="1" t="n">
        <v>45749</v>
      </c>
      <c r="C1660" s="1" t="n">
        <v>46050</v>
      </c>
      <c r="D1660" t="inlineStr">
        <is>
          <t>STOCKHOLMS LÄN</t>
        </is>
      </c>
      <c r="E1660" t="inlineStr">
        <is>
          <t>NORRTÄLJE</t>
        </is>
      </c>
      <c r="F1660" t="inlineStr">
        <is>
          <t>Holmen skog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58142-2025</t>
        </is>
      </c>
      <c r="B1661" s="1" t="n">
        <v>45982.63791666667</v>
      </c>
      <c r="C1661" s="1" t="n">
        <v>46050</v>
      </c>
      <c r="D1661" t="inlineStr">
        <is>
          <t>STOCKHOLMS LÄN</t>
        </is>
      </c>
      <c r="E1661" t="inlineStr">
        <is>
          <t>NORRTÄLJE</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57953-2025</t>
        </is>
      </c>
      <c r="B1662" s="1" t="n">
        <v>45982.35016203704</v>
      </c>
      <c r="C1662" s="1" t="n">
        <v>46050</v>
      </c>
      <c r="D1662" t="inlineStr">
        <is>
          <t>STOCKHOLMS LÄN</t>
        </is>
      </c>
      <c r="E1662" t="inlineStr">
        <is>
          <t>NORRTÄLJE</t>
        </is>
      </c>
      <c r="F1662" t="inlineStr">
        <is>
          <t>Sveaskog</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28590-2024</t>
        </is>
      </c>
      <c r="B1663" s="1" t="n">
        <v>45478.41633101852</v>
      </c>
      <c r="C1663" s="1" t="n">
        <v>46050</v>
      </c>
      <c r="D1663" t="inlineStr">
        <is>
          <t>STOCKHOLMS LÄN</t>
        </is>
      </c>
      <c r="E1663" t="inlineStr">
        <is>
          <t>VÄRMDÖ</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21158-2022</t>
        </is>
      </c>
      <c r="B1664" s="1" t="n">
        <v>44704</v>
      </c>
      <c r="C1664" s="1" t="n">
        <v>46050</v>
      </c>
      <c r="D1664" t="inlineStr">
        <is>
          <t>STOCKHOLMS LÄN</t>
        </is>
      </c>
      <c r="E1664" t="inlineStr">
        <is>
          <t>NORRTÄLJE</t>
        </is>
      </c>
      <c r="G1664" t="n">
        <v>17.8</v>
      </c>
      <c r="H1664" t="n">
        <v>0</v>
      </c>
      <c r="I1664" t="n">
        <v>0</v>
      </c>
      <c r="J1664" t="n">
        <v>0</v>
      </c>
      <c r="K1664" t="n">
        <v>0</v>
      </c>
      <c r="L1664" t="n">
        <v>0</v>
      </c>
      <c r="M1664" t="n">
        <v>0</v>
      </c>
      <c r="N1664" t="n">
        <v>0</v>
      </c>
      <c r="O1664" t="n">
        <v>0</v>
      </c>
      <c r="P1664" t="n">
        <v>0</v>
      </c>
      <c r="Q1664" t="n">
        <v>0</v>
      </c>
      <c r="R1664" s="2" t="inlineStr"/>
    </row>
    <row r="1665" ht="15" customHeight="1">
      <c r="A1665" t="inlineStr">
        <is>
          <t>A 197-2026</t>
        </is>
      </c>
      <c r="B1665" s="1" t="n">
        <v>46026</v>
      </c>
      <c r="C1665" s="1" t="n">
        <v>46050</v>
      </c>
      <c r="D1665" t="inlineStr">
        <is>
          <t>STOCKHOLMS LÄN</t>
        </is>
      </c>
      <c r="E1665" t="inlineStr">
        <is>
          <t>NORRTÄLJE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243-2026</t>
        </is>
      </c>
      <c r="B1666" s="1" t="n">
        <v>46027.39109953704</v>
      </c>
      <c r="C1666" s="1" t="n">
        <v>46050</v>
      </c>
      <c r="D1666" t="inlineStr">
        <is>
          <t>STOCKHOLMS LÄN</t>
        </is>
      </c>
      <c r="E1666" t="inlineStr">
        <is>
          <t>SÖDERTÄLJE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52542-2023</t>
        </is>
      </c>
      <c r="B1667" s="1" t="n">
        <v>45225</v>
      </c>
      <c r="C1667" s="1" t="n">
        <v>46050</v>
      </c>
      <c r="D1667" t="inlineStr">
        <is>
          <t>STOCKHOLMS LÄN</t>
        </is>
      </c>
      <c r="E1667" t="inlineStr">
        <is>
          <t>VALLENTUNA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32101-2022</t>
        </is>
      </c>
      <c r="B1668" s="1" t="n">
        <v>44778.69210648148</v>
      </c>
      <c r="C1668" s="1" t="n">
        <v>46050</v>
      </c>
      <c r="D1668" t="inlineStr">
        <is>
          <t>STOCKHOLMS LÄN</t>
        </is>
      </c>
      <c r="E1668" t="inlineStr">
        <is>
          <t>NORRTÄLJE</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23144-2024</t>
        </is>
      </c>
      <c r="B1669" s="1" t="n">
        <v>45450.63202546296</v>
      </c>
      <c r="C1669" s="1" t="n">
        <v>46050</v>
      </c>
      <c r="D1669" t="inlineStr">
        <is>
          <t>STOCKHOLMS LÄN</t>
        </is>
      </c>
      <c r="E1669" t="inlineStr">
        <is>
          <t>ÖSTERÅKER</t>
        </is>
      </c>
      <c r="F1669" t="inlineStr">
        <is>
          <t>Övriga Aktiebolag</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45450.64643518518</v>
      </c>
      <c r="C1670" s="1" t="n">
        <v>46050</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2318-2024</t>
        </is>
      </c>
      <c r="B1671" s="1" t="n">
        <v>45310</v>
      </c>
      <c r="C1671" s="1" t="n">
        <v>46050</v>
      </c>
      <c r="D1671" t="inlineStr">
        <is>
          <t>STOCKHOLMS LÄN</t>
        </is>
      </c>
      <c r="E1671" t="inlineStr">
        <is>
          <t>VALLENTUNA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24933-2023</t>
        </is>
      </c>
      <c r="B1672" s="1" t="n">
        <v>45085.5309375</v>
      </c>
      <c r="C1672" s="1" t="n">
        <v>46050</v>
      </c>
      <c r="D1672" t="inlineStr">
        <is>
          <t>STOCKHOLMS LÄN</t>
        </is>
      </c>
      <c r="E1672" t="inlineStr">
        <is>
          <t>NORRTÄLJE</t>
        </is>
      </c>
      <c r="F1672" t="inlineStr">
        <is>
          <t>Holmen skog AB</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124-2026</t>
        </is>
      </c>
      <c r="B1673" s="1" t="n">
        <v>46024.58378472222</v>
      </c>
      <c r="C1673" s="1" t="n">
        <v>46050</v>
      </c>
      <c r="D1673" t="inlineStr">
        <is>
          <t>STOCKHOLMS LÄN</t>
        </is>
      </c>
      <c r="E1673" t="inlineStr">
        <is>
          <t>NORRTÄLJE</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314-2022</t>
        </is>
      </c>
      <c r="B1674" s="1" t="n">
        <v>44564</v>
      </c>
      <c r="C1674" s="1" t="n">
        <v>46050</v>
      </c>
      <c r="D1674" t="inlineStr">
        <is>
          <t>STOCKHOLMS LÄN</t>
        </is>
      </c>
      <c r="E1674" t="inlineStr">
        <is>
          <t>SÖDERTÄLJE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20839-2024</t>
        </is>
      </c>
      <c r="B1675" s="1" t="n">
        <v>45439.39953703704</v>
      </c>
      <c r="C1675" s="1" t="n">
        <v>46050</v>
      </c>
      <c r="D1675" t="inlineStr">
        <is>
          <t>STOCKHOLMS LÄN</t>
        </is>
      </c>
      <c r="E1675" t="inlineStr">
        <is>
          <t>HANINGE</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56631-2024</t>
        </is>
      </c>
      <c r="B1676" s="1" t="n">
        <v>45625</v>
      </c>
      <c r="C1676" s="1" t="n">
        <v>46050</v>
      </c>
      <c r="D1676" t="inlineStr">
        <is>
          <t>STOCKHOLMS LÄN</t>
        </is>
      </c>
      <c r="E1676" t="inlineStr">
        <is>
          <t>NORRTÄLJE</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58939-2025</t>
        </is>
      </c>
      <c r="B1677" s="1" t="n">
        <v>45987.5681712963</v>
      </c>
      <c r="C1677" s="1" t="n">
        <v>46050</v>
      </c>
      <c r="D1677" t="inlineStr">
        <is>
          <t>STOCKHOLMS LÄN</t>
        </is>
      </c>
      <c r="E1677" t="inlineStr">
        <is>
          <t>NORRTÄLJE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652-2025</t>
        </is>
      </c>
      <c r="B1678" s="1" t="n">
        <v>45664</v>
      </c>
      <c r="C1678" s="1" t="n">
        <v>46050</v>
      </c>
      <c r="D1678" t="inlineStr">
        <is>
          <t>STOCKHOLMS LÄN</t>
        </is>
      </c>
      <c r="E1678" t="inlineStr">
        <is>
          <t>NORRTÄLJE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487-2024</t>
        </is>
      </c>
      <c r="B1679" s="1" t="n">
        <v>45298.85216435185</v>
      </c>
      <c r="C1679" s="1" t="n">
        <v>46050</v>
      </c>
      <c r="D1679" t="inlineStr">
        <is>
          <t>STOCKHOLMS LÄN</t>
        </is>
      </c>
      <c r="E1679" t="inlineStr">
        <is>
          <t>SÖDERTÄLJE</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414-2026</t>
        </is>
      </c>
      <c r="B1680" s="1" t="n">
        <v>46028.76050925926</v>
      </c>
      <c r="C1680" s="1" t="n">
        <v>46050</v>
      </c>
      <c r="D1680" t="inlineStr">
        <is>
          <t>STOCKHOLMS LÄN</t>
        </is>
      </c>
      <c r="E1680" t="inlineStr">
        <is>
          <t>VALLENTUNA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693-2026</t>
        </is>
      </c>
      <c r="B1681" s="1" t="n">
        <v>46029.6133449074</v>
      </c>
      <c r="C1681" s="1" t="n">
        <v>46050</v>
      </c>
      <c r="D1681" t="inlineStr">
        <is>
          <t>STOCKHOLMS LÄN</t>
        </is>
      </c>
      <c r="E1681" t="inlineStr">
        <is>
          <t>NORRTÄLJE</t>
        </is>
      </c>
      <c r="G1681" t="n">
        <v>9.6</v>
      </c>
      <c r="H1681" t="n">
        <v>0</v>
      </c>
      <c r="I1681" t="n">
        <v>0</v>
      </c>
      <c r="J1681" t="n">
        <v>0</v>
      </c>
      <c r="K1681" t="n">
        <v>0</v>
      </c>
      <c r="L1681" t="n">
        <v>0</v>
      </c>
      <c r="M1681" t="n">
        <v>0</v>
      </c>
      <c r="N1681" t="n">
        <v>0</v>
      </c>
      <c r="O1681" t="n">
        <v>0</v>
      </c>
      <c r="P1681" t="n">
        <v>0</v>
      </c>
      <c r="Q1681" t="n">
        <v>0</v>
      </c>
      <c r="R1681" s="2" t="inlineStr"/>
    </row>
    <row r="1682" ht="15" customHeight="1">
      <c r="A1682" t="inlineStr">
        <is>
          <t>A 718-2026</t>
        </is>
      </c>
      <c r="B1682" s="1" t="n">
        <v>46029.63174768518</v>
      </c>
      <c r="C1682" s="1" t="n">
        <v>46050</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9063-2024</t>
        </is>
      </c>
      <c r="B1683" s="1" t="n">
        <v>45357.72652777778</v>
      </c>
      <c r="C1683" s="1" t="n">
        <v>46050</v>
      </c>
      <c r="D1683" t="inlineStr">
        <is>
          <t>STOCKHOLMS LÄN</t>
        </is>
      </c>
      <c r="E1683" t="inlineStr">
        <is>
          <t>VALLENTUNA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58598-2025</t>
        </is>
      </c>
      <c r="B1684" s="1" t="n">
        <v>45986</v>
      </c>
      <c r="C1684" s="1" t="n">
        <v>46050</v>
      </c>
      <c r="D1684" t="inlineStr">
        <is>
          <t>STOCKHOLMS LÄN</t>
        </is>
      </c>
      <c r="E1684" t="inlineStr">
        <is>
          <t>UPPLANDS-BRO</t>
        </is>
      </c>
      <c r="F1684" t="inlineStr">
        <is>
          <t>Övriga statliga verk och myndigheter</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694-2026</t>
        </is>
      </c>
      <c r="B1685" s="1" t="n">
        <v>46029.61375</v>
      </c>
      <c r="C1685" s="1" t="n">
        <v>46050</v>
      </c>
      <c r="D1685" t="inlineStr">
        <is>
          <t>STOCKHOLMS LÄN</t>
        </is>
      </c>
      <c r="E1685" t="inlineStr">
        <is>
          <t>NORRTÄLJE</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19288-2025</t>
        </is>
      </c>
      <c r="B1686" s="1" t="n">
        <v>45769</v>
      </c>
      <c r="C1686" s="1" t="n">
        <v>46050</v>
      </c>
      <c r="D1686" t="inlineStr">
        <is>
          <t>STOCKHOLMS LÄN</t>
        </is>
      </c>
      <c r="E1686" t="inlineStr">
        <is>
          <t>SIGTUNA</t>
        </is>
      </c>
      <c r="G1686" t="n">
        <v>14.5</v>
      </c>
      <c r="H1686" t="n">
        <v>0</v>
      </c>
      <c r="I1686" t="n">
        <v>0</v>
      </c>
      <c r="J1686" t="n">
        <v>0</v>
      </c>
      <c r="K1686" t="n">
        <v>0</v>
      </c>
      <c r="L1686" t="n">
        <v>0</v>
      </c>
      <c r="M1686" t="n">
        <v>0</v>
      </c>
      <c r="N1686" t="n">
        <v>0</v>
      </c>
      <c r="O1686" t="n">
        <v>0</v>
      </c>
      <c r="P1686" t="n">
        <v>0</v>
      </c>
      <c r="Q1686" t="n">
        <v>0</v>
      </c>
      <c r="R1686" s="2" t="inlineStr"/>
    </row>
    <row r="1687" ht="15" customHeight="1">
      <c r="A1687" t="inlineStr">
        <is>
          <t>A 5389-2025</t>
        </is>
      </c>
      <c r="B1687" s="1" t="n">
        <v>45692</v>
      </c>
      <c r="C1687" s="1" t="n">
        <v>46050</v>
      </c>
      <c r="D1687" t="inlineStr">
        <is>
          <t>STOCKHOLMS LÄN</t>
        </is>
      </c>
      <c r="E1687" t="inlineStr">
        <is>
          <t>NORRTÄLJE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13051-2021</t>
        </is>
      </c>
      <c r="B1688" s="1" t="n">
        <v>44272</v>
      </c>
      <c r="C1688" s="1" t="n">
        <v>46050</v>
      </c>
      <c r="D1688" t="inlineStr">
        <is>
          <t>STOCKHOLMS LÄN</t>
        </is>
      </c>
      <c r="E1688" t="inlineStr">
        <is>
          <t>NORRTÄLJE</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13118-2021</t>
        </is>
      </c>
      <c r="B1689" s="1" t="n">
        <v>44272</v>
      </c>
      <c r="C1689" s="1" t="n">
        <v>46050</v>
      </c>
      <c r="D1689" t="inlineStr">
        <is>
          <t>STOCKHOLMS LÄN</t>
        </is>
      </c>
      <c r="E1689" t="inlineStr">
        <is>
          <t>ÖSTERÅKER</t>
        </is>
      </c>
      <c r="F1689" t="inlineStr">
        <is>
          <t>Kyrkan</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475-2026</t>
        </is>
      </c>
      <c r="B1690" s="1" t="n">
        <v>46029.39351851852</v>
      </c>
      <c r="C1690" s="1" t="n">
        <v>46050</v>
      </c>
      <c r="D1690" t="inlineStr">
        <is>
          <t>STOCKHOLMS LÄN</t>
        </is>
      </c>
      <c r="E1690" t="inlineStr">
        <is>
          <t>NORRTÄLJE</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717-2026</t>
        </is>
      </c>
      <c r="B1691" s="1" t="n">
        <v>46029.63028935185</v>
      </c>
      <c r="C1691" s="1" t="n">
        <v>46050</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10912-2025</t>
        </is>
      </c>
      <c r="B1692" s="1" t="n">
        <v>45722</v>
      </c>
      <c r="C1692" s="1" t="n">
        <v>46050</v>
      </c>
      <c r="D1692" t="inlineStr">
        <is>
          <t>STOCKHOLMS LÄN</t>
        </is>
      </c>
      <c r="E1692" t="inlineStr">
        <is>
          <t>UPPLANDS-BRO</t>
        </is>
      </c>
      <c r="F1692" t="inlineStr">
        <is>
          <t>Allmännings- och besparingsskogar</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59342-2025</t>
        </is>
      </c>
      <c r="B1693" s="1" t="n">
        <v>45989.38784722222</v>
      </c>
      <c r="C1693" s="1" t="n">
        <v>46050</v>
      </c>
      <c r="D1693" t="inlineStr">
        <is>
          <t>STOCKHOLMS LÄN</t>
        </is>
      </c>
      <c r="E1693" t="inlineStr">
        <is>
          <t>NYKVARN</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59348-2025</t>
        </is>
      </c>
      <c r="B1694" s="1" t="n">
        <v>45989.40099537037</v>
      </c>
      <c r="C1694" s="1" t="n">
        <v>46050</v>
      </c>
      <c r="D1694" t="inlineStr">
        <is>
          <t>STOCKHOLMS LÄN</t>
        </is>
      </c>
      <c r="E1694" t="inlineStr">
        <is>
          <t>NYKVARN</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21445-2023</t>
        </is>
      </c>
      <c r="B1695" s="1" t="n">
        <v>45063</v>
      </c>
      <c r="C1695" s="1" t="n">
        <v>46050</v>
      </c>
      <c r="D1695" t="inlineStr">
        <is>
          <t>STOCKHOLMS LÄN</t>
        </is>
      </c>
      <c r="E1695" t="inlineStr">
        <is>
          <t>VALLENTUNA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11499-2023</t>
        </is>
      </c>
      <c r="B1696" s="1" t="n">
        <v>44993.66707175926</v>
      </c>
      <c r="C1696" s="1" t="n">
        <v>46050</v>
      </c>
      <c r="D1696" t="inlineStr">
        <is>
          <t>STOCKHOLMS LÄN</t>
        </is>
      </c>
      <c r="E1696" t="inlineStr">
        <is>
          <t>NORRTÄLJE</t>
        </is>
      </c>
      <c r="F1696" t="inlineStr">
        <is>
          <t>Holmen skog AB</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37097-2021</t>
        </is>
      </c>
      <c r="B1697" s="1" t="n">
        <v>44395</v>
      </c>
      <c r="C1697" s="1" t="n">
        <v>46050</v>
      </c>
      <c r="D1697" t="inlineStr">
        <is>
          <t>STOCKHOLMS LÄN</t>
        </is>
      </c>
      <c r="E1697" t="inlineStr">
        <is>
          <t>NYNÄSHAMN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45319-2023</t>
        </is>
      </c>
      <c r="B1698" s="1" t="n">
        <v>45191</v>
      </c>
      <c r="C1698" s="1" t="n">
        <v>46050</v>
      </c>
      <c r="D1698" t="inlineStr">
        <is>
          <t>STOCKHOLMS LÄN</t>
        </is>
      </c>
      <c r="E1698" t="inlineStr">
        <is>
          <t>SIGTUNA</t>
        </is>
      </c>
      <c r="F1698" t="inlineStr">
        <is>
          <t>Allmännings- och besparingsskogar</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576-2023</t>
        </is>
      </c>
      <c r="B1699" s="1" t="n">
        <v>44925</v>
      </c>
      <c r="C1699" s="1" t="n">
        <v>46050</v>
      </c>
      <c r="D1699" t="inlineStr">
        <is>
          <t>STOCKHOLMS LÄN</t>
        </is>
      </c>
      <c r="E1699" t="inlineStr">
        <is>
          <t>NORRTÄLJE</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59402-2022</t>
        </is>
      </c>
      <c r="B1700" s="1" t="n">
        <v>44906</v>
      </c>
      <c r="C1700" s="1" t="n">
        <v>46050</v>
      </c>
      <c r="D1700" t="inlineStr">
        <is>
          <t>STOCKHOLMS LÄN</t>
        </is>
      </c>
      <c r="E1700" t="inlineStr">
        <is>
          <t>UPPLANDS-BRO</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10678-2025</t>
        </is>
      </c>
      <c r="B1701" s="1" t="n">
        <v>45721.89123842592</v>
      </c>
      <c r="C1701" s="1" t="n">
        <v>46050</v>
      </c>
      <c r="D1701" t="inlineStr">
        <is>
          <t>STOCKHOLMS LÄN</t>
        </is>
      </c>
      <c r="E1701" t="inlineStr">
        <is>
          <t>NORRTÄLJE</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31936-2022</t>
        </is>
      </c>
      <c r="B1702" s="1" t="n">
        <v>44777</v>
      </c>
      <c r="C1702" s="1" t="n">
        <v>46050</v>
      </c>
      <c r="D1702" t="inlineStr">
        <is>
          <t>STOCKHOLMS LÄN</t>
        </is>
      </c>
      <c r="E1702" t="inlineStr">
        <is>
          <t>NORRTÄLJE</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5474-2024</t>
        </is>
      </c>
      <c r="B1703" s="1" t="n">
        <v>45333.51131944444</v>
      </c>
      <c r="C1703" s="1" t="n">
        <v>46050</v>
      </c>
      <c r="D1703" t="inlineStr">
        <is>
          <t>STOCKHOLMS LÄN</t>
        </is>
      </c>
      <c r="E1703" t="inlineStr">
        <is>
          <t>HANINGE</t>
        </is>
      </c>
      <c r="F1703" t="inlineStr">
        <is>
          <t>Kommuner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1150-2026</t>
        </is>
      </c>
      <c r="B1704" s="1" t="n">
        <v>46030.98674768519</v>
      </c>
      <c r="C1704" s="1" t="n">
        <v>46050</v>
      </c>
      <c r="D1704" t="inlineStr">
        <is>
          <t>STOCKHOLMS LÄN</t>
        </is>
      </c>
      <c r="E1704" t="inlineStr">
        <is>
          <t>SÖDERTÄLJE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59873-2024</t>
        </is>
      </c>
      <c r="B1705" s="1" t="n">
        <v>45640.57305555556</v>
      </c>
      <c r="C1705" s="1" t="n">
        <v>46050</v>
      </c>
      <c r="D1705" t="inlineStr">
        <is>
          <t>STOCKHOLMS LÄN</t>
        </is>
      </c>
      <c r="E1705" t="inlineStr">
        <is>
          <t>NORRTÄLJE</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2240-2023</t>
        </is>
      </c>
      <c r="B1706" s="1" t="n">
        <v>44938</v>
      </c>
      <c r="C1706" s="1" t="n">
        <v>46050</v>
      </c>
      <c r="D1706" t="inlineStr">
        <is>
          <t>STOCKHOLMS LÄN</t>
        </is>
      </c>
      <c r="E1706" t="inlineStr">
        <is>
          <t>VÄRMDÖ</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35916-2024</t>
        </is>
      </c>
      <c r="B1707" s="1" t="n">
        <v>45533</v>
      </c>
      <c r="C1707" s="1" t="n">
        <v>46050</v>
      </c>
      <c r="D1707" t="inlineStr">
        <is>
          <t>STOCKHOLMS LÄN</t>
        </is>
      </c>
      <c r="E1707" t="inlineStr">
        <is>
          <t>NORRTÄLJE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10098-2022</t>
        </is>
      </c>
      <c r="B1708" s="1" t="n">
        <v>44621</v>
      </c>
      <c r="C1708" s="1" t="n">
        <v>46050</v>
      </c>
      <c r="D1708" t="inlineStr">
        <is>
          <t>STOCKHOLMS LÄN</t>
        </is>
      </c>
      <c r="E1708" t="inlineStr">
        <is>
          <t>NORRTÄLJE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812-2026</t>
        </is>
      </c>
      <c r="B1709" s="1" t="n">
        <v>46030.33358796296</v>
      </c>
      <c r="C1709" s="1" t="n">
        <v>46050</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63161-2023</t>
        </is>
      </c>
      <c r="B1710" s="1" t="n">
        <v>45273</v>
      </c>
      <c r="C1710" s="1" t="n">
        <v>46050</v>
      </c>
      <c r="D1710" t="inlineStr">
        <is>
          <t>STOCKHOLMS LÄN</t>
        </is>
      </c>
      <c r="E1710" t="inlineStr">
        <is>
          <t>NORRTÄLJE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35955-2023</t>
        </is>
      </c>
      <c r="B1711" s="1" t="n">
        <v>45148</v>
      </c>
      <c r="C1711" s="1" t="n">
        <v>46050</v>
      </c>
      <c r="D1711" t="inlineStr">
        <is>
          <t>STOCKHOLMS LÄN</t>
        </is>
      </c>
      <c r="E1711" t="inlineStr">
        <is>
          <t>EKERÖ</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59041-2025</t>
        </is>
      </c>
      <c r="B1712" s="1" t="n">
        <v>45988</v>
      </c>
      <c r="C1712" s="1" t="n">
        <v>46050</v>
      </c>
      <c r="D1712" t="inlineStr">
        <is>
          <t>STOCKHOLMS LÄN</t>
        </is>
      </c>
      <c r="E1712" t="inlineStr">
        <is>
          <t>NORRTÄLJE</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7796-2025</t>
        </is>
      </c>
      <c r="B1713" s="1" t="n">
        <v>45706.60130787037</v>
      </c>
      <c r="C1713" s="1" t="n">
        <v>46050</v>
      </c>
      <c r="D1713" t="inlineStr">
        <is>
          <t>STOCKHOLMS LÄN</t>
        </is>
      </c>
      <c r="E1713" t="inlineStr">
        <is>
          <t>NORRTÄLJE</t>
        </is>
      </c>
      <c r="F1713" t="inlineStr">
        <is>
          <t>Holmen skog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15552-2021</t>
        </is>
      </c>
      <c r="B1714" s="1" t="n">
        <v>44285</v>
      </c>
      <c r="C1714" s="1" t="n">
        <v>46050</v>
      </c>
      <c r="D1714" t="inlineStr">
        <is>
          <t>STOCKHOLMS LÄN</t>
        </is>
      </c>
      <c r="E1714" t="inlineStr">
        <is>
          <t>NORRTÄLJE</t>
        </is>
      </c>
      <c r="G1714" t="n">
        <v>10</v>
      </c>
      <c r="H1714" t="n">
        <v>0</v>
      </c>
      <c r="I1714" t="n">
        <v>0</v>
      </c>
      <c r="J1714" t="n">
        <v>0</v>
      </c>
      <c r="K1714" t="n">
        <v>0</v>
      </c>
      <c r="L1714" t="n">
        <v>0</v>
      </c>
      <c r="M1714" t="n">
        <v>0</v>
      </c>
      <c r="N1714" t="n">
        <v>0</v>
      </c>
      <c r="O1714" t="n">
        <v>0</v>
      </c>
      <c r="P1714" t="n">
        <v>0</v>
      </c>
      <c r="Q1714" t="n">
        <v>0</v>
      </c>
      <c r="R1714" s="2" t="inlineStr"/>
    </row>
    <row r="1715" ht="15" customHeight="1">
      <c r="A1715" t="inlineStr">
        <is>
          <t>A 58040-2024</t>
        </is>
      </c>
      <c r="B1715" s="1" t="n">
        <v>45631.73952546297</v>
      </c>
      <c r="C1715" s="1" t="n">
        <v>46050</v>
      </c>
      <c r="D1715" t="inlineStr">
        <is>
          <t>STOCKHOLMS LÄN</t>
        </is>
      </c>
      <c r="E1715" t="inlineStr">
        <is>
          <t>NORRTÄLJE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58041-2024</t>
        </is>
      </c>
      <c r="B1716" s="1" t="n">
        <v>45631.74673611111</v>
      </c>
      <c r="C1716" s="1" t="n">
        <v>46050</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59914-2025</t>
        </is>
      </c>
      <c r="B1717" s="1" t="n">
        <v>45993.37056712963</v>
      </c>
      <c r="C1717" s="1" t="n">
        <v>46050</v>
      </c>
      <c r="D1717" t="inlineStr">
        <is>
          <t>STOCKHOLMS LÄN</t>
        </is>
      </c>
      <c r="E1717" t="inlineStr">
        <is>
          <t>NORRTÄLJE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30268-2024</t>
        </is>
      </c>
      <c r="B1718" s="1" t="n">
        <v>45490.60572916667</v>
      </c>
      <c r="C1718" s="1" t="n">
        <v>46050</v>
      </c>
      <c r="D1718" t="inlineStr">
        <is>
          <t>STOCKHOLMS LÄN</t>
        </is>
      </c>
      <c r="E1718" t="inlineStr">
        <is>
          <t>NORRTÄLJE</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12407-2025</t>
        </is>
      </c>
      <c r="B1719" s="1" t="n">
        <v>45730.42851851852</v>
      </c>
      <c r="C1719" s="1" t="n">
        <v>46050</v>
      </c>
      <c r="D1719" t="inlineStr">
        <is>
          <t>STOCKHOLMS LÄN</t>
        </is>
      </c>
      <c r="E1719" t="inlineStr">
        <is>
          <t>NORRTÄLJE</t>
        </is>
      </c>
      <c r="F1719" t="inlineStr">
        <is>
          <t>Holmen skog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59672-2025</t>
        </is>
      </c>
      <c r="B1720" s="1" t="n">
        <v>45992.45884259259</v>
      </c>
      <c r="C1720" s="1" t="n">
        <v>46050</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73155-2021</t>
        </is>
      </c>
      <c r="B1721" s="1" t="n">
        <v>44550</v>
      </c>
      <c r="C1721" s="1" t="n">
        <v>46050</v>
      </c>
      <c r="D1721" t="inlineStr">
        <is>
          <t>STOCKHOLMS LÄN</t>
        </is>
      </c>
      <c r="E1721" t="inlineStr">
        <is>
          <t>BOTKYRKA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19025-2025</t>
        </is>
      </c>
      <c r="B1722" s="1" t="n">
        <v>45764.6359837963</v>
      </c>
      <c r="C1722" s="1" t="n">
        <v>46050</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54276-2021</t>
        </is>
      </c>
      <c r="B1723" s="1" t="n">
        <v>44470</v>
      </c>
      <c r="C1723" s="1" t="n">
        <v>46050</v>
      </c>
      <c r="D1723" t="inlineStr">
        <is>
          <t>STOCKHOLMS LÄN</t>
        </is>
      </c>
      <c r="E1723" t="inlineStr">
        <is>
          <t>NORRTÄLJE</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4316-2023</t>
        </is>
      </c>
      <c r="B1724" s="1" t="n">
        <v>44953.67443287037</v>
      </c>
      <c r="C1724" s="1" t="n">
        <v>46050</v>
      </c>
      <c r="D1724" t="inlineStr">
        <is>
          <t>STOCKHOLMS LÄN</t>
        </is>
      </c>
      <c r="E1724" t="inlineStr">
        <is>
          <t>NORRTÄLJE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23666-2024</t>
        </is>
      </c>
      <c r="B1725" s="1" t="n">
        <v>45454.57909722222</v>
      </c>
      <c r="C1725" s="1" t="n">
        <v>46050</v>
      </c>
      <c r="D1725" t="inlineStr">
        <is>
          <t>STOCKHOLMS LÄN</t>
        </is>
      </c>
      <c r="E1725" t="inlineStr">
        <is>
          <t>HANINGE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57788-2025</t>
        </is>
      </c>
      <c r="B1726" s="1" t="n">
        <v>45981.5778125</v>
      </c>
      <c r="C1726" s="1" t="n">
        <v>46050</v>
      </c>
      <c r="D1726" t="inlineStr">
        <is>
          <t>STOCKHOLMS LÄN</t>
        </is>
      </c>
      <c r="E1726" t="inlineStr">
        <is>
          <t>NORRTÄLJE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41587-2023</t>
        </is>
      </c>
      <c r="B1727" s="1" t="n">
        <v>45175</v>
      </c>
      <c r="C1727" s="1" t="n">
        <v>46050</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59907-2025</t>
        </is>
      </c>
      <c r="B1728" s="1" t="n">
        <v>45993.35350694445</v>
      </c>
      <c r="C1728" s="1" t="n">
        <v>46050</v>
      </c>
      <c r="D1728" t="inlineStr">
        <is>
          <t>STOCKHOLMS LÄN</t>
        </is>
      </c>
      <c r="E1728" t="inlineStr">
        <is>
          <t>NORRTÄLJE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59565-2025</t>
        </is>
      </c>
      <c r="B1729" s="1" t="n">
        <v>45991.88413194445</v>
      </c>
      <c r="C1729" s="1" t="n">
        <v>46050</v>
      </c>
      <c r="D1729" t="inlineStr">
        <is>
          <t>STOCKHOLMS LÄN</t>
        </is>
      </c>
      <c r="E1729" t="inlineStr">
        <is>
          <t>HANINGE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1755-2026</t>
        </is>
      </c>
      <c r="B1730" s="1" t="n">
        <v>46034.66230324074</v>
      </c>
      <c r="C1730" s="1" t="n">
        <v>46050</v>
      </c>
      <c r="D1730" t="inlineStr">
        <is>
          <t>STOCKHOLMS LÄN</t>
        </is>
      </c>
      <c r="E1730" t="inlineStr">
        <is>
          <t>NORRTÄLJE</t>
        </is>
      </c>
      <c r="F1730" t="inlineStr">
        <is>
          <t>Holmen skog AB</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59569-2025</t>
        </is>
      </c>
      <c r="B1731" s="1" t="n">
        <v>45991.92870370371</v>
      </c>
      <c r="C1731" s="1" t="n">
        <v>46050</v>
      </c>
      <c r="D1731" t="inlineStr">
        <is>
          <t>STOCKHOLMS LÄN</t>
        </is>
      </c>
      <c r="E1731" t="inlineStr">
        <is>
          <t>HANINGE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27870-2025</t>
        </is>
      </c>
      <c r="B1732" s="1" t="n">
        <v>45817</v>
      </c>
      <c r="C1732" s="1" t="n">
        <v>46050</v>
      </c>
      <c r="D1732" t="inlineStr">
        <is>
          <t>STOCKHOLMS LÄN</t>
        </is>
      </c>
      <c r="E1732" t="inlineStr">
        <is>
          <t>VALLENTUNA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1696-2026</t>
        </is>
      </c>
      <c r="B1733" s="1" t="n">
        <v>46034.59373842592</v>
      </c>
      <c r="C1733" s="1" t="n">
        <v>46050</v>
      </c>
      <c r="D1733" t="inlineStr">
        <is>
          <t>STOCKHOLMS LÄN</t>
        </is>
      </c>
      <c r="E1733" t="inlineStr">
        <is>
          <t>SÖDERTÄLJE</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1715-2026</t>
        </is>
      </c>
      <c r="B1734" s="1" t="n">
        <v>46034.60863425926</v>
      </c>
      <c r="C1734" s="1" t="n">
        <v>46050</v>
      </c>
      <c r="D1734" t="inlineStr">
        <is>
          <t>STOCKHOLMS LÄN</t>
        </is>
      </c>
      <c r="E1734" t="inlineStr">
        <is>
          <t>SÖDERTÄLJE</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19404-2024</t>
        </is>
      </c>
      <c r="B1735" s="1" t="n">
        <v>45428</v>
      </c>
      <c r="C1735" s="1" t="n">
        <v>46050</v>
      </c>
      <c r="D1735" t="inlineStr">
        <is>
          <t>STOCKHOLMS LÄN</t>
        </is>
      </c>
      <c r="E1735" t="inlineStr">
        <is>
          <t>ÖSTERÅKER</t>
        </is>
      </c>
      <c r="F1735" t="inlineStr">
        <is>
          <t>Övriga Aktiebolag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47576-2023</t>
        </is>
      </c>
      <c r="B1736" s="1" t="n">
        <v>45197</v>
      </c>
      <c r="C1736" s="1" t="n">
        <v>46050</v>
      </c>
      <c r="D1736" t="inlineStr">
        <is>
          <t>STOCKHOLMS LÄN</t>
        </is>
      </c>
      <c r="E1736" t="inlineStr">
        <is>
          <t>SÖDERTÄLJE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34441-2023</t>
        </is>
      </c>
      <c r="B1737" s="1" t="n">
        <v>45139</v>
      </c>
      <c r="C1737" s="1" t="n">
        <v>46050</v>
      </c>
      <c r="D1737" t="inlineStr">
        <is>
          <t>STOCKHOLMS LÄN</t>
        </is>
      </c>
      <c r="E1737" t="inlineStr">
        <is>
          <t>VALLENTUNA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34445-2023</t>
        </is>
      </c>
      <c r="B1738" s="1" t="n">
        <v>45139</v>
      </c>
      <c r="C1738" s="1" t="n">
        <v>46050</v>
      </c>
      <c r="D1738" t="inlineStr">
        <is>
          <t>STOCKHOLMS LÄN</t>
        </is>
      </c>
      <c r="E1738" t="inlineStr">
        <is>
          <t>VALLENTUNA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34449-2021</t>
        </is>
      </c>
      <c r="B1739" s="1" t="n">
        <v>44381.63587962963</v>
      </c>
      <c r="C1739" s="1" t="n">
        <v>46050</v>
      </c>
      <c r="D1739" t="inlineStr">
        <is>
          <t>STOCKHOLMS LÄN</t>
        </is>
      </c>
      <c r="E1739" t="inlineStr">
        <is>
          <t>SÖDERTÄLJE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17304-2024</t>
        </is>
      </c>
      <c r="B1740" s="1" t="n">
        <v>45414</v>
      </c>
      <c r="C1740" s="1" t="n">
        <v>46050</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59924-2025</t>
        </is>
      </c>
      <c r="B1741" s="1" t="n">
        <v>45993.38928240741</v>
      </c>
      <c r="C1741" s="1" t="n">
        <v>46050</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11280-2023</t>
        </is>
      </c>
      <c r="B1742" s="1" t="n">
        <v>44992</v>
      </c>
      <c r="C1742" s="1" t="n">
        <v>46050</v>
      </c>
      <c r="D1742" t="inlineStr">
        <is>
          <t>STOCKHOLMS LÄN</t>
        </is>
      </c>
      <c r="E1742" t="inlineStr">
        <is>
          <t>NORRTÄLJE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59568-2025</t>
        </is>
      </c>
      <c r="B1743" s="1" t="n">
        <v>45991.90737268519</v>
      </c>
      <c r="C1743" s="1" t="n">
        <v>46050</v>
      </c>
      <c r="D1743" t="inlineStr">
        <is>
          <t>STOCKHOLMS LÄN</t>
        </is>
      </c>
      <c r="E1743" t="inlineStr">
        <is>
          <t>HANINGE</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57375-2024</t>
        </is>
      </c>
      <c r="B1744" s="1" t="n">
        <v>45629.67396990741</v>
      </c>
      <c r="C1744" s="1" t="n">
        <v>46050</v>
      </c>
      <c r="D1744" t="inlineStr">
        <is>
          <t>STOCKHOLMS LÄN</t>
        </is>
      </c>
      <c r="E1744" t="inlineStr">
        <is>
          <t>NYNÄSHAMN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68896-2021</t>
        </is>
      </c>
      <c r="B1745" s="1" t="n">
        <v>44526</v>
      </c>
      <c r="C1745" s="1" t="n">
        <v>46050</v>
      </c>
      <c r="D1745" t="inlineStr">
        <is>
          <t>STOCKHOLMS LÄN</t>
        </is>
      </c>
      <c r="E1745" t="inlineStr">
        <is>
          <t>HANINGE</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26668-2024</t>
        </is>
      </c>
      <c r="B1746" s="1" t="n">
        <v>45469</v>
      </c>
      <c r="C1746" s="1" t="n">
        <v>46050</v>
      </c>
      <c r="D1746" t="inlineStr">
        <is>
          <t>STOCKHOLMS LÄN</t>
        </is>
      </c>
      <c r="E1746" t="inlineStr">
        <is>
          <t>NORRTÄLJE</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2116-2026</t>
        </is>
      </c>
      <c r="B1747" s="1" t="n">
        <v>46036.38108796296</v>
      </c>
      <c r="C1747" s="1" t="n">
        <v>46050</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2533-2026</t>
        </is>
      </c>
      <c r="B1748" s="1" t="n">
        <v>46037.44622685185</v>
      </c>
      <c r="C1748" s="1" t="n">
        <v>46050</v>
      </c>
      <c r="D1748" t="inlineStr">
        <is>
          <t>STOCKHOLMS LÄN</t>
        </is>
      </c>
      <c r="E1748" t="inlineStr">
        <is>
          <t>EKERÖ</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54583-2023</t>
        </is>
      </c>
      <c r="B1749" s="1" t="n">
        <v>45233</v>
      </c>
      <c r="C1749" s="1" t="n">
        <v>46050</v>
      </c>
      <c r="D1749" t="inlineStr">
        <is>
          <t>STOCKHOLMS LÄN</t>
        </is>
      </c>
      <c r="E1749" t="inlineStr">
        <is>
          <t>NYKVARN</t>
        </is>
      </c>
      <c r="F1749" t="inlineStr">
        <is>
          <t>Kommuner</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2663-2026</t>
        </is>
      </c>
      <c r="B1750" s="1" t="n">
        <v>46037.64071759259</v>
      </c>
      <c r="C1750" s="1" t="n">
        <v>46050</v>
      </c>
      <c r="D1750" t="inlineStr">
        <is>
          <t>STOCKHOLMS LÄN</t>
        </is>
      </c>
      <c r="E1750" t="inlineStr">
        <is>
          <t>SIGTUNA</t>
        </is>
      </c>
      <c r="G1750" t="n">
        <v>16.7</v>
      </c>
      <c r="H1750" t="n">
        <v>0</v>
      </c>
      <c r="I1750" t="n">
        <v>0</v>
      </c>
      <c r="J1750" t="n">
        <v>0</v>
      </c>
      <c r="K1750" t="n">
        <v>0</v>
      </c>
      <c r="L1750" t="n">
        <v>0</v>
      </c>
      <c r="M1750" t="n">
        <v>0</v>
      </c>
      <c r="N1750" t="n">
        <v>0</v>
      </c>
      <c r="O1750" t="n">
        <v>0</v>
      </c>
      <c r="P1750" t="n">
        <v>0</v>
      </c>
      <c r="Q1750" t="n">
        <v>0</v>
      </c>
      <c r="R1750" s="2" t="inlineStr"/>
    </row>
    <row r="1751" ht="15" customHeight="1">
      <c r="A1751" t="inlineStr">
        <is>
          <t>A 60253-2025</t>
        </is>
      </c>
      <c r="B1751" s="1" t="n">
        <v>45994.59827546297</v>
      </c>
      <c r="C1751" s="1" t="n">
        <v>46050</v>
      </c>
      <c r="D1751" t="inlineStr">
        <is>
          <t>STOCKHOLMS LÄN</t>
        </is>
      </c>
      <c r="E1751" t="inlineStr">
        <is>
          <t>NORRTÄLJE</t>
        </is>
      </c>
      <c r="F1751" t="inlineStr">
        <is>
          <t>Holmen skog AB</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54670-2023</t>
        </is>
      </c>
      <c r="B1752" s="1" t="n">
        <v>45235</v>
      </c>
      <c r="C1752" s="1" t="n">
        <v>46050</v>
      </c>
      <c r="D1752" t="inlineStr">
        <is>
          <t>STOCKHOLMS LÄN</t>
        </is>
      </c>
      <c r="E1752" t="inlineStr">
        <is>
          <t>NYKVARN</t>
        </is>
      </c>
      <c r="F1752" t="inlineStr">
        <is>
          <t>Kommuner</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2535-2026</t>
        </is>
      </c>
      <c r="B1753" s="1" t="n">
        <v>46037.4490625</v>
      </c>
      <c r="C1753" s="1" t="n">
        <v>46050</v>
      </c>
      <c r="D1753" t="inlineStr">
        <is>
          <t>STOCKHOLMS LÄN</t>
        </is>
      </c>
      <c r="E1753" t="inlineStr">
        <is>
          <t>EKERÖ</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35906-2022</t>
        </is>
      </c>
      <c r="B1754" s="1" t="n">
        <v>44802</v>
      </c>
      <c r="C1754" s="1" t="n">
        <v>46050</v>
      </c>
      <c r="D1754" t="inlineStr">
        <is>
          <t>STOCKHOLMS LÄN</t>
        </is>
      </c>
      <c r="E1754" t="inlineStr">
        <is>
          <t>SÖDERTÄLJE</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31926-2022</t>
        </is>
      </c>
      <c r="B1755" s="1" t="n">
        <v>44777</v>
      </c>
      <c r="C1755" s="1" t="n">
        <v>46050</v>
      </c>
      <c r="D1755" t="inlineStr">
        <is>
          <t>STOCKHOLMS LÄN</t>
        </is>
      </c>
      <c r="E1755" t="inlineStr">
        <is>
          <t>NORRTÄLJE</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2675-2026</t>
        </is>
      </c>
      <c r="B1756" s="1" t="n">
        <v>46037.64938657408</v>
      </c>
      <c r="C1756" s="1" t="n">
        <v>46050</v>
      </c>
      <c r="D1756" t="inlineStr">
        <is>
          <t>STOCKHOLMS LÄN</t>
        </is>
      </c>
      <c r="E1756" t="inlineStr">
        <is>
          <t>SIGTUNA</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34450-2021</t>
        </is>
      </c>
      <c r="B1757" s="1" t="n">
        <v>44381</v>
      </c>
      <c r="C1757" s="1" t="n">
        <v>46050</v>
      </c>
      <c r="D1757" t="inlineStr">
        <is>
          <t>STOCKHOLMS LÄN</t>
        </is>
      </c>
      <c r="E1757" t="inlineStr">
        <is>
          <t>SÖDERTÄLJE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47173-2022</t>
        </is>
      </c>
      <c r="B1758" s="1" t="n">
        <v>44852</v>
      </c>
      <c r="C1758" s="1" t="n">
        <v>46050</v>
      </c>
      <c r="D1758" t="inlineStr">
        <is>
          <t>STOCKHOLMS LÄN</t>
        </is>
      </c>
      <c r="E1758" t="inlineStr">
        <is>
          <t>HUDDINGE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6655-2023</t>
        </is>
      </c>
      <c r="B1759" s="1" t="n">
        <v>44966.60668981481</v>
      </c>
      <c r="C1759" s="1" t="n">
        <v>46050</v>
      </c>
      <c r="D1759" t="inlineStr">
        <is>
          <t>STOCKHOLMS LÄN</t>
        </is>
      </c>
      <c r="E1759" t="inlineStr">
        <is>
          <t>ÖSTERÅKER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52815-2023</t>
        </is>
      </c>
      <c r="B1760" s="1" t="n">
        <v>45226</v>
      </c>
      <c r="C1760" s="1" t="n">
        <v>46050</v>
      </c>
      <c r="D1760" t="inlineStr">
        <is>
          <t>STOCKHOLMS LÄN</t>
        </is>
      </c>
      <c r="E1760" t="inlineStr">
        <is>
          <t>SÖDERTÄLJE</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21480-2022</t>
        </is>
      </c>
      <c r="B1761" s="1" t="n">
        <v>44704</v>
      </c>
      <c r="C1761" s="1" t="n">
        <v>46050</v>
      </c>
      <c r="D1761" t="inlineStr">
        <is>
          <t>STOCKHOLMS LÄN</t>
        </is>
      </c>
      <c r="E1761" t="inlineStr">
        <is>
          <t>NORRTÄLJE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11041-2025</t>
        </is>
      </c>
      <c r="B1762" s="1" t="n">
        <v>45723</v>
      </c>
      <c r="C1762" s="1" t="n">
        <v>46050</v>
      </c>
      <c r="D1762" t="inlineStr">
        <is>
          <t>STOCKHOLMS LÄN</t>
        </is>
      </c>
      <c r="E1762" t="inlineStr">
        <is>
          <t>NORRTÄLJE</t>
        </is>
      </c>
      <c r="F1762" t="inlineStr">
        <is>
          <t>Övriga Aktiebolag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9469-2021</t>
        </is>
      </c>
      <c r="B1763" s="1" t="n">
        <v>44251</v>
      </c>
      <c r="C1763" s="1" t="n">
        <v>46050</v>
      </c>
      <c r="D1763" t="inlineStr">
        <is>
          <t>STOCKHOLMS LÄN</t>
        </is>
      </c>
      <c r="E1763" t="inlineStr">
        <is>
          <t>NORRTÄLJE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24024-2024</t>
        </is>
      </c>
      <c r="B1764" s="1" t="n">
        <v>45456</v>
      </c>
      <c r="C1764" s="1" t="n">
        <v>46050</v>
      </c>
      <c r="D1764" t="inlineStr">
        <is>
          <t>STOCKHOLMS LÄN</t>
        </is>
      </c>
      <c r="E1764" t="inlineStr">
        <is>
          <t>NORRTÄLJE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28809-2023</t>
        </is>
      </c>
      <c r="B1765" s="1" t="n">
        <v>45104</v>
      </c>
      <c r="C1765" s="1" t="n">
        <v>46050</v>
      </c>
      <c r="D1765" t="inlineStr">
        <is>
          <t>STOCKHOLMS LÄN</t>
        </is>
      </c>
      <c r="E1765" t="inlineStr">
        <is>
          <t>NORRTÄLJE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28813-2023</t>
        </is>
      </c>
      <c r="B1766" s="1" t="n">
        <v>45104</v>
      </c>
      <c r="C1766" s="1" t="n">
        <v>46050</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40656-2022</t>
        </is>
      </c>
      <c r="B1767" s="1" t="n">
        <v>44824.36069444445</v>
      </c>
      <c r="C1767" s="1" t="n">
        <v>46050</v>
      </c>
      <c r="D1767" t="inlineStr">
        <is>
          <t>STOCKHOLMS LÄN</t>
        </is>
      </c>
      <c r="E1767" t="inlineStr">
        <is>
          <t>NORRTÄLJE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735-2024</t>
        </is>
      </c>
      <c r="B1768" s="1" t="n">
        <v>45300</v>
      </c>
      <c r="C1768" s="1" t="n">
        <v>46050</v>
      </c>
      <c r="D1768" t="inlineStr">
        <is>
          <t>STOCKHOLMS LÄN</t>
        </is>
      </c>
      <c r="E1768" t="inlineStr">
        <is>
          <t>VALLENTUNA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19294-2025</t>
        </is>
      </c>
      <c r="B1769" s="1" t="n">
        <v>45769.56142361111</v>
      </c>
      <c r="C1769" s="1" t="n">
        <v>46050</v>
      </c>
      <c r="D1769" t="inlineStr">
        <is>
          <t>STOCKHOLMS LÄN</t>
        </is>
      </c>
      <c r="E1769" t="inlineStr">
        <is>
          <t>SIGTUNA</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60694-2024</t>
        </is>
      </c>
      <c r="B1770" s="1" t="n">
        <v>45644.47878472223</v>
      </c>
      <c r="C1770" s="1" t="n">
        <v>46050</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12585-2023</t>
        </is>
      </c>
      <c r="B1771" s="1" t="n">
        <v>45000.41373842592</v>
      </c>
      <c r="C1771" s="1" t="n">
        <v>46050</v>
      </c>
      <c r="D1771" t="inlineStr">
        <is>
          <t>STOCKHOLMS LÄN</t>
        </is>
      </c>
      <c r="E1771" t="inlineStr">
        <is>
          <t>VALLENTUNA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34818-2021</t>
        </is>
      </c>
      <c r="B1772" s="1" t="n">
        <v>44383.35518518519</v>
      </c>
      <c r="C1772" s="1" t="n">
        <v>46050</v>
      </c>
      <c r="D1772" t="inlineStr">
        <is>
          <t>STOCKHOLMS LÄN</t>
        </is>
      </c>
      <c r="E1772" t="inlineStr">
        <is>
          <t>NYNÄSHAMN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19311-2025</t>
        </is>
      </c>
      <c r="B1773" s="1" t="n">
        <v>45769.57142361111</v>
      </c>
      <c r="C1773" s="1" t="n">
        <v>46050</v>
      </c>
      <c r="D1773" t="inlineStr">
        <is>
          <t>STOCKHOLMS LÄN</t>
        </is>
      </c>
      <c r="E1773" t="inlineStr">
        <is>
          <t>SIGTUNA</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19450-2025</t>
        </is>
      </c>
      <c r="B1774" s="1" t="n">
        <v>45770</v>
      </c>
      <c r="C1774" s="1" t="n">
        <v>46050</v>
      </c>
      <c r="D1774" t="inlineStr">
        <is>
          <t>STOCKHOLMS LÄN</t>
        </is>
      </c>
      <c r="E1774" t="inlineStr">
        <is>
          <t>NORRTÄLJE</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2542-2026</t>
        </is>
      </c>
      <c r="B1775" s="1" t="n">
        <v>46037.46063657408</v>
      </c>
      <c r="C1775" s="1" t="n">
        <v>46050</v>
      </c>
      <c r="D1775" t="inlineStr">
        <is>
          <t>STOCKHOLMS LÄN</t>
        </is>
      </c>
      <c r="E1775" t="inlineStr">
        <is>
          <t>SÖDERTÄLJE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2628-2026</t>
        </is>
      </c>
      <c r="B1776" s="1" t="n">
        <v>46037.60576388889</v>
      </c>
      <c r="C1776" s="1" t="n">
        <v>46050</v>
      </c>
      <c r="D1776" t="inlineStr">
        <is>
          <t>STOCKHOLMS LÄN</t>
        </is>
      </c>
      <c r="E1776" t="inlineStr">
        <is>
          <t>SIGTUNA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60482-2025</t>
        </is>
      </c>
      <c r="B1777" s="1" t="n">
        <v>45995.59832175926</v>
      </c>
      <c r="C1777" s="1" t="n">
        <v>46050</v>
      </c>
      <c r="D1777" t="inlineStr">
        <is>
          <t>STOCKHOLMS LÄN</t>
        </is>
      </c>
      <c r="E1777" t="inlineStr">
        <is>
          <t>ÖSTERÅKER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40895-2024</t>
        </is>
      </c>
      <c r="B1778" s="1" t="n">
        <v>45558.61607638889</v>
      </c>
      <c r="C1778" s="1" t="n">
        <v>46050</v>
      </c>
      <c r="D1778" t="inlineStr">
        <is>
          <t>STOCKHOLMS LÄN</t>
        </is>
      </c>
      <c r="E1778" t="inlineStr">
        <is>
          <t>NYNÄSHAMN</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60214-2025</t>
        </is>
      </c>
      <c r="B1779" s="1" t="n">
        <v>45994.53761574074</v>
      </c>
      <c r="C1779" s="1" t="n">
        <v>46050</v>
      </c>
      <c r="D1779" t="inlineStr">
        <is>
          <t>STOCKHOLMS LÄN</t>
        </is>
      </c>
      <c r="E1779" t="inlineStr">
        <is>
          <t>NORRTÄLJE</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2685-2026</t>
        </is>
      </c>
      <c r="B1780" s="1" t="n">
        <v>46037.65710648148</v>
      </c>
      <c r="C1780" s="1" t="n">
        <v>46050</v>
      </c>
      <c r="D1780" t="inlineStr">
        <is>
          <t>STOCKHOLMS LÄN</t>
        </is>
      </c>
      <c r="E1780" t="inlineStr">
        <is>
          <t>SÖDERTÄLJE</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2088-2026</t>
        </is>
      </c>
      <c r="B1781" s="1" t="n">
        <v>46036.35909722222</v>
      </c>
      <c r="C1781" s="1" t="n">
        <v>46050</v>
      </c>
      <c r="D1781" t="inlineStr">
        <is>
          <t>STOCKHOLMS LÄN</t>
        </is>
      </c>
      <c r="E1781" t="inlineStr">
        <is>
          <t>NORRTÄLJE</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61217-2024</t>
        </is>
      </c>
      <c r="B1782" s="1" t="n">
        <v>45645.65825231482</v>
      </c>
      <c r="C1782" s="1" t="n">
        <v>46050</v>
      </c>
      <c r="D1782" t="inlineStr">
        <is>
          <t>STOCKHOLMS LÄN</t>
        </is>
      </c>
      <c r="E1782" t="inlineStr">
        <is>
          <t>EKERÖ</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17328-2025</t>
        </is>
      </c>
      <c r="B1783" s="1" t="n">
        <v>45756.64081018518</v>
      </c>
      <c r="C1783" s="1" t="n">
        <v>46050</v>
      </c>
      <c r="D1783" t="inlineStr">
        <is>
          <t>STOCKHOLMS LÄN</t>
        </is>
      </c>
      <c r="E1783" t="inlineStr">
        <is>
          <t>NYKVARN</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60223-2025</t>
        </is>
      </c>
      <c r="B1784" s="1" t="n">
        <v>45994.54497685185</v>
      </c>
      <c r="C1784" s="1" t="n">
        <v>46050</v>
      </c>
      <c r="D1784" t="inlineStr">
        <is>
          <t>STOCKHOLMS LÄN</t>
        </is>
      </c>
      <c r="E1784" t="inlineStr">
        <is>
          <t>NORRTÄLJE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56002-2024</t>
        </is>
      </c>
      <c r="B1785" s="1" t="n">
        <v>45623.7328587963</v>
      </c>
      <c r="C1785" s="1" t="n">
        <v>46050</v>
      </c>
      <c r="D1785" t="inlineStr">
        <is>
          <t>STOCKHOLMS LÄN</t>
        </is>
      </c>
      <c r="E1785" t="inlineStr">
        <is>
          <t>EKERÖ</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9842-2025</t>
        </is>
      </c>
      <c r="B1786" s="1" t="n">
        <v>45716</v>
      </c>
      <c r="C1786" s="1" t="n">
        <v>46050</v>
      </c>
      <c r="D1786" t="inlineStr">
        <is>
          <t>STOCKHOLMS LÄN</t>
        </is>
      </c>
      <c r="E1786" t="inlineStr">
        <is>
          <t>ÖSTERÅKER</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33353-2023</t>
        </is>
      </c>
      <c r="B1787" s="1" t="n">
        <v>45128</v>
      </c>
      <c r="C1787" s="1" t="n">
        <v>46050</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60728-2022</t>
        </is>
      </c>
      <c r="B1788" s="1" t="n">
        <v>44913</v>
      </c>
      <c r="C1788" s="1" t="n">
        <v>46050</v>
      </c>
      <c r="D1788" t="inlineStr">
        <is>
          <t>STOCKHOLMS LÄN</t>
        </is>
      </c>
      <c r="E1788" t="inlineStr">
        <is>
          <t>EKERÖ</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60745-2025</t>
        </is>
      </c>
      <c r="B1789" s="1" t="n">
        <v>45999.37753472223</v>
      </c>
      <c r="C1789" s="1" t="n">
        <v>46050</v>
      </c>
      <c r="D1789" t="inlineStr">
        <is>
          <t>STOCKHOLMS LÄN</t>
        </is>
      </c>
      <c r="E1789" t="inlineStr">
        <is>
          <t>NORRTÄLJE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2170-2023</t>
        </is>
      </c>
      <c r="B1790" s="1" t="n">
        <v>44941</v>
      </c>
      <c r="C1790" s="1" t="n">
        <v>46050</v>
      </c>
      <c r="D1790" t="inlineStr">
        <is>
          <t>STOCKHOLMS LÄN</t>
        </is>
      </c>
      <c r="E1790" t="inlineStr">
        <is>
          <t>NYNÄSHAMN</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21192-2023</t>
        </is>
      </c>
      <c r="B1791" s="1" t="n">
        <v>45062</v>
      </c>
      <c r="C1791" s="1" t="n">
        <v>46050</v>
      </c>
      <c r="D1791" t="inlineStr">
        <is>
          <t>STOCKHOLMS LÄN</t>
        </is>
      </c>
      <c r="E1791" t="inlineStr">
        <is>
          <t>NYNÄSHAMN</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9062-2023</t>
        </is>
      </c>
      <c r="B1792" s="1" t="n">
        <v>44979.72369212963</v>
      </c>
      <c r="C1792" s="1" t="n">
        <v>46050</v>
      </c>
      <c r="D1792" t="inlineStr">
        <is>
          <t>STOCKHOLMS LÄN</t>
        </is>
      </c>
      <c r="E1792" t="inlineStr">
        <is>
          <t>NYNÄSHAMN</t>
        </is>
      </c>
      <c r="F1792" t="inlineStr">
        <is>
          <t>Kommuner</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3966-2024</t>
        </is>
      </c>
      <c r="B1793" s="1" t="n">
        <v>45322</v>
      </c>
      <c r="C1793" s="1" t="n">
        <v>46050</v>
      </c>
      <c r="D1793" t="inlineStr">
        <is>
          <t>STOCKHOLMS LÄN</t>
        </is>
      </c>
      <c r="E1793" t="inlineStr">
        <is>
          <t>NORRTÄLJE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60649-2025</t>
        </is>
      </c>
      <c r="B1794" s="1" t="n">
        <v>45996.4560300926</v>
      </c>
      <c r="C1794" s="1" t="n">
        <v>46050</v>
      </c>
      <c r="D1794" t="inlineStr">
        <is>
          <t>STOCKHOLMS LÄN</t>
        </is>
      </c>
      <c r="E1794" t="inlineStr">
        <is>
          <t>NORRTÄLJE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60948-2025</t>
        </is>
      </c>
      <c r="B1795" s="1" t="n">
        <v>45999.650625</v>
      </c>
      <c r="C1795" s="1" t="n">
        <v>46050</v>
      </c>
      <c r="D1795" t="inlineStr">
        <is>
          <t>STOCKHOLMS LÄN</t>
        </is>
      </c>
      <c r="E1795" t="inlineStr">
        <is>
          <t>NORRTÄLJE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3334-2026</t>
        </is>
      </c>
      <c r="B1796" s="1" t="n">
        <v>46041.78353009259</v>
      </c>
      <c r="C1796" s="1" t="n">
        <v>46050</v>
      </c>
      <c r="D1796" t="inlineStr">
        <is>
          <t>STOCKHOLMS LÄN</t>
        </is>
      </c>
      <c r="E1796" t="inlineStr">
        <is>
          <t>SÖDERTÄLJE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1789-2026</t>
        </is>
      </c>
      <c r="B1797" s="1" t="n">
        <v>46034</v>
      </c>
      <c r="C1797" s="1" t="n">
        <v>46050</v>
      </c>
      <c r="D1797" t="inlineStr">
        <is>
          <t>STOCKHOLMS LÄN</t>
        </is>
      </c>
      <c r="E1797" t="inlineStr">
        <is>
          <t>NORRTÄLJE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3152-2026</t>
        </is>
      </c>
      <c r="B1798" s="1" t="n">
        <v>46041.42630787037</v>
      </c>
      <c r="C1798" s="1" t="n">
        <v>46050</v>
      </c>
      <c r="D1798" t="inlineStr">
        <is>
          <t>STOCKHOLMS LÄN</t>
        </is>
      </c>
      <c r="E1798" t="inlineStr">
        <is>
          <t>SÖDERTÄLJE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60897-2025</t>
        </is>
      </c>
      <c r="B1799" s="1" t="n">
        <v>45999.58038194444</v>
      </c>
      <c r="C1799" s="1" t="n">
        <v>46050</v>
      </c>
      <c r="D1799" t="inlineStr">
        <is>
          <t>STOCKHOLMS LÄN</t>
        </is>
      </c>
      <c r="E1799" t="inlineStr">
        <is>
          <t>SÖDERTÄLJE</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23262-2023</t>
        </is>
      </c>
      <c r="B1800" s="1" t="n">
        <v>45075.90270833333</v>
      </c>
      <c r="C1800" s="1" t="n">
        <v>46050</v>
      </c>
      <c r="D1800" t="inlineStr">
        <is>
          <t>STOCKHOLMS LÄN</t>
        </is>
      </c>
      <c r="E1800" t="inlineStr">
        <is>
          <t>NORRTÄLJE</t>
        </is>
      </c>
      <c r="F1800" t="inlineStr">
        <is>
          <t>Kommuner</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23268-2023</t>
        </is>
      </c>
      <c r="B1801" s="1" t="n">
        <v>45075.91042824074</v>
      </c>
      <c r="C1801" s="1" t="n">
        <v>46050</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23270-2023</t>
        </is>
      </c>
      <c r="B1802" s="1" t="n">
        <v>45075.91265046296</v>
      </c>
      <c r="C1802" s="1" t="n">
        <v>46050</v>
      </c>
      <c r="D1802" t="inlineStr">
        <is>
          <t>STOCKHOLMS LÄN</t>
        </is>
      </c>
      <c r="E1802" t="inlineStr">
        <is>
          <t>NORRTÄLJE</t>
        </is>
      </c>
      <c r="G1802" t="n">
        <v>12.3</v>
      </c>
      <c r="H1802" t="n">
        <v>0</v>
      </c>
      <c r="I1802" t="n">
        <v>0</v>
      </c>
      <c r="J1802" t="n">
        <v>0</v>
      </c>
      <c r="K1802" t="n">
        <v>0</v>
      </c>
      <c r="L1802" t="n">
        <v>0</v>
      </c>
      <c r="M1802" t="n">
        <v>0</v>
      </c>
      <c r="N1802" t="n">
        <v>0</v>
      </c>
      <c r="O1802" t="n">
        <v>0</v>
      </c>
      <c r="P1802" t="n">
        <v>0</v>
      </c>
      <c r="Q1802" t="n">
        <v>0</v>
      </c>
      <c r="R1802" s="2" t="inlineStr"/>
    </row>
    <row r="1803" ht="15" customHeight="1">
      <c r="A1803" t="inlineStr">
        <is>
          <t>A 23274-2023</t>
        </is>
      </c>
      <c r="B1803" s="1" t="n">
        <v>45075.92153935185</v>
      </c>
      <c r="C1803" s="1" t="n">
        <v>46050</v>
      </c>
      <c r="D1803" t="inlineStr">
        <is>
          <t>STOCKHOLMS LÄN</t>
        </is>
      </c>
      <c r="E1803" t="inlineStr">
        <is>
          <t>NORRTÄLJE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60928-2025</t>
        </is>
      </c>
      <c r="B1804" s="1" t="n">
        <v>45999.633125</v>
      </c>
      <c r="C1804" s="1" t="n">
        <v>46050</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17843-2024</t>
        </is>
      </c>
      <c r="B1805" s="1" t="n">
        <v>45418</v>
      </c>
      <c r="C1805" s="1" t="n">
        <v>46050</v>
      </c>
      <c r="D1805" t="inlineStr">
        <is>
          <t>STOCKHOLMS LÄN</t>
        </is>
      </c>
      <c r="E1805" t="inlineStr">
        <is>
          <t>NORRTÄLJE</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25175-2023</t>
        </is>
      </c>
      <c r="B1806" s="1" t="n">
        <v>45086</v>
      </c>
      <c r="C1806" s="1" t="n">
        <v>46050</v>
      </c>
      <c r="D1806" t="inlineStr">
        <is>
          <t>STOCKHOLMS LÄN</t>
        </is>
      </c>
      <c r="E1806" t="inlineStr">
        <is>
          <t>NYNÄSHAMN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26636-2023</t>
        </is>
      </c>
      <c r="B1807" s="1" t="n">
        <v>45092</v>
      </c>
      <c r="C1807" s="1" t="n">
        <v>46050</v>
      </c>
      <c r="D1807" t="inlineStr">
        <is>
          <t>STOCKHOLMS LÄN</t>
        </is>
      </c>
      <c r="E1807" t="inlineStr">
        <is>
          <t>NORRTÄLJE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26637-2023</t>
        </is>
      </c>
      <c r="B1808" s="1" t="n">
        <v>45092</v>
      </c>
      <c r="C1808" s="1" t="n">
        <v>46050</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56639-2023</t>
        </is>
      </c>
      <c r="B1809" s="1" t="n">
        <v>45243.72300925926</v>
      </c>
      <c r="C1809" s="1" t="n">
        <v>46050</v>
      </c>
      <c r="D1809" t="inlineStr">
        <is>
          <t>STOCKHOLMS LÄN</t>
        </is>
      </c>
      <c r="E1809" t="inlineStr">
        <is>
          <t>NYKVARN</t>
        </is>
      </c>
      <c r="F1809" t="inlineStr">
        <is>
          <t>Kommuner</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3933-2026</t>
        </is>
      </c>
      <c r="B1810" s="1" t="n">
        <v>46043.79916666666</v>
      </c>
      <c r="C1810" s="1" t="n">
        <v>46050</v>
      </c>
      <c r="D1810" t="inlineStr">
        <is>
          <t>STOCKHOLMS LÄN</t>
        </is>
      </c>
      <c r="E1810" t="inlineStr">
        <is>
          <t>NORRTÄLJE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60635-2024</t>
        </is>
      </c>
      <c r="B1811" s="1" t="n">
        <v>45644.41744212963</v>
      </c>
      <c r="C1811" s="1" t="n">
        <v>46050</v>
      </c>
      <c r="D1811" t="inlineStr">
        <is>
          <t>STOCKHOLMS LÄN</t>
        </is>
      </c>
      <c r="E1811" t="inlineStr">
        <is>
          <t>SÖDERTÄLJE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8077-2022</t>
        </is>
      </c>
      <c r="B1812" s="1" t="n">
        <v>44609</v>
      </c>
      <c r="C1812" s="1" t="n">
        <v>46050</v>
      </c>
      <c r="D1812" t="inlineStr">
        <is>
          <t>STOCKHOLMS LÄN</t>
        </is>
      </c>
      <c r="E1812" t="inlineStr">
        <is>
          <t>VALLENTUNA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72704-2021</t>
        </is>
      </c>
      <c r="B1813" s="1" t="n">
        <v>44546</v>
      </c>
      <c r="C1813" s="1" t="n">
        <v>46050</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60731-2025</t>
        </is>
      </c>
      <c r="B1814" s="1" t="n">
        <v>45995</v>
      </c>
      <c r="C1814" s="1" t="n">
        <v>46050</v>
      </c>
      <c r="D1814" t="inlineStr">
        <is>
          <t>STOCKHOLMS LÄN</t>
        </is>
      </c>
      <c r="E1814" t="inlineStr">
        <is>
          <t>SALEM</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52743-2024</t>
        </is>
      </c>
      <c r="B1815" s="1" t="n">
        <v>45610.47414351852</v>
      </c>
      <c r="C1815" s="1" t="n">
        <v>46050</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16852-2024</t>
        </is>
      </c>
      <c r="B1816" s="1" t="n">
        <v>45411.54768518519</v>
      </c>
      <c r="C1816" s="1" t="n">
        <v>46050</v>
      </c>
      <c r="D1816" t="inlineStr">
        <is>
          <t>STOCKHOLMS LÄN</t>
        </is>
      </c>
      <c r="E1816" t="inlineStr">
        <is>
          <t>NORRTÄLJE</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44206-2024</t>
        </is>
      </c>
      <c r="B1817" s="1" t="n">
        <v>45573</v>
      </c>
      <c r="C1817" s="1" t="n">
        <v>46050</v>
      </c>
      <c r="D1817" t="inlineStr">
        <is>
          <t>STOCKHOLMS LÄN</t>
        </is>
      </c>
      <c r="E1817" t="inlineStr">
        <is>
          <t>NYNÄSHAMN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61160-2025</t>
        </is>
      </c>
      <c r="B1818" s="1" t="n">
        <v>46000.55262731481</v>
      </c>
      <c r="C1818" s="1" t="n">
        <v>46050</v>
      </c>
      <c r="D1818" t="inlineStr">
        <is>
          <t>STOCKHOLMS LÄN</t>
        </is>
      </c>
      <c r="E1818" t="inlineStr">
        <is>
          <t>NORRTÄLJE</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60733-2025</t>
        </is>
      </c>
      <c r="B1819" s="1" t="n">
        <v>45995</v>
      </c>
      <c r="C1819" s="1" t="n">
        <v>46050</v>
      </c>
      <c r="D1819" t="inlineStr">
        <is>
          <t>STOCKHOLMS LÄN</t>
        </is>
      </c>
      <c r="E1819" t="inlineStr">
        <is>
          <t>SALEM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56909-2024</t>
        </is>
      </c>
      <c r="B1820" s="1" t="n">
        <v>45628.59060185185</v>
      </c>
      <c r="C1820" s="1" t="n">
        <v>46050</v>
      </c>
      <c r="D1820" t="inlineStr">
        <is>
          <t>STOCKHOLMS LÄN</t>
        </is>
      </c>
      <c r="E1820" t="inlineStr">
        <is>
          <t>ÖSTERÅKER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10935-2025</t>
        </is>
      </c>
      <c r="B1821" s="1" t="n">
        <v>45722</v>
      </c>
      <c r="C1821" s="1" t="n">
        <v>46050</v>
      </c>
      <c r="D1821" t="inlineStr">
        <is>
          <t>STOCKHOLMS LÄN</t>
        </is>
      </c>
      <c r="E1821" t="inlineStr">
        <is>
          <t>UPPLANDS-BRO</t>
        </is>
      </c>
      <c r="F1821" t="inlineStr">
        <is>
          <t>Allmännings- och besparingsskogar</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33246-2021</t>
        </is>
      </c>
      <c r="B1822" s="1" t="n">
        <v>44377</v>
      </c>
      <c r="C1822" s="1" t="n">
        <v>46050</v>
      </c>
      <c r="D1822" t="inlineStr">
        <is>
          <t>STOCKHOLMS LÄN</t>
        </is>
      </c>
      <c r="E1822" t="inlineStr">
        <is>
          <t>SALEM</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61419-2025</t>
        </is>
      </c>
      <c r="B1823" s="1" t="n">
        <v>46001.54137731482</v>
      </c>
      <c r="C1823" s="1" t="n">
        <v>46050</v>
      </c>
      <c r="D1823" t="inlineStr">
        <is>
          <t>STOCKHOLMS LÄN</t>
        </is>
      </c>
      <c r="E1823" t="inlineStr">
        <is>
          <t>NORRTÄLJE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61430-2025</t>
        </is>
      </c>
      <c r="B1824" s="1" t="n">
        <v>46001.55583333333</v>
      </c>
      <c r="C1824" s="1" t="n">
        <v>46050</v>
      </c>
      <c r="D1824" t="inlineStr">
        <is>
          <t>STOCKHOLMS LÄN</t>
        </is>
      </c>
      <c r="E1824" t="inlineStr">
        <is>
          <t>NORRTÄLJE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60935-2023</t>
        </is>
      </c>
      <c r="B1825" s="1" t="n">
        <v>45261</v>
      </c>
      <c r="C1825" s="1" t="n">
        <v>46050</v>
      </c>
      <c r="D1825" t="inlineStr">
        <is>
          <t>STOCKHOLMS LÄN</t>
        </is>
      </c>
      <c r="E1825" t="inlineStr">
        <is>
          <t>SIGTUNA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55755-2023</t>
        </is>
      </c>
      <c r="B1826" s="1" t="n">
        <v>45239</v>
      </c>
      <c r="C1826" s="1" t="n">
        <v>46050</v>
      </c>
      <c r="D1826" t="inlineStr">
        <is>
          <t>STOCKHOLMS LÄN</t>
        </is>
      </c>
      <c r="E1826" t="inlineStr">
        <is>
          <t>NORRTÄLJE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47140-2024</t>
        </is>
      </c>
      <c r="B1827" s="1" t="n">
        <v>45586.58753472222</v>
      </c>
      <c r="C1827" s="1" t="n">
        <v>46050</v>
      </c>
      <c r="D1827" t="inlineStr">
        <is>
          <t>STOCKHOLMS LÄN</t>
        </is>
      </c>
      <c r="E1827" t="inlineStr">
        <is>
          <t>VALLENTUNA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3549-2026</t>
        </is>
      </c>
      <c r="B1828" s="1" t="n">
        <v>46042.64372685185</v>
      </c>
      <c r="C1828" s="1" t="n">
        <v>46050</v>
      </c>
      <c r="D1828" t="inlineStr">
        <is>
          <t>STOCKHOLMS LÄN</t>
        </is>
      </c>
      <c r="E1828" t="inlineStr">
        <is>
          <t>NORRTÄLJE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3596-2026</t>
        </is>
      </c>
      <c r="B1829" s="1" t="n">
        <v>46042</v>
      </c>
      <c r="C1829" s="1" t="n">
        <v>46050</v>
      </c>
      <c r="D1829" t="inlineStr">
        <is>
          <t>STOCKHOLMS LÄN</t>
        </is>
      </c>
      <c r="E1829" t="inlineStr">
        <is>
          <t>UPPLANDS-BRO</t>
        </is>
      </c>
      <c r="F1829" t="inlineStr">
        <is>
          <t>Övriga statliga verk och myndigheter</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61452-2025</t>
        </is>
      </c>
      <c r="B1830" s="1" t="n">
        <v>46001.58043981482</v>
      </c>
      <c r="C1830" s="1" t="n">
        <v>46050</v>
      </c>
      <c r="D1830" t="inlineStr">
        <is>
          <t>STOCKHOLMS LÄN</t>
        </is>
      </c>
      <c r="E1830" t="inlineStr">
        <is>
          <t>NORRTÄLJE</t>
        </is>
      </c>
      <c r="F1830" t="inlineStr">
        <is>
          <t>Holmen skog AB</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17348-2024</t>
        </is>
      </c>
      <c r="B1831" s="1" t="n">
        <v>45414.58650462963</v>
      </c>
      <c r="C1831" s="1" t="n">
        <v>46050</v>
      </c>
      <c r="D1831" t="inlineStr">
        <is>
          <t>STOCKHOLMS LÄN</t>
        </is>
      </c>
      <c r="E1831" t="inlineStr">
        <is>
          <t>NORRTÄLJE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32011-2023</t>
        </is>
      </c>
      <c r="B1832" s="1" t="n">
        <v>45119</v>
      </c>
      <c r="C1832" s="1" t="n">
        <v>46050</v>
      </c>
      <c r="D1832" t="inlineStr">
        <is>
          <t>STOCKHOLMS LÄN</t>
        </is>
      </c>
      <c r="E1832" t="inlineStr">
        <is>
          <t>NYNÄSHAMN</t>
        </is>
      </c>
      <c r="F1832" t="inlineStr">
        <is>
          <t>Kommuner</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61289-2025</t>
        </is>
      </c>
      <c r="B1833" s="1" t="n">
        <v>46000.73659722223</v>
      </c>
      <c r="C1833" s="1" t="n">
        <v>46050</v>
      </c>
      <c r="D1833" t="inlineStr">
        <is>
          <t>STOCKHOLMS LÄN</t>
        </is>
      </c>
      <c r="E1833" t="inlineStr">
        <is>
          <t>NORRTÄLJE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5264-2023</t>
        </is>
      </c>
      <c r="B1834" s="1" t="n">
        <v>44959</v>
      </c>
      <c r="C1834" s="1" t="n">
        <v>46050</v>
      </c>
      <c r="D1834" t="inlineStr">
        <is>
          <t>STOCKHOLMS LÄN</t>
        </is>
      </c>
      <c r="E1834" t="inlineStr">
        <is>
          <t>UPPLANDS-BRO</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61769-2025</t>
        </is>
      </c>
      <c r="B1835" s="1" t="n">
        <v>46002.64556712963</v>
      </c>
      <c r="C1835" s="1" t="n">
        <v>46050</v>
      </c>
      <c r="D1835" t="inlineStr">
        <is>
          <t>STOCKHOLMS LÄN</t>
        </is>
      </c>
      <c r="E1835" t="inlineStr">
        <is>
          <t>NORRTÄLJE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63400-2023</t>
        </is>
      </c>
      <c r="B1836" s="1" t="n">
        <v>45274</v>
      </c>
      <c r="C1836" s="1" t="n">
        <v>46050</v>
      </c>
      <c r="D1836" t="inlineStr">
        <is>
          <t>STOCKHOLMS LÄN</t>
        </is>
      </c>
      <c r="E1836" t="inlineStr">
        <is>
          <t>NYKVARN</t>
        </is>
      </c>
      <c r="F1836" t="inlineStr">
        <is>
          <t>Kommuner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63463-2023</t>
        </is>
      </c>
      <c r="B1837" s="1" t="n">
        <v>45274</v>
      </c>
      <c r="C1837" s="1" t="n">
        <v>46050</v>
      </c>
      <c r="D1837" t="inlineStr">
        <is>
          <t>STOCKHOLMS LÄN</t>
        </is>
      </c>
      <c r="E1837" t="inlineStr">
        <is>
          <t>NYNÄSHAMN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61735-2025</t>
        </is>
      </c>
      <c r="B1838" s="1" t="n">
        <v>46002.594375</v>
      </c>
      <c r="C1838" s="1" t="n">
        <v>46050</v>
      </c>
      <c r="D1838" t="inlineStr">
        <is>
          <t>STOCKHOLMS LÄN</t>
        </is>
      </c>
      <c r="E1838" t="inlineStr">
        <is>
          <t>SÖDERTÄLJE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13089-2022</t>
        </is>
      </c>
      <c r="B1839" s="1" t="n">
        <v>44643</v>
      </c>
      <c r="C1839" s="1" t="n">
        <v>46050</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4235-2026</t>
        </is>
      </c>
      <c r="B1840" s="1" t="n">
        <v>46044.89895833333</v>
      </c>
      <c r="C1840" s="1" t="n">
        <v>46050</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48145-2024</t>
        </is>
      </c>
      <c r="B1841" s="1" t="n">
        <v>45589.6756712963</v>
      </c>
      <c r="C1841" s="1" t="n">
        <v>46050</v>
      </c>
      <c r="D1841" t="inlineStr">
        <is>
          <t>STOCKHOLMS LÄN</t>
        </is>
      </c>
      <c r="E1841" t="inlineStr">
        <is>
          <t>NORRTÄLJE</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39610-2025</t>
        </is>
      </c>
      <c r="B1842" s="1" t="n">
        <v>45890</v>
      </c>
      <c r="C1842" s="1" t="n">
        <v>46050</v>
      </c>
      <c r="D1842" t="inlineStr">
        <is>
          <t>STOCKHOLMS LÄN</t>
        </is>
      </c>
      <c r="E1842" t="inlineStr">
        <is>
          <t>NORRTÄLJE</t>
        </is>
      </c>
      <c r="G1842" t="n">
        <v>28.6</v>
      </c>
      <c r="H1842" t="n">
        <v>0</v>
      </c>
      <c r="I1842" t="n">
        <v>0</v>
      </c>
      <c r="J1842" t="n">
        <v>0</v>
      </c>
      <c r="K1842" t="n">
        <v>0</v>
      </c>
      <c r="L1842" t="n">
        <v>0</v>
      </c>
      <c r="M1842" t="n">
        <v>0</v>
      </c>
      <c r="N1842" t="n">
        <v>0</v>
      </c>
      <c r="O1842" t="n">
        <v>0</v>
      </c>
      <c r="P1842" t="n">
        <v>0</v>
      </c>
      <c r="Q1842" t="n">
        <v>0</v>
      </c>
      <c r="R1842" s="2" t="inlineStr"/>
    </row>
    <row r="1843" ht="15" customHeight="1">
      <c r="A1843" t="inlineStr">
        <is>
          <t>A 32420-2023</t>
        </is>
      </c>
      <c r="B1843" s="1" t="n">
        <v>45110</v>
      </c>
      <c r="C1843" s="1" t="n">
        <v>46050</v>
      </c>
      <c r="D1843" t="inlineStr">
        <is>
          <t>STOCKHOLMS LÄN</t>
        </is>
      </c>
      <c r="E1843" t="inlineStr">
        <is>
          <t>SIGTUNA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32426-2023</t>
        </is>
      </c>
      <c r="B1844" s="1" t="n">
        <v>45110</v>
      </c>
      <c r="C1844" s="1" t="n">
        <v>46050</v>
      </c>
      <c r="D1844" t="inlineStr">
        <is>
          <t>STOCKHOLMS LÄN</t>
        </is>
      </c>
      <c r="E1844" t="inlineStr">
        <is>
          <t>SIGTUNA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23998-2024</t>
        </is>
      </c>
      <c r="B1845" s="1" t="n">
        <v>45456</v>
      </c>
      <c r="C1845" s="1" t="n">
        <v>46050</v>
      </c>
      <c r="D1845" t="inlineStr">
        <is>
          <t>STOCKHOLMS LÄN</t>
        </is>
      </c>
      <c r="E1845" t="inlineStr">
        <is>
          <t>NORRTÄLJE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15460-2025</t>
        </is>
      </c>
      <c r="B1846" s="1" t="n">
        <v>45747.51049768519</v>
      </c>
      <c r="C1846" s="1" t="n">
        <v>46050</v>
      </c>
      <c r="D1846" t="inlineStr">
        <is>
          <t>STOCKHOLMS LÄN</t>
        </is>
      </c>
      <c r="E1846" t="inlineStr">
        <is>
          <t>NYNÄSHAMN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6648-2023</t>
        </is>
      </c>
      <c r="B1847" s="1" t="n">
        <v>44966</v>
      </c>
      <c r="C1847" s="1" t="n">
        <v>46050</v>
      </c>
      <c r="D1847" t="inlineStr">
        <is>
          <t>STOCKHOLMS LÄN</t>
        </is>
      </c>
      <c r="E1847" t="inlineStr">
        <is>
          <t>HANINGE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61764-2025</t>
        </is>
      </c>
      <c r="B1848" s="1" t="n">
        <v>46002.62763888889</v>
      </c>
      <c r="C1848" s="1" t="n">
        <v>46050</v>
      </c>
      <c r="D1848" t="inlineStr">
        <is>
          <t>STOCKHOLMS LÄN</t>
        </is>
      </c>
      <c r="E1848" t="inlineStr">
        <is>
          <t>NORRTÄLJE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15447-2023</t>
        </is>
      </c>
      <c r="B1849" s="1" t="n">
        <v>45020</v>
      </c>
      <c r="C1849" s="1" t="n">
        <v>46050</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15428-2021</t>
        </is>
      </c>
      <c r="B1850" s="1" t="n">
        <v>44285</v>
      </c>
      <c r="C1850" s="1" t="n">
        <v>46050</v>
      </c>
      <c r="D1850" t="inlineStr">
        <is>
          <t>STOCKHOLMS LÄN</t>
        </is>
      </c>
      <c r="E1850" t="inlineStr">
        <is>
          <t>SIGTUNA</t>
        </is>
      </c>
      <c r="F1850" t="inlineStr">
        <is>
          <t>Sveaskog</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4232-2026</t>
        </is>
      </c>
      <c r="B1851" s="1" t="n">
        <v>46044.89594907407</v>
      </c>
      <c r="C1851" s="1" t="n">
        <v>46050</v>
      </c>
      <c r="D1851" t="inlineStr">
        <is>
          <t>STOCKHOLMS LÄN</t>
        </is>
      </c>
      <c r="E1851" t="inlineStr">
        <is>
          <t>NORRTÄLJE</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3673-2026</t>
        </is>
      </c>
      <c r="B1852" s="1" t="n">
        <v>46043</v>
      </c>
      <c r="C1852" s="1" t="n">
        <v>46050</v>
      </c>
      <c r="D1852" t="inlineStr">
        <is>
          <t>STOCKHOLMS LÄN</t>
        </is>
      </c>
      <c r="E1852" t="inlineStr">
        <is>
          <t>SIGTUNA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62831-2025</t>
        </is>
      </c>
      <c r="B1853" s="1" t="n">
        <v>46008</v>
      </c>
      <c r="C1853" s="1" t="n">
        <v>46050</v>
      </c>
      <c r="D1853" t="inlineStr">
        <is>
          <t>STOCKHOLMS LÄN</t>
        </is>
      </c>
      <c r="E1853" t="inlineStr">
        <is>
          <t>ÖSTERÅKER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48656-2022</t>
        </is>
      </c>
      <c r="B1854" s="1" t="n">
        <v>44859.43993055556</v>
      </c>
      <c r="C1854" s="1" t="n">
        <v>46050</v>
      </c>
      <c r="D1854" t="inlineStr">
        <is>
          <t>STOCKHOLMS LÄN</t>
        </is>
      </c>
      <c r="E1854" t="inlineStr">
        <is>
          <t>BOTKYRKA</t>
        </is>
      </c>
      <c r="F1854" t="inlineStr">
        <is>
          <t>Övriga Aktiebolag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2229-2023</t>
        </is>
      </c>
      <c r="B1855" s="1" t="n">
        <v>44939</v>
      </c>
      <c r="C1855" s="1" t="n">
        <v>46050</v>
      </c>
      <c r="D1855" t="inlineStr">
        <is>
          <t>STOCKHOLMS LÄN</t>
        </is>
      </c>
      <c r="E1855" t="inlineStr">
        <is>
          <t>VAXHOLM</t>
        </is>
      </c>
      <c r="F1855" t="inlineStr">
        <is>
          <t>Övriga statliga verk och myndigheter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20346-2025</t>
        </is>
      </c>
      <c r="B1856" s="1" t="n">
        <v>45775.38138888889</v>
      </c>
      <c r="C1856" s="1" t="n">
        <v>46050</v>
      </c>
      <c r="D1856" t="inlineStr">
        <is>
          <t>STOCKHOLMS LÄN</t>
        </is>
      </c>
      <c r="E1856" t="inlineStr">
        <is>
          <t>VÄRMDÖ</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38194-2022</t>
        </is>
      </c>
      <c r="B1857" s="1" t="n">
        <v>44812</v>
      </c>
      <c r="C1857" s="1" t="n">
        <v>46050</v>
      </c>
      <c r="D1857" t="inlineStr">
        <is>
          <t>STOCKHOLMS LÄN</t>
        </is>
      </c>
      <c r="E1857" t="inlineStr">
        <is>
          <t>BOTKYRKA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54358-2022</t>
        </is>
      </c>
      <c r="B1858" s="1" t="n">
        <v>44882</v>
      </c>
      <c r="C1858" s="1" t="n">
        <v>46050</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61646-2025</t>
        </is>
      </c>
      <c r="B1859" s="1" t="n">
        <v>46002</v>
      </c>
      <c r="C1859" s="1" t="n">
        <v>46050</v>
      </c>
      <c r="D1859" t="inlineStr">
        <is>
          <t>STOCKHOLMS LÄN</t>
        </is>
      </c>
      <c r="E1859" t="inlineStr">
        <is>
          <t>VALLENTUNA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33667-2022</t>
        </is>
      </c>
      <c r="B1860" s="1" t="n">
        <v>44789</v>
      </c>
      <c r="C1860" s="1" t="n">
        <v>46050</v>
      </c>
      <c r="D1860" t="inlineStr">
        <is>
          <t>STOCKHOLMS LÄN</t>
        </is>
      </c>
      <c r="E1860" t="inlineStr">
        <is>
          <t>NYNÄSHAMN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23263-2023</t>
        </is>
      </c>
      <c r="B1861" s="1" t="n">
        <v>45075</v>
      </c>
      <c r="C1861" s="1" t="n">
        <v>46050</v>
      </c>
      <c r="D1861" t="inlineStr">
        <is>
          <t>STOCKHOLMS LÄN</t>
        </is>
      </c>
      <c r="E1861" t="inlineStr">
        <is>
          <t>NORRTÄLJE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23264-2023</t>
        </is>
      </c>
      <c r="B1862" s="1" t="n">
        <v>45075</v>
      </c>
      <c r="C1862" s="1" t="n">
        <v>46050</v>
      </c>
      <c r="D1862" t="inlineStr">
        <is>
          <t>STOCKHOLMS LÄN</t>
        </is>
      </c>
      <c r="E1862" t="inlineStr">
        <is>
          <t>NORRTÄLJE</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23267-2023</t>
        </is>
      </c>
      <c r="B1863" s="1" t="n">
        <v>45075.90934027778</v>
      </c>
      <c r="C1863" s="1" t="n">
        <v>46050</v>
      </c>
      <c r="D1863" t="inlineStr">
        <is>
          <t>STOCKHOLMS LÄN</t>
        </is>
      </c>
      <c r="E1863" t="inlineStr">
        <is>
          <t>NORRTÄLJE</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23269-2023</t>
        </is>
      </c>
      <c r="B1864" s="1" t="n">
        <v>45075.91148148148</v>
      </c>
      <c r="C1864" s="1" t="n">
        <v>46050</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19911-2025</t>
        </is>
      </c>
      <c r="B1865" s="1" t="n">
        <v>45771</v>
      </c>
      <c r="C1865" s="1" t="n">
        <v>46050</v>
      </c>
      <c r="D1865" t="inlineStr">
        <is>
          <t>STOCKHOLMS LÄN</t>
        </is>
      </c>
      <c r="E1865" t="inlineStr">
        <is>
          <t>NORRTÄLJE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4231-2026</t>
        </is>
      </c>
      <c r="B1866" s="1" t="n">
        <v>46044.89506944444</v>
      </c>
      <c r="C1866" s="1" t="n">
        <v>46050</v>
      </c>
      <c r="D1866" t="inlineStr">
        <is>
          <t>STOCKHOLMS LÄN</t>
        </is>
      </c>
      <c r="E1866" t="inlineStr">
        <is>
          <t>NORRTÄLJE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4227-2026</t>
        </is>
      </c>
      <c r="B1867" s="1" t="n">
        <v>46044.87450231481</v>
      </c>
      <c r="C1867" s="1" t="n">
        <v>46050</v>
      </c>
      <c r="D1867" t="inlineStr">
        <is>
          <t>STOCKHOLMS LÄN</t>
        </is>
      </c>
      <c r="E1867" t="inlineStr">
        <is>
          <t>NORRTÄLJE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4230-2026</t>
        </is>
      </c>
      <c r="B1868" s="1" t="n">
        <v>46044.89366898148</v>
      </c>
      <c r="C1868" s="1" t="n">
        <v>46050</v>
      </c>
      <c r="D1868" t="inlineStr">
        <is>
          <t>STOCKHOLMS LÄN</t>
        </is>
      </c>
      <c r="E1868" t="inlineStr">
        <is>
          <t>NORRTÄLJE</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5831-2022</t>
        </is>
      </c>
      <c r="B1869" s="1" t="n">
        <v>44596</v>
      </c>
      <c r="C1869" s="1" t="n">
        <v>46050</v>
      </c>
      <c r="D1869" t="inlineStr">
        <is>
          <t>STOCKHOLMS LÄN</t>
        </is>
      </c>
      <c r="E1869" t="inlineStr">
        <is>
          <t>NORRTÄLJE</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5867-2022</t>
        </is>
      </c>
      <c r="B1870" s="1" t="n">
        <v>44596.66335648148</v>
      </c>
      <c r="C1870" s="1" t="n">
        <v>46050</v>
      </c>
      <c r="D1870" t="inlineStr">
        <is>
          <t>STOCKHOLMS LÄN</t>
        </is>
      </c>
      <c r="E1870" t="inlineStr">
        <is>
          <t>NORRTÄLJE</t>
        </is>
      </c>
      <c r="F1870" t="inlineStr">
        <is>
          <t>Naturvårdsverket</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62878-2023</t>
        </is>
      </c>
      <c r="B1871" s="1" t="n">
        <v>45272</v>
      </c>
      <c r="C1871" s="1" t="n">
        <v>46050</v>
      </c>
      <c r="D1871" t="inlineStr">
        <is>
          <t>STOCKHOLMS LÄN</t>
        </is>
      </c>
      <c r="E1871" t="inlineStr">
        <is>
          <t>NYNÄSHAMN</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61781-2025</t>
        </is>
      </c>
      <c r="B1872" s="1" t="n">
        <v>46002</v>
      </c>
      <c r="C1872" s="1" t="n">
        <v>46050</v>
      </c>
      <c r="D1872" t="inlineStr">
        <is>
          <t>STOCKHOLMS LÄN</t>
        </is>
      </c>
      <c r="E1872" t="inlineStr">
        <is>
          <t>ÖSTERÅKER</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20244-2025</t>
        </is>
      </c>
      <c r="B1873" s="1" t="n">
        <v>45772.71221064815</v>
      </c>
      <c r="C1873" s="1" t="n">
        <v>46050</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48633-2023</t>
        </is>
      </c>
      <c r="B1874" s="1" t="n">
        <v>45208.58004629629</v>
      </c>
      <c r="C1874" s="1" t="n">
        <v>46050</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33792-2023</t>
        </is>
      </c>
      <c r="B1875" s="1" t="n">
        <v>45121</v>
      </c>
      <c r="C1875" s="1" t="n">
        <v>46050</v>
      </c>
      <c r="D1875" t="inlineStr">
        <is>
          <t>STOCKHOLMS LÄN</t>
        </is>
      </c>
      <c r="E1875" t="inlineStr">
        <is>
          <t>HANINGE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5227-2026</t>
        </is>
      </c>
      <c r="B1876" s="1" t="n">
        <v>46049.80460648148</v>
      </c>
      <c r="C1876" s="1" t="n">
        <v>46050</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5241-2026</t>
        </is>
      </c>
      <c r="B1877" s="1" t="n">
        <v>46049.86471064815</v>
      </c>
      <c r="C1877" s="1" t="n">
        <v>46050</v>
      </c>
      <c r="D1877" t="inlineStr">
        <is>
          <t>STOCKHOLMS LÄN</t>
        </is>
      </c>
      <c r="E1877" t="inlineStr">
        <is>
          <t>NORRTÄLJE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5224-2026</t>
        </is>
      </c>
      <c r="B1878" s="1" t="n">
        <v>46049.79521990741</v>
      </c>
      <c r="C1878" s="1" t="n">
        <v>46050</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5233-2026</t>
        </is>
      </c>
      <c r="B1879" s="1" t="n">
        <v>46049.83694444445</v>
      </c>
      <c r="C1879" s="1" t="n">
        <v>46050</v>
      </c>
      <c r="D1879" t="inlineStr">
        <is>
          <t>STOCKHOLMS LÄN</t>
        </is>
      </c>
      <c r="E1879" t="inlineStr">
        <is>
          <t>NYNÄSHAMN</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39669-2024</t>
        </is>
      </c>
      <c r="B1880" s="1" t="n">
        <v>45552.52827546297</v>
      </c>
      <c r="C1880" s="1" t="n">
        <v>46050</v>
      </c>
      <c r="D1880" t="inlineStr">
        <is>
          <t>STOCKHOLMS LÄN</t>
        </is>
      </c>
      <c r="E1880" t="inlineStr">
        <is>
          <t>NORRTÄLJE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10263-2025</t>
        </is>
      </c>
      <c r="B1881" s="1" t="n">
        <v>45720.38165509259</v>
      </c>
      <c r="C1881" s="1" t="n">
        <v>46050</v>
      </c>
      <c r="D1881" t="inlineStr">
        <is>
          <t>STOCKHOLMS LÄN</t>
        </is>
      </c>
      <c r="E1881" t="inlineStr">
        <is>
          <t>SÖDERTÄLJE</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10277-2025</t>
        </is>
      </c>
      <c r="B1882" s="1" t="n">
        <v>45720.39836805555</v>
      </c>
      <c r="C1882" s="1" t="n">
        <v>46050</v>
      </c>
      <c r="D1882" t="inlineStr">
        <is>
          <t>STOCKHOLMS LÄN</t>
        </is>
      </c>
      <c r="E1882" t="inlineStr">
        <is>
          <t>SÖDERTÄLJE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30949-2024</t>
        </is>
      </c>
      <c r="B1883" s="1" t="n">
        <v>45499</v>
      </c>
      <c r="C1883" s="1" t="n">
        <v>46050</v>
      </c>
      <c r="D1883" t="inlineStr">
        <is>
          <t>STOCKHOLMS LÄN</t>
        </is>
      </c>
      <c r="E1883" t="inlineStr">
        <is>
          <t>ÖSTERÅKER</t>
        </is>
      </c>
      <c r="F1883" t="inlineStr">
        <is>
          <t>Övriga Aktiebolag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4886-2026</t>
        </is>
      </c>
      <c r="B1884" s="1" t="n">
        <v>46048.66328703704</v>
      </c>
      <c r="C1884" s="1" t="n">
        <v>46050</v>
      </c>
      <c r="D1884" t="inlineStr">
        <is>
          <t>STOCKHOLMS LÄN</t>
        </is>
      </c>
      <c r="E1884" t="inlineStr">
        <is>
          <t>NORRTÄLJE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62311-2023</t>
        </is>
      </c>
      <c r="B1885" s="1" t="n">
        <v>45266</v>
      </c>
      <c r="C1885" s="1" t="n">
        <v>46050</v>
      </c>
      <c r="D1885" t="inlineStr">
        <is>
          <t>STOCKHOLMS LÄN</t>
        </is>
      </c>
      <c r="E1885" t="inlineStr">
        <is>
          <t>SÖDERTÄLJE</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4549-2026</t>
        </is>
      </c>
      <c r="B1886" s="1" t="n">
        <v>46047.53840277778</v>
      </c>
      <c r="C1886" s="1" t="n">
        <v>46050</v>
      </c>
      <c r="D1886" t="inlineStr">
        <is>
          <t>STOCKHOLMS LÄN</t>
        </is>
      </c>
      <c r="E1886" t="inlineStr">
        <is>
          <t>NORRTÄLJE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5226-2026</t>
        </is>
      </c>
      <c r="B1887" s="1" t="n">
        <v>46049.79961805556</v>
      </c>
      <c r="C1887" s="1" t="n">
        <v>46050</v>
      </c>
      <c r="D1887" t="inlineStr">
        <is>
          <t>STOCKHOLMS LÄN</t>
        </is>
      </c>
      <c r="E1887" t="inlineStr">
        <is>
          <t>NORRTÄLJE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14900-2025</t>
        </is>
      </c>
      <c r="B1888" s="1" t="n">
        <v>45743.48729166666</v>
      </c>
      <c r="C1888" s="1" t="n">
        <v>46050</v>
      </c>
      <c r="D1888" t="inlineStr">
        <is>
          <t>STOCKHOLMS LÄN</t>
        </is>
      </c>
      <c r="E1888" t="inlineStr">
        <is>
          <t>HANINGE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2046-2026</t>
        </is>
      </c>
      <c r="B1889" s="1" t="n">
        <v>46031</v>
      </c>
      <c r="C1889" s="1" t="n">
        <v>46050</v>
      </c>
      <c r="D1889" t="inlineStr">
        <is>
          <t>STOCKHOLMS LÄN</t>
        </is>
      </c>
      <c r="E1889" t="inlineStr">
        <is>
          <t>UPPLANDS-BRO</t>
        </is>
      </c>
      <c r="F1889" t="inlineStr">
        <is>
          <t>Övriga statliga verk och myndigheter</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5038-2026</t>
        </is>
      </c>
      <c r="B1890" s="1" t="n">
        <v>46049.46427083333</v>
      </c>
      <c r="C1890" s="1" t="n">
        <v>46050</v>
      </c>
      <c r="D1890" t="inlineStr">
        <is>
          <t>STOCKHOLMS LÄN</t>
        </is>
      </c>
      <c r="E1890" t="inlineStr">
        <is>
          <t>ÖSTERÅKER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25706-2023</t>
        </is>
      </c>
      <c r="B1891" s="1" t="n">
        <v>45090</v>
      </c>
      <c r="C1891" s="1" t="n">
        <v>46050</v>
      </c>
      <c r="D1891" t="inlineStr">
        <is>
          <t>STOCKHOLMS LÄN</t>
        </is>
      </c>
      <c r="E1891" t="inlineStr">
        <is>
          <t>SÖDERTÄLJE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19935-2025</t>
        </is>
      </c>
      <c r="B1892" s="1" t="n">
        <v>45771</v>
      </c>
      <c r="C1892" s="1" t="n">
        <v>46050</v>
      </c>
      <c r="D1892" t="inlineStr">
        <is>
          <t>STOCKHOLMS LÄN</t>
        </is>
      </c>
      <c r="E1892" t="inlineStr">
        <is>
          <t>EKERÖ</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33279-2025</t>
        </is>
      </c>
      <c r="B1893" s="1" t="n">
        <v>45840</v>
      </c>
      <c r="C1893" s="1" t="n">
        <v>46050</v>
      </c>
      <c r="D1893" t="inlineStr">
        <is>
          <t>STOCKHOLMS LÄN</t>
        </is>
      </c>
      <c r="E1893" t="inlineStr">
        <is>
          <t>NORRTÄLJE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53499-2025</t>
        </is>
      </c>
      <c r="B1894" s="1" t="n">
        <v>45960</v>
      </c>
      <c r="C1894" s="1" t="n">
        <v>46050</v>
      </c>
      <c r="D1894" t="inlineStr">
        <is>
          <t>STOCKHOLMS LÄN</t>
        </is>
      </c>
      <c r="E1894" t="inlineStr">
        <is>
          <t>NORRTÄLJE</t>
        </is>
      </c>
      <c r="G1894" t="n">
        <v>23.8</v>
      </c>
      <c r="H1894" t="n">
        <v>0</v>
      </c>
      <c r="I1894" t="n">
        <v>0</v>
      </c>
      <c r="J1894" t="n">
        <v>0</v>
      </c>
      <c r="K1894" t="n">
        <v>0</v>
      </c>
      <c r="L1894" t="n">
        <v>0</v>
      </c>
      <c r="M1894" t="n">
        <v>0</v>
      </c>
      <c r="N1894" t="n">
        <v>0</v>
      </c>
      <c r="O1894" t="n">
        <v>0</v>
      </c>
      <c r="P1894" t="n">
        <v>0</v>
      </c>
      <c r="Q1894" t="n">
        <v>0</v>
      </c>
      <c r="R1894" s="2" t="inlineStr"/>
    </row>
    <row r="1895" ht="15" customHeight="1">
      <c r="A1895" t="inlineStr">
        <is>
          <t>A 62047-2025</t>
        </is>
      </c>
      <c r="B1895" s="1" t="n">
        <v>46006.30792824074</v>
      </c>
      <c r="C1895" s="1" t="n">
        <v>46050</v>
      </c>
      <c r="D1895" t="inlineStr">
        <is>
          <t>STOCKHOLMS LÄN</t>
        </is>
      </c>
      <c r="E1895" t="inlineStr">
        <is>
          <t>SÖDERTÄLJE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62049-2025</t>
        </is>
      </c>
      <c r="B1896" s="1" t="n">
        <v>46006.3159837963</v>
      </c>
      <c r="C1896" s="1" t="n">
        <v>46050</v>
      </c>
      <c r="D1896" t="inlineStr">
        <is>
          <t>STOCKHOLMS LÄN</t>
        </is>
      </c>
      <c r="E1896" t="inlineStr">
        <is>
          <t>SÖDERTÄLJE</t>
        </is>
      </c>
      <c r="G1896" t="n">
        <v>10.4</v>
      </c>
      <c r="H1896" t="n">
        <v>0</v>
      </c>
      <c r="I1896" t="n">
        <v>0</v>
      </c>
      <c r="J1896" t="n">
        <v>0</v>
      </c>
      <c r="K1896" t="n">
        <v>0</v>
      </c>
      <c r="L1896" t="n">
        <v>0</v>
      </c>
      <c r="M1896" t="n">
        <v>0</v>
      </c>
      <c r="N1896" t="n">
        <v>0</v>
      </c>
      <c r="O1896" t="n">
        <v>0</v>
      </c>
      <c r="P1896" t="n">
        <v>0</v>
      </c>
      <c r="Q1896" t="n">
        <v>0</v>
      </c>
      <c r="R1896" s="2" t="inlineStr"/>
    </row>
    <row r="1897" ht="15" customHeight="1">
      <c r="A1897" t="inlineStr">
        <is>
          <t>A 62634-2022</t>
        </is>
      </c>
      <c r="B1897" s="1" t="n">
        <v>44917</v>
      </c>
      <c r="C1897" s="1" t="n">
        <v>46050</v>
      </c>
      <c r="D1897" t="inlineStr">
        <is>
          <t>STOCKHOLMS LÄN</t>
        </is>
      </c>
      <c r="E1897" t="inlineStr">
        <is>
          <t>NYNÄSHAMN</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43170-2023</t>
        </is>
      </c>
      <c r="B1898" s="1" t="n">
        <v>45183</v>
      </c>
      <c r="C1898" s="1" t="n">
        <v>46050</v>
      </c>
      <c r="D1898" t="inlineStr">
        <is>
          <t>STOCKHOLMS LÄN</t>
        </is>
      </c>
      <c r="E1898" t="inlineStr">
        <is>
          <t>NORRTÄLJE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9-2024</t>
        </is>
      </c>
      <c r="B1899" s="1" t="n">
        <v>45293</v>
      </c>
      <c r="C1899" s="1" t="n">
        <v>46050</v>
      </c>
      <c r="D1899" t="inlineStr">
        <is>
          <t>STOCKHOLMS LÄN</t>
        </is>
      </c>
      <c r="E1899" t="inlineStr">
        <is>
          <t>NORRTÄLJE</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11867-2024</t>
        </is>
      </c>
      <c r="B1900" s="1" t="n">
        <v>45376.45421296296</v>
      </c>
      <c r="C1900" s="1" t="n">
        <v>46050</v>
      </c>
      <c r="D1900" t="inlineStr">
        <is>
          <t>STOCKHOLMS LÄN</t>
        </is>
      </c>
      <c r="E1900" t="inlineStr">
        <is>
          <t>BOTKYRKA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22832-2021</t>
        </is>
      </c>
      <c r="B1901" s="1" t="n">
        <v>44325</v>
      </c>
      <c r="C1901" s="1" t="n">
        <v>46050</v>
      </c>
      <c r="D1901" t="inlineStr">
        <is>
          <t>STOCKHOLMS LÄN</t>
        </is>
      </c>
      <c r="E1901" t="inlineStr">
        <is>
          <t>NORRTÄLJE</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62839-2025</t>
        </is>
      </c>
      <c r="B1902" s="1" t="n">
        <v>46008</v>
      </c>
      <c r="C1902" s="1" t="n">
        <v>46050</v>
      </c>
      <c r="D1902" t="inlineStr">
        <is>
          <t>STOCKHOLMS LÄN</t>
        </is>
      </c>
      <c r="E1902" t="inlineStr">
        <is>
          <t>ÖSTERÅKER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16913-2025</t>
        </is>
      </c>
      <c r="B1903" s="1" t="n">
        <v>45755.36583333334</v>
      </c>
      <c r="C1903" s="1" t="n">
        <v>46050</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4035-2023</t>
        </is>
      </c>
      <c r="B1904" s="1" t="n">
        <v>44952.57989583333</v>
      </c>
      <c r="C1904" s="1" t="n">
        <v>46050</v>
      </c>
      <c r="D1904" t="inlineStr">
        <is>
          <t>STOCKHOLMS LÄN</t>
        </is>
      </c>
      <c r="E1904" t="inlineStr">
        <is>
          <t>NORRTÄLJE</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4788-2026</t>
        </is>
      </c>
      <c r="B1905" s="1" t="n">
        <v>46048.56197916667</v>
      </c>
      <c r="C1905" s="1" t="n">
        <v>46050</v>
      </c>
      <c r="D1905" t="inlineStr">
        <is>
          <t>STOCKHOLMS LÄN</t>
        </is>
      </c>
      <c r="E1905" t="inlineStr">
        <is>
          <t>SIGTUNA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33793-2022</t>
        </is>
      </c>
      <c r="B1906" s="1" t="n">
        <v>44790</v>
      </c>
      <c r="C1906" s="1" t="n">
        <v>46050</v>
      </c>
      <c r="D1906" t="inlineStr">
        <is>
          <t>STOCKHOLMS LÄN</t>
        </is>
      </c>
      <c r="E1906" t="inlineStr">
        <is>
          <t>NORRTÄLJE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53600-2022</t>
        </is>
      </c>
      <c r="B1907" s="1" t="n">
        <v>44879.70518518519</v>
      </c>
      <c r="C1907" s="1" t="n">
        <v>46050</v>
      </c>
      <c r="D1907" t="inlineStr">
        <is>
          <t>STOCKHOLMS LÄN</t>
        </is>
      </c>
      <c r="E1907" t="inlineStr">
        <is>
          <t>NORRTÄLJE</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51587-2023</t>
        </is>
      </c>
      <c r="B1908" s="1" t="n">
        <v>45215</v>
      </c>
      <c r="C1908" s="1" t="n">
        <v>46050</v>
      </c>
      <c r="D1908" t="inlineStr">
        <is>
          <t>STOCKHOLMS LÄN</t>
        </is>
      </c>
      <c r="E1908" t="inlineStr">
        <is>
          <t>UPPLANDS-BRO</t>
        </is>
      </c>
      <c r="F1908" t="inlineStr">
        <is>
          <t>Allmännings- och besparingsskogar</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7697-2025</t>
        </is>
      </c>
      <c r="B1909" s="1" t="n">
        <v>45706.40086805556</v>
      </c>
      <c r="C1909" s="1" t="n">
        <v>46050</v>
      </c>
      <c r="D1909" t="inlineStr">
        <is>
          <t>STOCKHOLMS LÄN</t>
        </is>
      </c>
      <c r="E1909" t="inlineStr">
        <is>
          <t>NORRTÄLJE</t>
        </is>
      </c>
      <c r="F1909" t="inlineStr">
        <is>
          <t>Holmen skog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37103-2021</t>
        </is>
      </c>
      <c r="B1910" s="1" t="n">
        <v>44396</v>
      </c>
      <c r="C1910" s="1" t="n">
        <v>46050</v>
      </c>
      <c r="D1910" t="inlineStr">
        <is>
          <t>STOCKHOLMS LÄN</t>
        </is>
      </c>
      <c r="E1910" t="inlineStr">
        <is>
          <t>NYNÄSHAMN</t>
        </is>
      </c>
      <c r="G1910" t="n">
        <v>12.4</v>
      </c>
      <c r="H1910" t="n">
        <v>0</v>
      </c>
      <c r="I1910" t="n">
        <v>0</v>
      </c>
      <c r="J1910" t="n">
        <v>0</v>
      </c>
      <c r="K1910" t="n">
        <v>0</v>
      </c>
      <c r="L1910" t="n">
        <v>0</v>
      </c>
      <c r="M1910" t="n">
        <v>0</v>
      </c>
      <c r="N1910" t="n">
        <v>0</v>
      </c>
      <c r="O1910" t="n">
        <v>0</v>
      </c>
      <c r="P1910" t="n">
        <v>0</v>
      </c>
      <c r="Q1910" t="n">
        <v>0</v>
      </c>
      <c r="R1910" s="2" t="inlineStr"/>
    </row>
    <row r="1911" ht="15" customHeight="1">
      <c r="A1911" t="inlineStr">
        <is>
          <t>A 37104-2021</t>
        </is>
      </c>
      <c r="B1911" s="1" t="n">
        <v>44396</v>
      </c>
      <c r="C1911" s="1" t="n">
        <v>46050</v>
      </c>
      <c r="D1911" t="inlineStr">
        <is>
          <t>STOCKHOLMS LÄN</t>
        </is>
      </c>
      <c r="E1911" t="inlineStr">
        <is>
          <t>NYNÄSHAMN</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30221-2024</t>
        </is>
      </c>
      <c r="B1912" s="1" t="n">
        <v>45490.45342592592</v>
      </c>
      <c r="C1912" s="1" t="n">
        <v>46050</v>
      </c>
      <c r="D1912" t="inlineStr">
        <is>
          <t>STOCKHOLMS LÄN</t>
        </is>
      </c>
      <c r="E1912" t="inlineStr">
        <is>
          <t>NORRTÄLJE</t>
        </is>
      </c>
      <c r="F1912" t="inlineStr">
        <is>
          <t>Holmen skog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16149-2024</t>
        </is>
      </c>
      <c r="B1913" s="1" t="n">
        <v>45406.56984953704</v>
      </c>
      <c r="C1913" s="1" t="n">
        <v>46050</v>
      </c>
      <c r="D1913" t="inlineStr">
        <is>
          <t>STOCKHOLMS LÄN</t>
        </is>
      </c>
      <c r="E1913" t="inlineStr">
        <is>
          <t>BOTKYRKA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20527-2025</t>
        </is>
      </c>
      <c r="B1914" s="1" t="n">
        <v>45775.60663194444</v>
      </c>
      <c r="C1914" s="1" t="n">
        <v>46050</v>
      </c>
      <c r="D1914" t="inlineStr">
        <is>
          <t>STOCKHOLMS LÄN</t>
        </is>
      </c>
      <c r="E1914" t="inlineStr">
        <is>
          <t>HANINGE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64568-2023</t>
        </is>
      </c>
      <c r="B1915" s="1" t="n">
        <v>45281.43164351852</v>
      </c>
      <c r="C1915" s="1" t="n">
        <v>46050</v>
      </c>
      <c r="D1915" t="inlineStr">
        <is>
          <t>STOCKHOLMS LÄN</t>
        </is>
      </c>
      <c r="E1915" t="inlineStr">
        <is>
          <t>HANINGE</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19487-2023</t>
        </is>
      </c>
      <c r="B1916" s="1" t="n">
        <v>45050</v>
      </c>
      <c r="C1916" s="1" t="n">
        <v>46050</v>
      </c>
      <c r="D1916" t="inlineStr">
        <is>
          <t>STOCKHOLMS LÄN</t>
        </is>
      </c>
      <c r="E1916" t="inlineStr">
        <is>
          <t>NYKVARN</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13-2024</t>
        </is>
      </c>
      <c r="B1917" s="1" t="n">
        <v>45293.37263888889</v>
      </c>
      <c r="C1917" s="1" t="n">
        <v>46050</v>
      </c>
      <c r="D1917" t="inlineStr">
        <is>
          <t>STOCKHOLMS LÄN</t>
        </is>
      </c>
      <c r="E1917" t="inlineStr">
        <is>
          <t>NORRTÄLJE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19-2024</t>
        </is>
      </c>
      <c r="B1918" s="1" t="n">
        <v>45293</v>
      </c>
      <c r="C1918" s="1" t="n">
        <v>46050</v>
      </c>
      <c r="D1918" t="inlineStr">
        <is>
          <t>STOCKHOLMS LÄN</t>
        </is>
      </c>
      <c r="E1918" t="inlineStr">
        <is>
          <t>NORRTÄLJE</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22-2024</t>
        </is>
      </c>
      <c r="B1919" s="1" t="n">
        <v>45293.40865740741</v>
      </c>
      <c r="C1919" s="1" t="n">
        <v>46050</v>
      </c>
      <c r="D1919" t="inlineStr">
        <is>
          <t>STOCKHOLMS LÄN</t>
        </is>
      </c>
      <c r="E1919" t="inlineStr">
        <is>
          <t>SÖDERTÄLJE</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5175-2026</t>
        </is>
      </c>
      <c r="B1920" s="1" t="n">
        <v>46049.64638888889</v>
      </c>
      <c r="C1920" s="1" t="n">
        <v>46050</v>
      </c>
      <c r="D1920" t="inlineStr">
        <is>
          <t>STOCKHOLMS LÄN</t>
        </is>
      </c>
      <c r="E1920" t="inlineStr">
        <is>
          <t>SIGTUNA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46919-2023</t>
        </is>
      </c>
      <c r="B1921" s="1" t="n">
        <v>45201</v>
      </c>
      <c r="C1921" s="1" t="n">
        <v>46050</v>
      </c>
      <c r="D1921" t="inlineStr">
        <is>
          <t>STOCKHOLMS LÄN</t>
        </is>
      </c>
      <c r="E1921" t="inlineStr">
        <is>
          <t>SALEM</t>
        </is>
      </c>
      <c r="F1921" t="inlineStr">
        <is>
          <t>Kommuner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31559-2022</t>
        </is>
      </c>
      <c r="B1922" s="1" t="n">
        <v>44775</v>
      </c>
      <c r="C1922" s="1" t="n">
        <v>46050</v>
      </c>
      <c r="D1922" t="inlineStr">
        <is>
          <t>STOCKHOLMS LÄN</t>
        </is>
      </c>
      <c r="E1922" t="inlineStr">
        <is>
          <t>NORRTÄLJE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95-2024</t>
        </is>
      </c>
      <c r="B1923" s="1" t="n">
        <v>45293</v>
      </c>
      <c r="C1923" s="1" t="n">
        <v>46050</v>
      </c>
      <c r="D1923" t="inlineStr">
        <is>
          <t>STOCKHOLMS LÄN</t>
        </is>
      </c>
      <c r="E1923" t="inlineStr">
        <is>
          <t>SÖDERTÄLJE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8419-2025</t>
        </is>
      </c>
      <c r="B1924" s="1" t="n">
        <v>45709.40231481481</v>
      </c>
      <c r="C1924" s="1" t="n">
        <v>46050</v>
      </c>
      <c r="D1924" t="inlineStr">
        <is>
          <t>STOCKHOLMS LÄN</t>
        </is>
      </c>
      <c r="E1924" t="inlineStr">
        <is>
          <t>NORRTÄLJE</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20375-2023</t>
        </is>
      </c>
      <c r="B1925" s="1" t="n">
        <v>45054</v>
      </c>
      <c r="C1925" s="1" t="n">
        <v>46050</v>
      </c>
      <c r="D1925" t="inlineStr">
        <is>
          <t>STOCKHOLMS LÄN</t>
        </is>
      </c>
      <c r="E1925" t="inlineStr">
        <is>
          <t>SIGTUNA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3754-2026</t>
        </is>
      </c>
      <c r="B1926" s="1" t="n">
        <v>46043</v>
      </c>
      <c r="C1926" s="1" t="n">
        <v>46050</v>
      </c>
      <c r="D1926" t="inlineStr">
        <is>
          <t>STOCKHOLMS LÄN</t>
        </is>
      </c>
      <c r="E1926" t="inlineStr">
        <is>
          <t>UPPLANDS-BRO</t>
        </is>
      </c>
      <c r="F1926" t="inlineStr">
        <is>
          <t>Övriga statliga verk och myndigheter</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504-2023</t>
        </is>
      </c>
      <c r="B1927" s="1" t="n">
        <v>44930</v>
      </c>
      <c r="C1927" s="1" t="n">
        <v>46050</v>
      </c>
      <c r="D1927" t="inlineStr">
        <is>
          <t>STOCKHOLMS LÄN</t>
        </is>
      </c>
      <c r="E1927" t="inlineStr">
        <is>
          <t>SALEM</t>
        </is>
      </c>
      <c r="F1927" t="inlineStr">
        <is>
          <t>Kommuner</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35161-2022</t>
        </is>
      </c>
      <c r="B1928" s="1" t="n">
        <v>44797</v>
      </c>
      <c r="C1928" s="1" t="n">
        <v>46050</v>
      </c>
      <c r="D1928" t="inlineStr">
        <is>
          <t>STOCKHOLMS LÄN</t>
        </is>
      </c>
      <c r="E1928" t="inlineStr">
        <is>
          <t>NORRTÄLJE</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18793-2023</t>
        </is>
      </c>
      <c r="B1929" s="1" t="n">
        <v>45044</v>
      </c>
      <c r="C1929" s="1" t="n">
        <v>46050</v>
      </c>
      <c r="D1929" t="inlineStr">
        <is>
          <t>STOCKHOLMS LÄN</t>
        </is>
      </c>
      <c r="E1929" t="inlineStr">
        <is>
          <t>NYKVARN</t>
        </is>
      </c>
      <c r="F1929" t="inlineStr">
        <is>
          <t>Kyrkan</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50020-2023</t>
        </is>
      </c>
      <c r="B1930" s="1" t="n">
        <v>45215.46996527778</v>
      </c>
      <c r="C1930" s="1" t="n">
        <v>46050</v>
      </c>
      <c r="D1930" t="inlineStr">
        <is>
          <t>STOCKHOLMS LÄN</t>
        </is>
      </c>
      <c r="E1930" t="inlineStr">
        <is>
          <t>NYKVARN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58989-2021</t>
        </is>
      </c>
      <c r="B1931" s="1" t="n">
        <v>44490.02482638889</v>
      </c>
      <c r="C1931" s="1" t="n">
        <v>46050</v>
      </c>
      <c r="D1931" t="inlineStr">
        <is>
          <t>STOCKHOLMS LÄN</t>
        </is>
      </c>
      <c r="E1931" t="inlineStr">
        <is>
          <t>NORRTÄLJE</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845-2024</t>
        </is>
      </c>
      <c r="B1932" s="1" t="n">
        <v>45300.91423611111</v>
      </c>
      <c r="C1932" s="1" t="n">
        <v>46050</v>
      </c>
      <c r="D1932" t="inlineStr">
        <is>
          <t>STOCKHOLMS LÄN</t>
        </is>
      </c>
      <c r="E1932" t="inlineStr">
        <is>
          <t>ÖSTERÅKER</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46988-2024</t>
        </is>
      </c>
      <c r="B1933" s="1" t="n">
        <v>45586</v>
      </c>
      <c r="C1933" s="1" t="n">
        <v>46050</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21529-2021</t>
        </is>
      </c>
      <c r="B1934" s="1" t="n">
        <v>44321</v>
      </c>
      <c r="C1934" s="1" t="n">
        <v>46050</v>
      </c>
      <c r="D1934" t="inlineStr">
        <is>
          <t>STOCKHOLMS LÄN</t>
        </is>
      </c>
      <c r="E1934" t="inlineStr">
        <is>
          <t>NORRTÄLJE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13701-2022</t>
        </is>
      </c>
      <c r="B1935" s="1" t="n">
        <v>44648</v>
      </c>
      <c r="C1935" s="1" t="n">
        <v>46050</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1180-2024</t>
        </is>
      </c>
      <c r="B1936" s="1" t="n">
        <v>45302</v>
      </c>
      <c r="C1936" s="1" t="n">
        <v>46050</v>
      </c>
      <c r="D1936" t="inlineStr">
        <is>
          <t>STOCKHOLMS LÄN</t>
        </is>
      </c>
      <c r="E1936" t="inlineStr">
        <is>
          <t>HANINGE</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49956-2022</t>
        </is>
      </c>
      <c r="B1937" s="1" t="n">
        <v>44865.37130787037</v>
      </c>
      <c r="C1937" s="1" t="n">
        <v>46050</v>
      </c>
      <c r="D1937" t="inlineStr">
        <is>
          <t>STOCKHOLMS LÄN</t>
        </is>
      </c>
      <c r="E1937" t="inlineStr">
        <is>
          <t>SÖDERTÄLJE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14132-2025</t>
        </is>
      </c>
      <c r="B1938" s="1" t="n">
        <v>45740.47550925926</v>
      </c>
      <c r="C1938" s="1" t="n">
        <v>46050</v>
      </c>
      <c r="D1938" t="inlineStr">
        <is>
          <t>STOCKHOLMS LÄN</t>
        </is>
      </c>
      <c r="E1938" t="inlineStr">
        <is>
          <t>NORRTÄLJE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14133-2025</t>
        </is>
      </c>
      <c r="B1939" s="1" t="n">
        <v>45740.47724537037</v>
      </c>
      <c r="C1939" s="1" t="n">
        <v>46050</v>
      </c>
      <c r="D1939" t="inlineStr">
        <is>
          <t>STOCKHOLMS LÄN</t>
        </is>
      </c>
      <c r="E1939" t="inlineStr">
        <is>
          <t>NORRTÄLJE</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6157-2025</t>
        </is>
      </c>
      <c r="B1940" s="1" t="n">
        <v>45698.40923611111</v>
      </c>
      <c r="C1940" s="1" t="n">
        <v>46050</v>
      </c>
      <c r="D1940" t="inlineStr">
        <is>
          <t>STOCKHOLMS LÄN</t>
        </is>
      </c>
      <c r="E1940" t="inlineStr">
        <is>
          <t>SÖDERTÄLJE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46050</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24873-2023</t>
        </is>
      </c>
      <c r="B1942" s="1" t="n">
        <v>45085</v>
      </c>
      <c r="C1942" s="1" t="n">
        <v>46050</v>
      </c>
      <c r="D1942" t="inlineStr">
        <is>
          <t>STOCKHOLMS LÄN</t>
        </is>
      </c>
      <c r="E1942" t="inlineStr">
        <is>
          <t>HANINGE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24887-2023</t>
        </is>
      </c>
      <c r="B1943" s="1" t="n">
        <v>45085</v>
      </c>
      <c r="C1943" s="1" t="n">
        <v>46050</v>
      </c>
      <c r="D1943" t="inlineStr">
        <is>
          <t>STOCKHOLMS LÄN</t>
        </is>
      </c>
      <c r="E1943" t="inlineStr">
        <is>
          <t>NORRTÄLJE</t>
        </is>
      </c>
      <c r="G1943" t="n">
        <v>13.9</v>
      </c>
      <c r="H1943" t="n">
        <v>0</v>
      </c>
      <c r="I1943" t="n">
        <v>0</v>
      </c>
      <c r="J1943" t="n">
        <v>0</v>
      </c>
      <c r="K1943" t="n">
        <v>0</v>
      </c>
      <c r="L1943" t="n">
        <v>0</v>
      </c>
      <c r="M1943" t="n">
        <v>0</v>
      </c>
      <c r="N1943" t="n">
        <v>0</v>
      </c>
      <c r="O1943" t="n">
        <v>0</v>
      </c>
      <c r="P1943" t="n">
        <v>0</v>
      </c>
      <c r="Q1943" t="n">
        <v>0</v>
      </c>
      <c r="R1943" s="2" t="inlineStr"/>
    </row>
    <row r="1944" ht="15" customHeight="1">
      <c r="A1944" t="inlineStr">
        <is>
          <t>A 38612-2022</t>
        </is>
      </c>
      <c r="B1944" s="1" t="n">
        <v>44813</v>
      </c>
      <c r="C1944" s="1" t="n">
        <v>46050</v>
      </c>
      <c r="D1944" t="inlineStr">
        <is>
          <t>STOCKHOLMS LÄN</t>
        </is>
      </c>
      <c r="E1944" t="inlineStr">
        <is>
          <t>NORRTÄLJE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4326-2023</t>
        </is>
      </c>
      <c r="B1945" s="1" t="n">
        <v>44953.70481481482</v>
      </c>
      <c r="C1945" s="1" t="n">
        <v>46050</v>
      </c>
      <c r="D1945" t="inlineStr">
        <is>
          <t>STOCKHOLMS LÄN</t>
        </is>
      </c>
      <c r="E1945" t="inlineStr">
        <is>
          <t>NORRTÄLJE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54504-2024</t>
        </is>
      </c>
      <c r="B1946" s="1" t="n">
        <v>45617.58453703704</v>
      </c>
      <c r="C1946" s="1" t="n">
        <v>46050</v>
      </c>
      <c r="D1946" t="inlineStr">
        <is>
          <t>STOCKHOLMS LÄN</t>
        </is>
      </c>
      <c r="E1946" t="inlineStr">
        <is>
          <t>NORRTÄLJE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63586-2023</t>
        </is>
      </c>
      <c r="B1947" s="1" t="n">
        <v>45275</v>
      </c>
      <c r="C1947" s="1" t="n">
        <v>46050</v>
      </c>
      <c r="D1947" t="inlineStr">
        <is>
          <t>STOCKHOLMS LÄN</t>
        </is>
      </c>
      <c r="E1947" t="inlineStr">
        <is>
          <t>NYKVARN</t>
        </is>
      </c>
      <c r="F1947" t="inlineStr">
        <is>
          <t>Kommuner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55871-2023</t>
        </is>
      </c>
      <c r="B1948" s="1" t="n">
        <v>45239.73435185185</v>
      </c>
      <c r="C1948" s="1" t="n">
        <v>46050</v>
      </c>
      <c r="D1948" t="inlineStr">
        <is>
          <t>STOCKHOLMS LÄN</t>
        </is>
      </c>
      <c r="E1948" t="inlineStr">
        <is>
          <t>NYNÄSHAMN</t>
        </is>
      </c>
      <c r="F1948" t="inlineStr">
        <is>
          <t>Kommuner</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38276-2023</t>
        </is>
      </c>
      <c r="B1949" s="1" t="n">
        <v>45160</v>
      </c>
      <c r="C1949" s="1" t="n">
        <v>46050</v>
      </c>
      <c r="D1949" t="inlineStr">
        <is>
          <t>STOCKHOLMS LÄN</t>
        </is>
      </c>
      <c r="E1949" t="inlineStr">
        <is>
          <t>SIGTUNA</t>
        </is>
      </c>
      <c r="G1949" t="n">
        <v>18.1</v>
      </c>
      <c r="H1949" t="n">
        <v>0</v>
      </c>
      <c r="I1949" t="n">
        <v>0</v>
      </c>
      <c r="J1949" t="n">
        <v>0</v>
      </c>
      <c r="K1949" t="n">
        <v>0</v>
      </c>
      <c r="L1949" t="n">
        <v>0</v>
      </c>
      <c r="M1949" t="n">
        <v>0</v>
      </c>
      <c r="N1949" t="n">
        <v>0</v>
      </c>
      <c r="O1949" t="n">
        <v>0</v>
      </c>
      <c r="P1949" t="n">
        <v>0</v>
      </c>
      <c r="Q1949" t="n">
        <v>0</v>
      </c>
      <c r="R1949" s="2" t="inlineStr"/>
    </row>
    <row r="1950" ht="15" customHeight="1">
      <c r="A1950" t="inlineStr">
        <is>
          <t>A 21745-2023</t>
        </is>
      </c>
      <c r="B1950" s="1" t="n">
        <v>45065.55917824074</v>
      </c>
      <c r="C1950" s="1" t="n">
        <v>46050</v>
      </c>
      <c r="D1950" t="inlineStr">
        <is>
          <t>STOCKHOLMS LÄN</t>
        </is>
      </c>
      <c r="E1950" t="inlineStr">
        <is>
          <t>NORRTÄLJE</t>
        </is>
      </c>
      <c r="F1950" t="inlineStr">
        <is>
          <t>Holmen skog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21765-2023</t>
        </is>
      </c>
      <c r="B1951" s="1" t="n">
        <v>45064</v>
      </c>
      <c r="C1951" s="1" t="n">
        <v>46050</v>
      </c>
      <c r="D1951" t="inlineStr">
        <is>
          <t>STOCKHOLMS LÄN</t>
        </is>
      </c>
      <c r="E1951" t="inlineStr">
        <is>
          <t>VALLENTUNA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21894-2023</t>
        </is>
      </c>
      <c r="B1952" s="1" t="n">
        <v>45068.51783564815</v>
      </c>
      <c r="C1952" s="1" t="n">
        <v>46050</v>
      </c>
      <c r="D1952" t="inlineStr">
        <is>
          <t>STOCKHOLMS LÄN</t>
        </is>
      </c>
      <c r="E1952" t="inlineStr">
        <is>
          <t>NORRTÄLJE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21614-2022</t>
        </is>
      </c>
      <c r="B1953" s="1" t="n">
        <v>44706</v>
      </c>
      <c r="C1953" s="1" t="n">
        <v>46050</v>
      </c>
      <c r="D1953" t="inlineStr">
        <is>
          <t>STOCKHOLMS LÄN</t>
        </is>
      </c>
      <c r="E1953" t="inlineStr">
        <is>
          <t>VALLENTUNA</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13276-2022</t>
        </is>
      </c>
      <c r="B1954" s="1" t="n">
        <v>44644</v>
      </c>
      <c r="C1954" s="1" t="n">
        <v>46050</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9024-2021</t>
        </is>
      </c>
      <c r="B1955" s="1" t="n">
        <v>44249.55199074074</v>
      </c>
      <c r="C1955" s="1" t="n">
        <v>46050</v>
      </c>
      <c r="D1955" t="inlineStr">
        <is>
          <t>STOCKHOLMS LÄN</t>
        </is>
      </c>
      <c r="E1955" t="inlineStr">
        <is>
          <t>VÄRMDÖ</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11343-2025</t>
        </is>
      </c>
      <c r="B1956" s="1" t="n">
        <v>45726.49932870371</v>
      </c>
      <c r="C1956" s="1" t="n">
        <v>46050</v>
      </c>
      <c r="D1956" t="inlineStr">
        <is>
          <t>STOCKHOLMS LÄN</t>
        </is>
      </c>
      <c r="E1956" t="inlineStr">
        <is>
          <t>SÖDERTÄLJE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26505-2024</t>
        </is>
      </c>
      <c r="B1957" s="1" t="n">
        <v>45469</v>
      </c>
      <c r="C1957" s="1" t="n">
        <v>46050</v>
      </c>
      <c r="D1957" t="inlineStr">
        <is>
          <t>STOCKHOLMS LÄN</t>
        </is>
      </c>
      <c r="E1957" t="inlineStr">
        <is>
          <t>NYNÄSHAMN</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54596-2024</t>
        </is>
      </c>
      <c r="B1958" s="1" t="n">
        <v>45617.6762037037</v>
      </c>
      <c r="C1958" s="1" t="n">
        <v>46050</v>
      </c>
      <c r="D1958" t="inlineStr">
        <is>
          <t>STOCKHOLMS LÄN</t>
        </is>
      </c>
      <c r="E1958" t="inlineStr">
        <is>
          <t>SÖDERTÄLJE</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2496-2024</t>
        </is>
      </c>
      <c r="B1959" s="1" t="n">
        <v>45313</v>
      </c>
      <c r="C1959" s="1" t="n">
        <v>46050</v>
      </c>
      <c r="D1959" t="inlineStr">
        <is>
          <t>STOCKHOLMS LÄN</t>
        </is>
      </c>
      <c r="E1959" t="inlineStr">
        <is>
          <t>SIGTUNA</t>
        </is>
      </c>
      <c r="F1959" t="inlineStr">
        <is>
          <t>Kommuner</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58592-2023</t>
        </is>
      </c>
      <c r="B1960" s="1" t="n">
        <v>45251</v>
      </c>
      <c r="C1960" s="1" t="n">
        <v>46050</v>
      </c>
      <c r="D1960" t="inlineStr">
        <is>
          <t>STOCKHOLMS LÄN</t>
        </is>
      </c>
      <c r="E1960" t="inlineStr">
        <is>
          <t>SALEM</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58599-2023</t>
        </is>
      </c>
      <c r="B1961" s="1" t="n">
        <v>45251.47721064815</v>
      </c>
      <c r="C1961" s="1" t="n">
        <v>46050</v>
      </c>
      <c r="D1961" t="inlineStr">
        <is>
          <t>STOCKHOLMS LÄN</t>
        </is>
      </c>
      <c r="E1961" t="inlineStr">
        <is>
          <t>HANINGE</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28182-2022</t>
        </is>
      </c>
      <c r="B1962" s="1" t="n">
        <v>44746.58530092592</v>
      </c>
      <c r="C1962" s="1" t="n">
        <v>46050</v>
      </c>
      <c r="D1962" t="inlineStr">
        <is>
          <t>STOCKHOLMS LÄN</t>
        </is>
      </c>
      <c r="E1962" t="inlineStr">
        <is>
          <t>NORRTÄLJE</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34461-2023</t>
        </is>
      </c>
      <c r="B1963" s="1" t="n">
        <v>45139</v>
      </c>
      <c r="C1963" s="1" t="n">
        <v>46050</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59168-2022</t>
        </is>
      </c>
      <c r="B1964" s="1" t="n">
        <v>44904.48028935185</v>
      </c>
      <c r="C1964" s="1" t="n">
        <v>46050</v>
      </c>
      <c r="D1964" t="inlineStr">
        <is>
          <t>STOCKHOLMS LÄN</t>
        </is>
      </c>
      <c r="E1964" t="inlineStr">
        <is>
          <t>SIGTUNA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8756-2023</t>
        </is>
      </c>
      <c r="B1965" s="1" t="n">
        <v>44972</v>
      </c>
      <c r="C1965" s="1" t="n">
        <v>46050</v>
      </c>
      <c r="D1965" t="inlineStr">
        <is>
          <t>STOCKHOLMS LÄN</t>
        </is>
      </c>
      <c r="E1965" t="inlineStr">
        <is>
          <t>VÄRMDÖ</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51046-2023</t>
        </is>
      </c>
      <c r="B1966" s="1" t="n">
        <v>45218</v>
      </c>
      <c r="C1966" s="1" t="n">
        <v>46050</v>
      </c>
      <c r="D1966" t="inlineStr">
        <is>
          <t>STOCKHOLMS LÄN</t>
        </is>
      </c>
      <c r="E1966" t="inlineStr">
        <is>
          <t>NORRTÄLJE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28983-2024</t>
        </is>
      </c>
      <c r="B1967" s="1" t="n">
        <v>45481.47731481482</v>
      </c>
      <c r="C1967" s="1" t="n">
        <v>46050</v>
      </c>
      <c r="D1967" t="inlineStr">
        <is>
          <t>STOCKHOLMS LÄN</t>
        </is>
      </c>
      <c r="E1967" t="inlineStr">
        <is>
          <t>BOTKYRKA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3222-2022</t>
        </is>
      </c>
      <c r="B1968" s="1" t="n">
        <v>44582</v>
      </c>
      <c r="C1968" s="1" t="n">
        <v>46050</v>
      </c>
      <c r="D1968" t="inlineStr">
        <is>
          <t>STOCKHOLMS LÄN</t>
        </is>
      </c>
      <c r="E1968" t="inlineStr">
        <is>
          <t>EKERÖ</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23986-2023</t>
        </is>
      </c>
      <c r="B1969" s="1" t="n">
        <v>45078</v>
      </c>
      <c r="C1969" s="1" t="n">
        <v>46050</v>
      </c>
      <c r="D1969" t="inlineStr">
        <is>
          <t>STOCKHOLMS LÄN</t>
        </is>
      </c>
      <c r="E1969" t="inlineStr">
        <is>
          <t>VALLENTUNA</t>
        </is>
      </c>
      <c r="F1969" t="inlineStr">
        <is>
          <t>Kyrkan</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50031-2023</t>
        </is>
      </c>
      <c r="B1970" s="1" t="n">
        <v>45215.48474537037</v>
      </c>
      <c r="C1970" s="1" t="n">
        <v>46050</v>
      </c>
      <c r="D1970" t="inlineStr">
        <is>
          <t>STOCKHOLMS LÄN</t>
        </is>
      </c>
      <c r="E1970" t="inlineStr">
        <is>
          <t>NYKVARN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30002-2023</t>
        </is>
      </c>
      <c r="B1971" s="1" t="n">
        <v>45109</v>
      </c>
      <c r="C1971" s="1" t="n">
        <v>46050</v>
      </c>
      <c r="D1971" t="inlineStr">
        <is>
          <t>STOCKHOLMS LÄN</t>
        </is>
      </c>
      <c r="E1971" t="inlineStr">
        <is>
          <t>VÄRMDÖ</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31134-2023</t>
        </is>
      </c>
      <c r="B1972" s="1" t="n">
        <v>45113</v>
      </c>
      <c r="C1972" s="1" t="n">
        <v>46050</v>
      </c>
      <c r="D1972" t="inlineStr">
        <is>
          <t>STOCKHOLMS LÄN</t>
        </is>
      </c>
      <c r="E1972" t="inlineStr">
        <is>
          <t>ÖSTERÅKER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16724-2022</t>
        </is>
      </c>
      <c r="B1973" s="1" t="n">
        <v>44673</v>
      </c>
      <c r="C1973" s="1" t="n">
        <v>46050</v>
      </c>
      <c r="D1973" t="inlineStr">
        <is>
          <t>STOCKHOLMS LÄN</t>
        </is>
      </c>
      <c r="E1973" t="inlineStr">
        <is>
          <t>SÖDERTÄLJE</t>
        </is>
      </c>
      <c r="F1973" t="inlineStr">
        <is>
          <t>Övriga statliga verk och myndigheter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17382-2024</t>
        </is>
      </c>
      <c r="B1974" s="1" t="n">
        <v>45414.65855324074</v>
      </c>
      <c r="C1974" s="1" t="n">
        <v>46050</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6070-2022</t>
        </is>
      </c>
      <c r="B1975" s="1" t="n">
        <v>44599.58428240741</v>
      </c>
      <c r="C1975" s="1" t="n">
        <v>46050</v>
      </c>
      <c r="D1975" t="inlineStr">
        <is>
          <t>STOCKHOLMS LÄN</t>
        </is>
      </c>
      <c r="E1975" t="inlineStr">
        <is>
          <t>NORRTÄLJE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25278-2022</t>
        </is>
      </c>
      <c r="B1976" s="1" t="n">
        <v>44730</v>
      </c>
      <c r="C1976" s="1" t="n">
        <v>46050</v>
      </c>
      <c r="D1976" t="inlineStr">
        <is>
          <t>STOCKHOLMS LÄN</t>
        </is>
      </c>
      <c r="E1976" t="inlineStr">
        <is>
          <t>NYKVARN</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17039-2024</t>
        </is>
      </c>
      <c r="B1977" s="1" t="n">
        <v>45412.4104050926</v>
      </c>
      <c r="C1977" s="1" t="n">
        <v>46050</v>
      </c>
      <c r="D1977" t="inlineStr">
        <is>
          <t>STOCKHOLMS LÄN</t>
        </is>
      </c>
      <c r="E1977" t="inlineStr">
        <is>
          <t>NORRTÄLJE</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72524-2021</t>
        </is>
      </c>
      <c r="B1978" s="1" t="n">
        <v>44546</v>
      </c>
      <c r="C1978" s="1" t="n">
        <v>46050</v>
      </c>
      <c r="D1978" t="inlineStr">
        <is>
          <t>STOCKHOLMS LÄN</t>
        </is>
      </c>
      <c r="E1978" t="inlineStr">
        <is>
          <t>UPPLANDS-BRO</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72530-2021</t>
        </is>
      </c>
      <c r="B1979" s="1" t="n">
        <v>44546</v>
      </c>
      <c r="C1979" s="1" t="n">
        <v>46050</v>
      </c>
      <c r="D1979" t="inlineStr">
        <is>
          <t>STOCKHOLMS LÄN</t>
        </is>
      </c>
      <c r="E1979" t="inlineStr">
        <is>
          <t>SIGTUNA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48180-2023</t>
        </is>
      </c>
      <c r="B1980" s="1" t="n">
        <v>45205</v>
      </c>
      <c r="C1980" s="1" t="n">
        <v>46050</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31575-2022</t>
        </is>
      </c>
      <c r="B1981" s="1" t="n">
        <v>44775.45063657407</v>
      </c>
      <c r="C1981" s="1" t="n">
        <v>46050</v>
      </c>
      <c r="D1981" t="inlineStr">
        <is>
          <t>STOCKHOLMS LÄN</t>
        </is>
      </c>
      <c r="E1981" t="inlineStr">
        <is>
          <t>ÖSTERÅKER</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35695-2023</t>
        </is>
      </c>
      <c r="B1982" s="1" t="n">
        <v>45147.65407407407</v>
      </c>
      <c r="C1982" s="1" t="n">
        <v>46050</v>
      </c>
      <c r="D1982" t="inlineStr">
        <is>
          <t>STOCKHOLMS LÄN</t>
        </is>
      </c>
      <c r="E1982" t="inlineStr">
        <is>
          <t>NORRTÄLJE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45173-2023</t>
        </is>
      </c>
      <c r="B1983" s="1" t="n">
        <v>45191</v>
      </c>
      <c r="C1983" s="1" t="n">
        <v>46050</v>
      </c>
      <c r="D1983" t="inlineStr">
        <is>
          <t>STOCKHOLMS LÄN</t>
        </is>
      </c>
      <c r="E1983" t="inlineStr">
        <is>
          <t>NORRTÄLJE</t>
        </is>
      </c>
      <c r="F1983" t="inlineStr">
        <is>
          <t>Sveaskog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45145-2022</t>
        </is>
      </c>
      <c r="B1984" s="1" t="n">
        <v>44844</v>
      </c>
      <c r="C1984" s="1" t="n">
        <v>46050</v>
      </c>
      <c r="D1984" t="inlineStr">
        <is>
          <t>STOCKHOLMS LÄN</t>
        </is>
      </c>
      <c r="E1984" t="inlineStr">
        <is>
          <t>SÖDERTÄLJE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35404-2022</t>
        </is>
      </c>
      <c r="B1985" s="1" t="n">
        <v>44798</v>
      </c>
      <c r="C1985" s="1" t="n">
        <v>46050</v>
      </c>
      <c r="D1985" t="inlineStr">
        <is>
          <t>STOCKHOLMS LÄN</t>
        </is>
      </c>
      <c r="E1985" t="inlineStr">
        <is>
          <t>HUDDINGE</t>
        </is>
      </c>
      <c r="F1985" t="inlineStr">
        <is>
          <t>Kommuner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24705-2023</t>
        </is>
      </c>
      <c r="B1986" s="1" t="n">
        <v>45084.54459490741</v>
      </c>
      <c r="C1986" s="1" t="n">
        <v>46050</v>
      </c>
      <c r="D1986" t="inlineStr">
        <is>
          <t>STOCKHOLMS LÄN</t>
        </is>
      </c>
      <c r="E1986" t="inlineStr">
        <is>
          <t>NORRTÄLJE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51082-2024</t>
        </is>
      </c>
      <c r="B1987" s="1" t="n">
        <v>45603.46126157408</v>
      </c>
      <c r="C1987" s="1" t="n">
        <v>46050</v>
      </c>
      <c r="D1987" t="inlineStr">
        <is>
          <t>STOCKHOLMS LÄN</t>
        </is>
      </c>
      <c r="E1987" t="inlineStr">
        <is>
          <t>SÖDERTÄLJE</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21696-2024</t>
        </is>
      </c>
      <c r="B1988" s="1" t="n">
        <v>45442.45686342593</v>
      </c>
      <c r="C1988" s="1" t="n">
        <v>46050</v>
      </c>
      <c r="D1988" t="inlineStr">
        <is>
          <t>STOCKHOLMS LÄN</t>
        </is>
      </c>
      <c r="E1988" t="inlineStr">
        <is>
          <t>NORRTÄLJE</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61225-2022</t>
        </is>
      </c>
      <c r="B1989" s="1" t="n">
        <v>44915</v>
      </c>
      <c r="C1989" s="1" t="n">
        <v>46050</v>
      </c>
      <c r="D1989" t="inlineStr">
        <is>
          <t>STOCKHOLMS LÄN</t>
        </is>
      </c>
      <c r="E1989" t="inlineStr">
        <is>
          <t>BOTKYRKA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52836-2024</t>
        </is>
      </c>
      <c r="B1990" s="1" t="n">
        <v>45610.59637731482</v>
      </c>
      <c r="C1990" s="1" t="n">
        <v>46050</v>
      </c>
      <c r="D1990" t="inlineStr">
        <is>
          <t>STOCKHOLMS LÄN</t>
        </is>
      </c>
      <c r="E1990" t="inlineStr">
        <is>
          <t>HANINGE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52859-2024</t>
        </is>
      </c>
      <c r="B1991" s="1" t="n">
        <v>45610.61542824074</v>
      </c>
      <c r="C1991" s="1" t="n">
        <v>46050</v>
      </c>
      <c r="D1991" t="inlineStr">
        <is>
          <t>STOCKHOLMS LÄN</t>
        </is>
      </c>
      <c r="E1991" t="inlineStr">
        <is>
          <t>NYNÄSHAMN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67990-2021</t>
        </is>
      </c>
      <c r="B1992" s="1" t="n">
        <v>44525</v>
      </c>
      <c r="C1992" s="1" t="n">
        <v>46050</v>
      </c>
      <c r="D1992" t="inlineStr">
        <is>
          <t>STOCKHOLMS LÄN</t>
        </is>
      </c>
      <c r="E1992" t="inlineStr">
        <is>
          <t>NORRTÄLJE</t>
        </is>
      </c>
      <c r="F1992" t="inlineStr">
        <is>
          <t>Sveaskog</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71540-2021</t>
        </is>
      </c>
      <c r="B1993" s="1" t="n">
        <v>44540</v>
      </c>
      <c r="C1993" s="1" t="n">
        <v>46050</v>
      </c>
      <c r="D1993" t="inlineStr">
        <is>
          <t>STOCKHOLMS LÄN</t>
        </is>
      </c>
      <c r="E1993" t="inlineStr">
        <is>
          <t>NYKVARN</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71552-2021</t>
        </is>
      </c>
      <c r="B1994" s="1" t="n">
        <v>44540</v>
      </c>
      <c r="C1994" s="1" t="n">
        <v>46050</v>
      </c>
      <c r="D1994" t="inlineStr">
        <is>
          <t>STOCKHOLMS LÄN</t>
        </is>
      </c>
      <c r="E1994" t="inlineStr">
        <is>
          <t>NORRTÄLJE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73992-2021</t>
        </is>
      </c>
      <c r="B1995" s="1" t="n">
        <v>44556</v>
      </c>
      <c r="C1995" s="1" t="n">
        <v>46050</v>
      </c>
      <c r="D1995" t="inlineStr">
        <is>
          <t>STOCKHOLMS LÄN</t>
        </is>
      </c>
      <c r="E1995" t="inlineStr">
        <is>
          <t>NORRTÄLJE</t>
        </is>
      </c>
      <c r="G1995" t="n">
        <v>12.5</v>
      </c>
      <c r="H1995" t="n">
        <v>0</v>
      </c>
      <c r="I1995" t="n">
        <v>0</v>
      </c>
      <c r="J1995" t="n">
        <v>0</v>
      </c>
      <c r="K1995" t="n">
        <v>0</v>
      </c>
      <c r="L1995" t="n">
        <v>0</v>
      </c>
      <c r="M1995" t="n">
        <v>0</v>
      </c>
      <c r="N1995" t="n">
        <v>0</v>
      </c>
      <c r="O1995" t="n">
        <v>0</v>
      </c>
      <c r="P1995" t="n">
        <v>0</v>
      </c>
      <c r="Q1995" t="n">
        <v>0</v>
      </c>
      <c r="R1995" s="2" t="inlineStr"/>
    </row>
    <row r="1996" ht="15" customHeight="1">
      <c r="A1996" t="inlineStr">
        <is>
          <t>A 7926-2023</t>
        </is>
      </c>
      <c r="B1996" s="1" t="n">
        <v>44973.6502662037</v>
      </c>
      <c r="C1996" s="1" t="n">
        <v>46050</v>
      </c>
      <c r="D1996" t="inlineStr">
        <is>
          <t>STOCKHOLMS LÄN</t>
        </is>
      </c>
      <c r="E1996" t="inlineStr">
        <is>
          <t>NYKVARN</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26113-2024</t>
        </is>
      </c>
      <c r="B1997" s="1" t="n">
        <v>45468.45541666666</v>
      </c>
      <c r="C1997" s="1" t="n">
        <v>46050</v>
      </c>
      <c r="D1997" t="inlineStr">
        <is>
          <t>STOCKHOLMS LÄN</t>
        </is>
      </c>
      <c r="E1997" t="inlineStr">
        <is>
          <t>NORRTÄLJE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26116-2024</t>
        </is>
      </c>
      <c r="B1998" s="1" t="n">
        <v>45468.45747685185</v>
      </c>
      <c r="C1998" s="1" t="n">
        <v>46050</v>
      </c>
      <c r="D1998" t="inlineStr">
        <is>
          <t>STOCKHOLMS LÄN</t>
        </is>
      </c>
      <c r="E1998" t="inlineStr">
        <is>
          <t>NORRTÄLJE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15978-2024</t>
        </is>
      </c>
      <c r="B1999" s="1" t="n">
        <v>45405.57927083333</v>
      </c>
      <c r="C1999" s="1" t="n">
        <v>46050</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11333-2025</t>
        </is>
      </c>
      <c r="B2000" s="1" t="n">
        <v>45726.48377314815</v>
      </c>
      <c r="C2000" s="1" t="n">
        <v>46050</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22529-2022</t>
        </is>
      </c>
      <c r="B2001" s="1" t="n">
        <v>44713</v>
      </c>
      <c r="C2001" s="1" t="n">
        <v>46050</v>
      </c>
      <c r="D2001" t="inlineStr">
        <is>
          <t>STOCKHOLMS LÄN</t>
        </is>
      </c>
      <c r="E2001" t="inlineStr">
        <is>
          <t>NYKVARN</t>
        </is>
      </c>
      <c r="F2001" t="inlineStr">
        <is>
          <t>Allmännings- och besparingsskogar</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34385-2023</t>
        </is>
      </c>
      <c r="B2002" s="1" t="n">
        <v>45139</v>
      </c>
      <c r="C2002" s="1" t="n">
        <v>46050</v>
      </c>
      <c r="D2002" t="inlineStr">
        <is>
          <t>STOCKHOLMS LÄN</t>
        </is>
      </c>
      <c r="E2002" t="inlineStr">
        <is>
          <t>NYNÄSHAMN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34391-2023</t>
        </is>
      </c>
      <c r="B2003" s="1" t="n">
        <v>45139.51457175926</v>
      </c>
      <c r="C2003" s="1" t="n">
        <v>46050</v>
      </c>
      <c r="D2003" t="inlineStr">
        <is>
          <t>STOCKHOLMS LÄN</t>
        </is>
      </c>
      <c r="E2003" t="inlineStr">
        <is>
          <t>NORRTÄLJE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42339-2024</t>
        </is>
      </c>
      <c r="B2004" s="1" t="n">
        <v>45562</v>
      </c>
      <c r="C2004" s="1" t="n">
        <v>46050</v>
      </c>
      <c r="D2004" t="inlineStr">
        <is>
          <t>STOCKHOLMS LÄN</t>
        </is>
      </c>
      <c r="E2004" t="inlineStr">
        <is>
          <t>SÖDERTÄLJE</t>
        </is>
      </c>
      <c r="F2004" t="inlineStr">
        <is>
          <t>Övriga statliga verk och myndigheter</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24068-2024</t>
        </is>
      </c>
      <c r="B2005" s="1" t="n">
        <v>45456</v>
      </c>
      <c r="C2005" s="1" t="n">
        <v>46050</v>
      </c>
      <c r="D2005" t="inlineStr">
        <is>
          <t>STOCKHOLMS LÄN</t>
        </is>
      </c>
      <c r="E2005" t="inlineStr">
        <is>
          <t>VALLENTUNA</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4338-2023</t>
        </is>
      </c>
      <c r="B2006" s="1" t="n">
        <v>44953</v>
      </c>
      <c r="C2006" s="1" t="n">
        <v>46050</v>
      </c>
      <c r="D2006" t="inlineStr">
        <is>
          <t>STOCKHOLMS LÄN</t>
        </is>
      </c>
      <c r="E2006" t="inlineStr">
        <is>
          <t>UPPLANDS-BRO</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10185-2025</t>
        </is>
      </c>
      <c r="B2007" s="1" t="n">
        <v>45719</v>
      </c>
      <c r="C2007" s="1" t="n">
        <v>46050</v>
      </c>
      <c r="D2007" t="inlineStr">
        <is>
          <t>STOCKHOLMS LÄN</t>
        </is>
      </c>
      <c r="E2007" t="inlineStr">
        <is>
          <t>ÖSTERÅKER</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67921-2021</t>
        </is>
      </c>
      <c r="B2008" s="1" t="n">
        <v>44525</v>
      </c>
      <c r="C2008" s="1" t="n">
        <v>46050</v>
      </c>
      <c r="D2008" t="inlineStr">
        <is>
          <t>STOCKHOLMS LÄN</t>
        </is>
      </c>
      <c r="E2008" t="inlineStr">
        <is>
          <t>NORRTÄLJE</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61336-2022</t>
        </is>
      </c>
      <c r="B2009" s="1" t="n">
        <v>44915</v>
      </c>
      <c r="C2009" s="1" t="n">
        <v>46050</v>
      </c>
      <c r="D2009" t="inlineStr">
        <is>
          <t>STOCKHOLMS LÄN</t>
        </is>
      </c>
      <c r="E2009" t="inlineStr">
        <is>
          <t>SALEM</t>
        </is>
      </c>
      <c r="F2009" t="inlineStr">
        <is>
          <t>Kommuner</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25681-2024</t>
        </is>
      </c>
      <c r="B2010" s="1" t="n">
        <v>45463.80486111111</v>
      </c>
      <c r="C2010" s="1" t="n">
        <v>46050</v>
      </c>
      <c r="D2010" t="inlineStr">
        <is>
          <t>STOCKHOLMS LÄN</t>
        </is>
      </c>
      <c r="E2010" t="inlineStr">
        <is>
          <t>NORRTÄLJE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58853-2024</t>
        </is>
      </c>
      <c r="B2011" s="1" t="n">
        <v>45636.38974537037</v>
      </c>
      <c r="C2011" s="1" t="n">
        <v>46050</v>
      </c>
      <c r="D2011" t="inlineStr">
        <is>
          <t>STOCKHOLMS LÄN</t>
        </is>
      </c>
      <c r="E2011" t="inlineStr">
        <is>
          <t>NORRTÄLJE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51026-2024</t>
        </is>
      </c>
      <c r="B2012" s="1" t="n">
        <v>45603.4181712963</v>
      </c>
      <c r="C2012" s="1" t="n">
        <v>46050</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27724-2022</t>
        </is>
      </c>
      <c r="B2013" s="1" t="n">
        <v>44743.48386574074</v>
      </c>
      <c r="C2013" s="1" t="n">
        <v>46050</v>
      </c>
      <c r="D2013" t="inlineStr">
        <is>
          <t>STOCKHOLMS LÄN</t>
        </is>
      </c>
      <c r="E2013" t="inlineStr">
        <is>
          <t>UPPLANDS VÄSBY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35438-2023</t>
        </is>
      </c>
      <c r="B2014" s="1" t="n">
        <v>45146</v>
      </c>
      <c r="C2014" s="1" t="n">
        <v>46050</v>
      </c>
      <c r="D2014" t="inlineStr">
        <is>
          <t>STOCKHOLMS LÄN</t>
        </is>
      </c>
      <c r="E2014" t="inlineStr">
        <is>
          <t>NORRTÄLJE</t>
        </is>
      </c>
      <c r="F2014" t="inlineStr">
        <is>
          <t>Kommuner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20291-2022</t>
        </is>
      </c>
      <c r="B2015" s="1" t="n">
        <v>44698</v>
      </c>
      <c r="C2015" s="1" t="n">
        <v>46050</v>
      </c>
      <c r="D2015" t="inlineStr">
        <is>
          <t>STOCKHOLMS LÄN</t>
        </is>
      </c>
      <c r="E2015" t="inlineStr">
        <is>
          <t>NORRTÄLJE</t>
        </is>
      </c>
      <c r="F2015" t="inlineStr">
        <is>
          <t>Naturvårdsverket</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26115-2024</t>
        </is>
      </c>
      <c r="B2016" s="1" t="n">
        <v>45468.45628472222</v>
      </c>
      <c r="C2016" s="1" t="n">
        <v>46050</v>
      </c>
      <c r="D2016" t="inlineStr">
        <is>
          <t>STOCKHOLMS LÄN</t>
        </is>
      </c>
      <c r="E2016" t="inlineStr">
        <is>
          <t>NORRTÄLJE</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34660-2023</t>
        </is>
      </c>
      <c r="B2017" s="1" t="n">
        <v>45140</v>
      </c>
      <c r="C2017" s="1" t="n">
        <v>46050</v>
      </c>
      <c r="D2017" t="inlineStr">
        <is>
          <t>STOCKHOLMS LÄN</t>
        </is>
      </c>
      <c r="E2017" t="inlineStr">
        <is>
          <t>NYNÄSHAMN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5528-2023</t>
        </is>
      </c>
      <c r="B2018" s="1" t="n">
        <v>44957</v>
      </c>
      <c r="C2018" s="1" t="n">
        <v>46050</v>
      </c>
      <c r="D2018" t="inlineStr">
        <is>
          <t>STOCKHOLMS LÄN</t>
        </is>
      </c>
      <c r="E2018" t="inlineStr">
        <is>
          <t>VAXHOLM</t>
        </is>
      </c>
      <c r="F2018" t="inlineStr">
        <is>
          <t>Övriga statliga verk och myndigheter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25217-2024</t>
        </is>
      </c>
      <c r="B2019" s="1" t="n">
        <v>45462</v>
      </c>
      <c r="C2019" s="1" t="n">
        <v>46050</v>
      </c>
      <c r="D2019" t="inlineStr">
        <is>
          <t>STOCKHOLMS LÄN</t>
        </is>
      </c>
      <c r="E2019" t="inlineStr">
        <is>
          <t>BOTKYRKA</t>
        </is>
      </c>
      <c r="F2019" t="inlineStr">
        <is>
          <t>Övriga Aktiebolag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19118-2022</t>
        </is>
      </c>
      <c r="B2020" s="1" t="n">
        <v>44691.5652662037</v>
      </c>
      <c r="C2020" s="1" t="n">
        <v>46050</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3937-2022</t>
        </is>
      </c>
      <c r="B2021" s="1" t="n">
        <v>44587</v>
      </c>
      <c r="C2021" s="1" t="n">
        <v>46050</v>
      </c>
      <c r="D2021" t="inlineStr">
        <is>
          <t>STOCKHOLMS LÄN</t>
        </is>
      </c>
      <c r="E2021" t="inlineStr">
        <is>
          <t>VALLENTUNA</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48820-2022</t>
        </is>
      </c>
      <c r="B2022" s="1" t="n">
        <v>44859</v>
      </c>
      <c r="C2022" s="1" t="n">
        <v>46050</v>
      </c>
      <c r="D2022" t="inlineStr">
        <is>
          <t>STOCKHOLMS LÄN</t>
        </is>
      </c>
      <c r="E2022" t="inlineStr">
        <is>
          <t>SÖDERTÄLJE</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23013-2024</t>
        </is>
      </c>
      <c r="B2023" s="1" t="n">
        <v>45450.35116898148</v>
      </c>
      <c r="C2023" s="1" t="n">
        <v>46050</v>
      </c>
      <c r="D2023" t="inlineStr">
        <is>
          <t>STOCKHOLMS LÄN</t>
        </is>
      </c>
      <c r="E2023" t="inlineStr">
        <is>
          <t>VALLENTUNA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34193-2024</t>
        </is>
      </c>
      <c r="B2024" s="1" t="n">
        <v>45524.46203703704</v>
      </c>
      <c r="C2024" s="1" t="n">
        <v>46050</v>
      </c>
      <c r="D2024" t="inlineStr">
        <is>
          <t>STOCKHOLMS LÄN</t>
        </is>
      </c>
      <c r="E2024" t="inlineStr">
        <is>
          <t>SÖDERTÄLJE</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59848-2022</t>
        </is>
      </c>
      <c r="B2025" s="1" t="n">
        <v>44901</v>
      </c>
      <c r="C2025" s="1" t="n">
        <v>46050</v>
      </c>
      <c r="D2025" t="inlineStr">
        <is>
          <t>STOCKHOLMS LÄN</t>
        </is>
      </c>
      <c r="E2025" t="inlineStr">
        <is>
          <t>UPPLANDS-BRO</t>
        </is>
      </c>
      <c r="F2025" t="inlineStr">
        <is>
          <t>Övriga statliga verk och myndigheter</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3078-2023</t>
        </is>
      </c>
      <c r="B2026" s="1" t="n">
        <v>44946.41527777778</v>
      </c>
      <c r="C2026" s="1" t="n">
        <v>46050</v>
      </c>
      <c r="D2026" t="inlineStr">
        <is>
          <t>STOCKHOLMS LÄN</t>
        </is>
      </c>
      <c r="E2026" t="inlineStr">
        <is>
          <t>VALLENTUNA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8739-2024</t>
        </is>
      </c>
      <c r="B2027" s="1" t="n">
        <v>45356.47784722222</v>
      </c>
      <c r="C2027" s="1" t="n">
        <v>46050</v>
      </c>
      <c r="D2027" t="inlineStr">
        <is>
          <t>STOCKHOLMS LÄN</t>
        </is>
      </c>
      <c r="E2027" t="inlineStr">
        <is>
          <t>NORRTÄLJE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38759-2022</t>
        </is>
      </c>
      <c r="B2028" s="1" t="n">
        <v>44816</v>
      </c>
      <c r="C2028" s="1" t="n">
        <v>46050</v>
      </c>
      <c r="D2028" t="inlineStr">
        <is>
          <t>STOCKHOLMS LÄN</t>
        </is>
      </c>
      <c r="E2028" t="inlineStr">
        <is>
          <t>NORRTÄLJE</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32857-2021</t>
        </is>
      </c>
      <c r="B2029" s="1" t="n">
        <v>44375</v>
      </c>
      <c r="C2029" s="1" t="n">
        <v>46050</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29714-2023</t>
        </is>
      </c>
      <c r="B2030" s="1" t="n">
        <v>45107.42538194444</v>
      </c>
      <c r="C2030" s="1" t="n">
        <v>46050</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23271-2023</t>
        </is>
      </c>
      <c r="B2031" s="1" t="n">
        <v>45075.91362268518</v>
      </c>
      <c r="C2031" s="1" t="n">
        <v>46050</v>
      </c>
      <c r="D2031" t="inlineStr">
        <is>
          <t>STOCKHOLMS LÄN</t>
        </is>
      </c>
      <c r="E2031" t="inlineStr">
        <is>
          <t>NORRTÄLJE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23273-2023</t>
        </is>
      </c>
      <c r="B2032" s="1" t="n">
        <v>45075.91971064815</v>
      </c>
      <c r="C2032" s="1" t="n">
        <v>46050</v>
      </c>
      <c r="D2032" t="inlineStr">
        <is>
          <t>STOCKHOLMS LÄN</t>
        </is>
      </c>
      <c r="E2032" t="inlineStr">
        <is>
          <t>NORRTÄLJE</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17623-2024</t>
        </is>
      </c>
      <c r="B2033" s="1" t="n">
        <v>45417.83097222223</v>
      </c>
      <c r="C2033" s="1" t="n">
        <v>46050</v>
      </c>
      <c r="D2033" t="inlineStr">
        <is>
          <t>STOCKHOLMS LÄN</t>
        </is>
      </c>
      <c r="E2033" t="inlineStr">
        <is>
          <t>VÄRMDÖ</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23992-2023</t>
        </is>
      </c>
      <c r="B2034" s="1" t="n">
        <v>45078</v>
      </c>
      <c r="C2034" s="1" t="n">
        <v>46050</v>
      </c>
      <c r="D2034" t="inlineStr">
        <is>
          <t>STOCKHOLMS LÄN</t>
        </is>
      </c>
      <c r="E2034" t="inlineStr">
        <is>
          <t>SALEM</t>
        </is>
      </c>
      <c r="F2034" t="inlineStr">
        <is>
          <t>Kommuner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6593-2021</t>
        </is>
      </c>
      <c r="B2035" s="1" t="n">
        <v>44236</v>
      </c>
      <c r="C2035" s="1" t="n">
        <v>46050</v>
      </c>
      <c r="D2035" t="inlineStr">
        <is>
          <t>STOCKHOLMS LÄN</t>
        </is>
      </c>
      <c r="E2035" t="inlineStr">
        <is>
          <t>VALLENTUNA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7694-2023</t>
        </is>
      </c>
      <c r="B2036" s="1" t="n">
        <v>44967</v>
      </c>
      <c r="C2036" s="1" t="n">
        <v>46050</v>
      </c>
      <c r="D2036" t="inlineStr">
        <is>
          <t>STOCKHOLMS LÄN</t>
        </is>
      </c>
      <c r="E2036" t="inlineStr">
        <is>
          <t>VAXHOLM</t>
        </is>
      </c>
      <c r="F2036" t="inlineStr">
        <is>
          <t>Övriga statliga verk och myndigheter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26812-2022</t>
        </is>
      </c>
      <c r="B2037" s="1" t="n">
        <v>44740</v>
      </c>
      <c r="C2037" s="1" t="n">
        <v>46050</v>
      </c>
      <c r="D2037" t="inlineStr">
        <is>
          <t>STOCKHOLMS LÄN</t>
        </is>
      </c>
      <c r="E2037" t="inlineStr">
        <is>
          <t>SÖDERTÄLJE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62320-2023</t>
        </is>
      </c>
      <c r="B2038" s="1" t="n">
        <v>45267</v>
      </c>
      <c r="C2038" s="1" t="n">
        <v>46050</v>
      </c>
      <c r="D2038" t="inlineStr">
        <is>
          <t>STOCKHOLMS LÄN</t>
        </is>
      </c>
      <c r="E2038" t="inlineStr">
        <is>
          <t>SÖDERTÄLJE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33061-2024</t>
        </is>
      </c>
      <c r="B2039" s="1" t="n">
        <v>45517.64091435185</v>
      </c>
      <c r="C2039" s="1" t="n">
        <v>46050</v>
      </c>
      <c r="D2039" t="inlineStr">
        <is>
          <t>STOCKHOLMS LÄN</t>
        </is>
      </c>
      <c r="E2039" t="inlineStr">
        <is>
          <t>VÄRMDÖ</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2727-2024</t>
        </is>
      </c>
      <c r="B2040" s="1" t="n">
        <v>45314</v>
      </c>
      <c r="C2040" s="1" t="n">
        <v>46050</v>
      </c>
      <c r="D2040" t="inlineStr">
        <is>
          <t>STOCKHOLMS LÄN</t>
        </is>
      </c>
      <c r="E2040" t="inlineStr">
        <is>
          <t>VAXHOLM</t>
        </is>
      </c>
      <c r="F2040" t="inlineStr">
        <is>
          <t>Övriga statliga verk och myndigheter</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67265-2021</t>
        </is>
      </c>
      <c r="B2041" s="1" t="n">
        <v>44523.59277777778</v>
      </c>
      <c r="C2041" s="1" t="n">
        <v>46050</v>
      </c>
      <c r="D2041" t="inlineStr">
        <is>
          <t>STOCKHOLMS LÄN</t>
        </is>
      </c>
      <c r="E2041" t="inlineStr">
        <is>
          <t>ÖSTERÅKER</t>
        </is>
      </c>
      <c r="F2041" t="inlineStr">
        <is>
          <t>Kommuner</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8078-2024</t>
        </is>
      </c>
      <c r="B2042" s="1" t="n">
        <v>45351.43737268518</v>
      </c>
      <c r="C2042" s="1" t="n">
        <v>46050</v>
      </c>
      <c r="D2042" t="inlineStr">
        <is>
          <t>STOCKHOLMS LÄN</t>
        </is>
      </c>
      <c r="E2042" t="inlineStr">
        <is>
          <t>HANINGE</t>
        </is>
      </c>
      <c r="F2042" t="inlineStr">
        <is>
          <t>Kommuner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39539-2023</t>
        </is>
      </c>
      <c r="B2043" s="1" t="n">
        <v>45167</v>
      </c>
      <c r="C2043" s="1" t="n">
        <v>46050</v>
      </c>
      <c r="D2043" t="inlineStr">
        <is>
          <t>STOCKHOLMS LÄN</t>
        </is>
      </c>
      <c r="E2043" t="inlineStr">
        <is>
          <t>NYKVARN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7603-2025</t>
        </is>
      </c>
      <c r="B2044" s="1" t="n">
        <v>45705.66126157407</v>
      </c>
      <c r="C2044" s="1" t="n">
        <v>46050</v>
      </c>
      <c r="D2044" t="inlineStr">
        <is>
          <t>STOCKHOLMS LÄN</t>
        </is>
      </c>
      <c r="E2044" t="inlineStr">
        <is>
          <t>NORRTÄLJE</t>
        </is>
      </c>
      <c r="F2044" t="inlineStr">
        <is>
          <t>Holmen skog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30802-2022</t>
        </is>
      </c>
      <c r="B2045" s="1" t="n">
        <v>44764</v>
      </c>
      <c r="C2045" s="1" t="n">
        <v>46050</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44624-2023</t>
        </is>
      </c>
      <c r="B2046" s="1" t="n">
        <v>45184</v>
      </c>
      <c r="C2046" s="1" t="n">
        <v>46050</v>
      </c>
      <c r="D2046" t="inlineStr">
        <is>
          <t>STOCKHOLMS LÄN</t>
        </is>
      </c>
      <c r="E2046" t="inlineStr">
        <is>
          <t>NYNÄSHAMN</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55369-2023</t>
        </is>
      </c>
      <c r="B2047" s="1" t="n">
        <v>45238</v>
      </c>
      <c r="C2047" s="1" t="n">
        <v>46050</v>
      </c>
      <c r="D2047" t="inlineStr">
        <is>
          <t>STOCKHOLMS LÄN</t>
        </is>
      </c>
      <c r="E2047" t="inlineStr">
        <is>
          <t>NORRTÄLJE</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61113-2023</t>
        </is>
      </c>
      <c r="B2048" s="1" t="n">
        <v>45261</v>
      </c>
      <c r="C2048" s="1" t="n">
        <v>46050</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3283-2025</t>
        </is>
      </c>
      <c r="B2049" s="1" t="n">
        <v>45679</v>
      </c>
      <c r="C2049" s="1" t="n">
        <v>46050</v>
      </c>
      <c r="D2049" t="inlineStr">
        <is>
          <t>STOCKHOLMS LÄN</t>
        </is>
      </c>
      <c r="E2049" t="inlineStr">
        <is>
          <t>NORRTÄLJE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34295-2024</t>
        </is>
      </c>
      <c r="B2050" s="1" t="n">
        <v>45524</v>
      </c>
      <c r="C2050" s="1" t="n">
        <v>46050</v>
      </c>
      <c r="D2050" t="inlineStr">
        <is>
          <t>STOCKHOLMS LÄN</t>
        </is>
      </c>
      <c r="E2050" t="inlineStr">
        <is>
          <t>NORRTÄLJE</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58311-2023</t>
        </is>
      </c>
      <c r="B2051" s="1" t="n">
        <v>45245</v>
      </c>
      <c r="C2051" s="1" t="n">
        <v>46050</v>
      </c>
      <c r="D2051" t="inlineStr">
        <is>
          <t>STOCKHOLMS LÄN</t>
        </is>
      </c>
      <c r="E2051" t="inlineStr">
        <is>
          <t>NORRTÄLJE</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20960-2023</t>
        </is>
      </c>
      <c r="B2052" s="1" t="n">
        <v>45061</v>
      </c>
      <c r="C2052" s="1" t="n">
        <v>46050</v>
      </c>
      <c r="D2052" t="inlineStr">
        <is>
          <t>STOCKHOLMS LÄN</t>
        </is>
      </c>
      <c r="E2052" t="inlineStr">
        <is>
          <t>SIGTUNA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23692-2024</t>
        </is>
      </c>
      <c r="B2053" s="1" t="n">
        <v>45454.65774305556</v>
      </c>
      <c r="C2053" s="1" t="n">
        <v>46050</v>
      </c>
      <c r="D2053" t="inlineStr">
        <is>
          <t>STOCKHOLMS LÄN</t>
        </is>
      </c>
      <c r="E2053" t="inlineStr">
        <is>
          <t>NORRTÄLJE</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6876-2022</t>
        </is>
      </c>
      <c r="B2054" s="1" t="n">
        <v>44602</v>
      </c>
      <c r="C2054" s="1" t="n">
        <v>46050</v>
      </c>
      <c r="D2054" t="inlineStr">
        <is>
          <t>STOCKHOLMS LÄN</t>
        </is>
      </c>
      <c r="E2054" t="inlineStr">
        <is>
          <t>NYKVARN</t>
        </is>
      </c>
      <c r="F2054" t="inlineStr">
        <is>
          <t>Kommuner</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20473-2021</t>
        </is>
      </c>
      <c r="B2055" s="1" t="n">
        <v>44315</v>
      </c>
      <c r="C2055" s="1" t="n">
        <v>46050</v>
      </c>
      <c r="D2055" t="inlineStr">
        <is>
          <t>STOCKHOLMS LÄN</t>
        </is>
      </c>
      <c r="E2055" t="inlineStr">
        <is>
          <t>NORRTÄLJE</t>
        </is>
      </c>
      <c r="F2055" t="inlineStr">
        <is>
          <t>Övriga Aktiebolag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59700-2021</t>
        </is>
      </c>
      <c r="B2056" s="1" t="n">
        <v>44494</v>
      </c>
      <c r="C2056" s="1" t="n">
        <v>46050</v>
      </c>
      <c r="D2056" t="inlineStr">
        <is>
          <t>STOCKHOLMS LÄN</t>
        </is>
      </c>
      <c r="E2056" t="inlineStr">
        <is>
          <t>UPPLANDS-BRO</t>
        </is>
      </c>
      <c r="F2056" t="inlineStr">
        <is>
          <t>Övriga statliga verk och myndigheter</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19503-2023</t>
        </is>
      </c>
      <c r="B2057" s="1" t="n">
        <v>45050.47333333334</v>
      </c>
      <c r="C2057" s="1" t="n">
        <v>46050</v>
      </c>
      <c r="D2057" t="inlineStr">
        <is>
          <t>STOCKHOLMS LÄN</t>
        </is>
      </c>
      <c r="E2057" t="inlineStr">
        <is>
          <t>VALLENTUNA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54273-2021</t>
        </is>
      </c>
      <c r="B2058" s="1" t="n">
        <v>44470.72987268519</v>
      </c>
      <c r="C2058" s="1" t="n">
        <v>46050</v>
      </c>
      <c r="D2058" t="inlineStr">
        <is>
          <t>STOCKHOLMS LÄN</t>
        </is>
      </c>
      <c r="E2058" t="inlineStr">
        <is>
          <t>NORRTÄLJE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30910-2023</t>
        </is>
      </c>
      <c r="B2059" s="1" t="n">
        <v>45113</v>
      </c>
      <c r="C2059" s="1" t="n">
        <v>46050</v>
      </c>
      <c r="D2059" t="inlineStr">
        <is>
          <t>STOCKHOLMS LÄN</t>
        </is>
      </c>
      <c r="E2059" t="inlineStr">
        <is>
          <t>NYNÄSHAMN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57884-2021</t>
        </is>
      </c>
      <c r="B2060" s="1" t="n">
        <v>44485</v>
      </c>
      <c r="C2060" s="1" t="n">
        <v>46050</v>
      </c>
      <c r="D2060" t="inlineStr">
        <is>
          <t>STOCKHOLMS LÄN</t>
        </is>
      </c>
      <c r="E2060" t="inlineStr">
        <is>
          <t>SÖDERTÄLJE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8323-2025</t>
        </is>
      </c>
      <c r="B2061" s="1" t="n">
        <v>45708.6322337963</v>
      </c>
      <c r="C2061" s="1" t="n">
        <v>46050</v>
      </c>
      <c r="D2061" t="inlineStr">
        <is>
          <t>STOCKHOLMS LÄN</t>
        </is>
      </c>
      <c r="E2061" t="inlineStr">
        <is>
          <t>SÖDERTÄLJE</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15839-2025</t>
        </is>
      </c>
      <c r="B2062" s="1" t="n">
        <v>45748.868125</v>
      </c>
      <c r="C2062" s="1" t="n">
        <v>46050</v>
      </c>
      <c r="D2062" t="inlineStr">
        <is>
          <t>STOCKHOLMS LÄN</t>
        </is>
      </c>
      <c r="E2062" t="inlineStr">
        <is>
          <t>NYNÄSHAMN</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7806-2025</t>
        </is>
      </c>
      <c r="B2063" s="1" t="n">
        <v>45706.61178240741</v>
      </c>
      <c r="C2063" s="1" t="n">
        <v>46050</v>
      </c>
      <c r="D2063" t="inlineStr">
        <is>
          <t>STOCKHOLMS LÄN</t>
        </is>
      </c>
      <c r="E2063" t="inlineStr">
        <is>
          <t>NORRTÄLJE</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53792-2023</t>
        </is>
      </c>
      <c r="B2064" s="1" t="n">
        <v>45231.34144675926</v>
      </c>
      <c r="C2064" s="1" t="n">
        <v>46050</v>
      </c>
      <c r="D2064" t="inlineStr">
        <is>
          <t>STOCKHOLMS LÄN</t>
        </is>
      </c>
      <c r="E2064" t="inlineStr">
        <is>
          <t>NORRTÄLJE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18711-2023</t>
        </is>
      </c>
      <c r="B2065" s="1" t="n">
        <v>45043.6433912037</v>
      </c>
      <c r="C2065" s="1" t="n">
        <v>46050</v>
      </c>
      <c r="D2065" t="inlineStr">
        <is>
          <t>STOCKHOLMS LÄN</t>
        </is>
      </c>
      <c r="E2065" t="inlineStr">
        <is>
          <t>ÖSTERÅKER</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21329-2022</t>
        </is>
      </c>
      <c r="B2066" s="1" t="n">
        <v>44705.60626157407</v>
      </c>
      <c r="C2066" s="1" t="n">
        <v>46050</v>
      </c>
      <c r="D2066" t="inlineStr">
        <is>
          <t>STOCKHOLMS LÄN</t>
        </is>
      </c>
      <c r="E2066" t="inlineStr">
        <is>
          <t>NORRTÄLJE</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6886-2022</t>
        </is>
      </c>
      <c r="B2067" s="1" t="n">
        <v>44602</v>
      </c>
      <c r="C2067" s="1" t="n">
        <v>46050</v>
      </c>
      <c r="D2067" t="inlineStr">
        <is>
          <t>STOCKHOLMS LÄN</t>
        </is>
      </c>
      <c r="E2067" t="inlineStr">
        <is>
          <t>SÖDERTÄLJE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50569-2022</t>
        </is>
      </c>
      <c r="B2068" s="1" t="n">
        <v>44866.63775462963</v>
      </c>
      <c r="C2068" s="1" t="n">
        <v>46050</v>
      </c>
      <c r="D2068" t="inlineStr">
        <is>
          <t>STOCKHOLMS LÄN</t>
        </is>
      </c>
      <c r="E2068" t="inlineStr">
        <is>
          <t>NORRTÄLJE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24499-2023</t>
        </is>
      </c>
      <c r="B2069" s="1" t="n">
        <v>45082</v>
      </c>
      <c r="C2069" s="1" t="n">
        <v>46050</v>
      </c>
      <c r="D2069" t="inlineStr">
        <is>
          <t>STOCKHOLMS LÄN</t>
        </is>
      </c>
      <c r="E2069" t="inlineStr">
        <is>
          <t>ÖSTERÅKER</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24501-2023</t>
        </is>
      </c>
      <c r="B2070" s="1" t="n">
        <v>45082</v>
      </c>
      <c r="C2070" s="1" t="n">
        <v>46050</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24520-2023</t>
        </is>
      </c>
      <c r="B2071" s="1" t="n">
        <v>45082.68922453704</v>
      </c>
      <c r="C2071" s="1" t="n">
        <v>46050</v>
      </c>
      <c r="D2071" t="inlineStr">
        <is>
          <t>STOCKHOLMS LÄN</t>
        </is>
      </c>
      <c r="E2071" t="inlineStr">
        <is>
          <t>NORRTÄLJE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60654-2023</t>
        </is>
      </c>
      <c r="B2072" s="1" t="n">
        <v>45260.43225694444</v>
      </c>
      <c r="C2072" s="1" t="n">
        <v>46050</v>
      </c>
      <c r="D2072" t="inlineStr">
        <is>
          <t>STOCKHOLMS LÄN</t>
        </is>
      </c>
      <c r="E2072" t="inlineStr">
        <is>
          <t>NORRTÄLJE</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60656-2023</t>
        </is>
      </c>
      <c r="B2073" s="1" t="n">
        <v>45260.4333449074</v>
      </c>
      <c r="C2073" s="1" t="n">
        <v>46050</v>
      </c>
      <c r="D2073" t="inlineStr">
        <is>
          <t>STOCKHOLMS LÄN</t>
        </is>
      </c>
      <c r="E2073" t="inlineStr">
        <is>
          <t>NORRTÄLJE</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27805-2021</t>
        </is>
      </c>
      <c r="B2074" s="1" t="n">
        <v>44354</v>
      </c>
      <c r="C2074" s="1" t="n">
        <v>46050</v>
      </c>
      <c r="D2074" t="inlineStr">
        <is>
          <t>STOCKHOLMS LÄN</t>
        </is>
      </c>
      <c r="E2074" t="inlineStr">
        <is>
          <t>UPPLANDS-BRO</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54496-2024</t>
        </is>
      </c>
      <c r="B2075" s="1" t="n">
        <v>45617.57439814815</v>
      </c>
      <c r="C2075" s="1" t="n">
        <v>46050</v>
      </c>
      <c r="D2075" t="inlineStr">
        <is>
          <t>STOCKHOLMS LÄN</t>
        </is>
      </c>
      <c r="E2075" t="inlineStr">
        <is>
          <t>NORRTÄLJE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35197-2024</t>
        </is>
      </c>
      <c r="B2076" s="1" t="n">
        <v>45530</v>
      </c>
      <c r="C2076" s="1" t="n">
        <v>46050</v>
      </c>
      <c r="D2076" t="inlineStr">
        <is>
          <t>STOCKHOLMS LÄN</t>
        </is>
      </c>
      <c r="E2076" t="inlineStr">
        <is>
          <t>BOTKYRKA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21386-2023</t>
        </is>
      </c>
      <c r="B2077" s="1" t="n">
        <v>45063.35880787037</v>
      </c>
      <c r="C2077" s="1" t="n">
        <v>46050</v>
      </c>
      <c r="D2077" t="inlineStr">
        <is>
          <t>STOCKHOLMS LÄN</t>
        </is>
      </c>
      <c r="E2077" t="inlineStr">
        <is>
          <t>NORRTÄLJE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10642-2025</t>
        </is>
      </c>
      <c r="B2078" s="1" t="n">
        <v>45721.65858796296</v>
      </c>
      <c r="C2078" s="1" t="n">
        <v>46050</v>
      </c>
      <c r="D2078" t="inlineStr">
        <is>
          <t>STOCKHOLMS LÄN</t>
        </is>
      </c>
      <c r="E2078" t="inlineStr">
        <is>
          <t>NORRTÄLJE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30622-2024</t>
        </is>
      </c>
      <c r="B2079" s="1" t="n">
        <v>45495</v>
      </c>
      <c r="C2079" s="1" t="n">
        <v>46050</v>
      </c>
      <c r="D2079" t="inlineStr">
        <is>
          <t>STOCKHOLMS LÄN</t>
        </is>
      </c>
      <c r="E2079" t="inlineStr">
        <is>
          <t>BOTKYRKA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20053-2023</t>
        </is>
      </c>
      <c r="B2080" s="1" t="n">
        <v>45054</v>
      </c>
      <c r="C2080" s="1" t="n">
        <v>46050</v>
      </c>
      <c r="D2080" t="inlineStr">
        <is>
          <t>STOCKHOLMS LÄN</t>
        </is>
      </c>
      <c r="E2080" t="inlineStr">
        <is>
          <t>VÄRMDÖ</t>
        </is>
      </c>
      <c r="F2080" t="inlineStr">
        <is>
          <t>Övriga Aktiebolag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20144-2023</t>
        </is>
      </c>
      <c r="B2081" s="1" t="n">
        <v>45055.43509259259</v>
      </c>
      <c r="C2081" s="1" t="n">
        <v>46050</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53312-2024</t>
        </is>
      </c>
      <c r="B2082" s="1" t="n">
        <v>45614.39627314815</v>
      </c>
      <c r="C2082" s="1" t="n">
        <v>46050</v>
      </c>
      <c r="D2082" t="inlineStr">
        <is>
          <t>STOCKHOLMS LÄN</t>
        </is>
      </c>
      <c r="E2082" t="inlineStr">
        <is>
          <t>NORRTÄLJE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39202-2024</t>
        </is>
      </c>
      <c r="B2083" s="1" t="n">
        <v>45548.72306712963</v>
      </c>
      <c r="C2083" s="1" t="n">
        <v>46050</v>
      </c>
      <c r="D2083" t="inlineStr">
        <is>
          <t>STOCKHOLMS LÄN</t>
        </is>
      </c>
      <c r="E2083" t="inlineStr">
        <is>
          <t>NORRTÄLJE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22756-2022</t>
        </is>
      </c>
      <c r="B2084" s="1" t="n">
        <v>44714.92253472222</v>
      </c>
      <c r="C2084" s="1" t="n">
        <v>46050</v>
      </c>
      <c r="D2084" t="inlineStr">
        <is>
          <t>STOCKHOLMS LÄN</t>
        </is>
      </c>
      <c r="E2084" t="inlineStr">
        <is>
          <t>NORRTÄLJE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4581-2025</t>
        </is>
      </c>
      <c r="B2085" s="1" t="n">
        <v>45687</v>
      </c>
      <c r="C2085" s="1" t="n">
        <v>46050</v>
      </c>
      <c r="D2085" t="inlineStr">
        <is>
          <t>STOCKHOLMS LÄN</t>
        </is>
      </c>
      <c r="E2085" t="inlineStr">
        <is>
          <t>NORRTÄLJE</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31246-2022</t>
        </is>
      </c>
      <c r="B2086" s="1" t="n">
        <v>44771</v>
      </c>
      <c r="C2086" s="1" t="n">
        <v>46050</v>
      </c>
      <c r="D2086" t="inlineStr">
        <is>
          <t>STOCKHOLMS LÄN</t>
        </is>
      </c>
      <c r="E2086" t="inlineStr">
        <is>
          <t>HUDDINGE</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41767-2024</t>
        </is>
      </c>
      <c r="B2087" s="1" t="n">
        <v>45561.34616898148</v>
      </c>
      <c r="C2087" s="1" t="n">
        <v>46050</v>
      </c>
      <c r="D2087" t="inlineStr">
        <is>
          <t>STOCKHOLMS LÄN</t>
        </is>
      </c>
      <c r="E2087" t="inlineStr">
        <is>
          <t>NYNÄSHAMN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4803-2024</t>
        </is>
      </c>
      <c r="B2088" s="1" t="n">
        <v>45328</v>
      </c>
      <c r="C2088" s="1" t="n">
        <v>46050</v>
      </c>
      <c r="D2088" t="inlineStr">
        <is>
          <t>STOCKHOLMS LÄN</t>
        </is>
      </c>
      <c r="E2088" t="inlineStr">
        <is>
          <t>VALLENTUNA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28146-2024</t>
        </is>
      </c>
      <c r="B2089" s="1" t="n">
        <v>45476</v>
      </c>
      <c r="C2089" s="1" t="n">
        <v>46050</v>
      </c>
      <c r="D2089" t="inlineStr">
        <is>
          <t>STOCKHOLMS LÄN</t>
        </is>
      </c>
      <c r="E2089" t="inlineStr">
        <is>
          <t>ÖSTERÅKER</t>
        </is>
      </c>
      <c r="F2089" t="inlineStr">
        <is>
          <t>Övriga Aktiebolag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60765-2023</t>
        </is>
      </c>
      <c r="B2090" s="1" t="n">
        <v>45260</v>
      </c>
      <c r="C2090" s="1" t="n">
        <v>46050</v>
      </c>
      <c r="D2090" t="inlineStr">
        <is>
          <t>STOCKHOLMS LÄN</t>
        </is>
      </c>
      <c r="E2090" t="inlineStr">
        <is>
          <t>NORRTÄLJE</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45572-2021</t>
        </is>
      </c>
      <c r="B2091" s="1" t="n">
        <v>44440</v>
      </c>
      <c r="C2091" s="1" t="n">
        <v>46050</v>
      </c>
      <c r="D2091" t="inlineStr">
        <is>
          <t>STOCKHOLMS LÄN</t>
        </is>
      </c>
      <c r="E2091" t="inlineStr">
        <is>
          <t>VÄRMDÖ</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23801-2022</t>
        </is>
      </c>
      <c r="B2092" s="1" t="n">
        <v>44722</v>
      </c>
      <c r="C2092" s="1" t="n">
        <v>46050</v>
      </c>
      <c r="D2092" t="inlineStr">
        <is>
          <t>STOCKHOLMS LÄN</t>
        </is>
      </c>
      <c r="E2092" t="inlineStr">
        <is>
          <t>NORRTÄLJE</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59276-2023</t>
        </is>
      </c>
      <c r="B2093" s="1" t="n">
        <v>45253.55641203704</v>
      </c>
      <c r="C2093" s="1" t="n">
        <v>46050</v>
      </c>
      <c r="D2093" t="inlineStr">
        <is>
          <t>STOCKHOLMS LÄN</t>
        </is>
      </c>
      <c r="E2093" t="inlineStr">
        <is>
          <t>NORRTÄLJE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46914-2022</t>
        </is>
      </c>
      <c r="B2094" s="1" t="n">
        <v>44851</v>
      </c>
      <c r="C2094" s="1" t="n">
        <v>46050</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18541-2023</t>
        </is>
      </c>
      <c r="B2095" s="1" t="n">
        <v>45042.74291666667</v>
      </c>
      <c r="C2095" s="1" t="n">
        <v>46050</v>
      </c>
      <c r="D2095" t="inlineStr">
        <is>
          <t>STOCKHOLMS LÄN</t>
        </is>
      </c>
      <c r="E2095" t="inlineStr">
        <is>
          <t>NORRTÄLJE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3509-2022</t>
        </is>
      </c>
      <c r="B2096" s="1" t="n">
        <v>44585</v>
      </c>
      <c r="C2096" s="1" t="n">
        <v>46050</v>
      </c>
      <c r="D2096" t="inlineStr">
        <is>
          <t>STOCKHOLMS LÄN</t>
        </is>
      </c>
      <c r="E2096" t="inlineStr">
        <is>
          <t>NORRTÄLJE</t>
        </is>
      </c>
      <c r="F2096" t="inlineStr">
        <is>
          <t>Kommuner</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3698-2022</t>
        </is>
      </c>
      <c r="B2097" s="1" t="n">
        <v>44586</v>
      </c>
      <c r="C2097" s="1" t="n">
        <v>46050</v>
      </c>
      <c r="D2097" t="inlineStr">
        <is>
          <t>STOCKHOLMS LÄN</t>
        </is>
      </c>
      <c r="E2097" t="inlineStr">
        <is>
          <t>VALLENTUNA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26407-2024</t>
        </is>
      </c>
      <c r="B2098" s="1" t="n">
        <v>45469</v>
      </c>
      <c r="C2098" s="1" t="n">
        <v>46050</v>
      </c>
      <c r="D2098" t="inlineStr">
        <is>
          <t>STOCKHOLMS LÄN</t>
        </is>
      </c>
      <c r="E2098" t="inlineStr">
        <is>
          <t>NORRTÄLJE</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12890-2024</t>
        </is>
      </c>
      <c r="B2099" s="1" t="n">
        <v>45385.36243055556</v>
      </c>
      <c r="C2099" s="1" t="n">
        <v>46050</v>
      </c>
      <c r="D2099" t="inlineStr">
        <is>
          <t>STOCKHOLMS LÄN</t>
        </is>
      </c>
      <c r="E2099" t="inlineStr">
        <is>
          <t>NORRTÄLJE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38102-2024</t>
        </is>
      </c>
      <c r="B2100" s="1" t="n">
        <v>45545.36349537037</v>
      </c>
      <c r="C2100" s="1" t="n">
        <v>46050</v>
      </c>
      <c r="D2100" t="inlineStr">
        <is>
          <t>STOCKHOLMS LÄN</t>
        </is>
      </c>
      <c r="E2100" t="inlineStr">
        <is>
          <t>VALLENTUNA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8748-2022</t>
        </is>
      </c>
      <c r="B2101" s="1" t="n">
        <v>44613</v>
      </c>
      <c r="C2101" s="1" t="n">
        <v>46050</v>
      </c>
      <c r="D2101" t="inlineStr">
        <is>
          <t>STOCKHOLMS LÄN</t>
        </is>
      </c>
      <c r="E2101" t="inlineStr">
        <is>
          <t>UPPLANDS VÄSBY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64494-2023</t>
        </is>
      </c>
      <c r="B2102" s="1" t="n">
        <v>45280.93269675926</v>
      </c>
      <c r="C2102" s="1" t="n">
        <v>46050</v>
      </c>
      <c r="D2102" t="inlineStr">
        <is>
          <t>STOCKHOLMS LÄN</t>
        </is>
      </c>
      <c r="E2102" t="inlineStr">
        <is>
          <t>NYNÄSHAMN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47419-2023</t>
        </is>
      </c>
      <c r="B2103" s="1" t="n">
        <v>45202.65660879629</v>
      </c>
      <c r="C2103" s="1" t="n">
        <v>46050</v>
      </c>
      <c r="D2103" t="inlineStr">
        <is>
          <t>STOCKHOLMS LÄN</t>
        </is>
      </c>
      <c r="E2103" t="inlineStr">
        <is>
          <t>NORRTÄLJE</t>
        </is>
      </c>
      <c r="G2103" t="n">
        <v>11.4</v>
      </c>
      <c r="H2103" t="n">
        <v>0</v>
      </c>
      <c r="I2103" t="n">
        <v>0</v>
      </c>
      <c r="J2103" t="n">
        <v>0</v>
      </c>
      <c r="K2103" t="n">
        <v>0</v>
      </c>
      <c r="L2103" t="n">
        <v>0</v>
      </c>
      <c r="M2103" t="n">
        <v>0</v>
      </c>
      <c r="N2103" t="n">
        <v>0</v>
      </c>
      <c r="O2103" t="n">
        <v>0</v>
      </c>
      <c r="P2103" t="n">
        <v>0</v>
      </c>
      <c r="Q2103" t="n">
        <v>0</v>
      </c>
      <c r="R2103" s="2" t="inlineStr"/>
    </row>
    <row r="2104" ht="15" customHeight="1">
      <c r="A2104" t="inlineStr">
        <is>
          <t>A 23070-2023</t>
        </is>
      </c>
      <c r="B2104" s="1" t="n">
        <v>45075</v>
      </c>
      <c r="C2104" s="1" t="n">
        <v>46050</v>
      </c>
      <c r="D2104" t="inlineStr">
        <is>
          <t>STOCKHOLMS LÄN</t>
        </is>
      </c>
      <c r="E2104" t="inlineStr">
        <is>
          <t>NORRTÄLJE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27824-2022</t>
        </is>
      </c>
      <c r="B2105" s="1" t="n">
        <v>44743.59331018518</v>
      </c>
      <c r="C2105" s="1" t="n">
        <v>46050</v>
      </c>
      <c r="D2105" t="inlineStr">
        <is>
          <t>STOCKHOLMS LÄN</t>
        </is>
      </c>
      <c r="E2105" t="inlineStr">
        <is>
          <t>NORRTÄLJE</t>
        </is>
      </c>
      <c r="F2105" t="inlineStr">
        <is>
          <t>Kommuner</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19903-2023</t>
        </is>
      </c>
      <c r="B2106" s="1" t="n">
        <v>45054</v>
      </c>
      <c r="C2106" s="1" t="n">
        <v>46050</v>
      </c>
      <c r="D2106" t="inlineStr">
        <is>
          <t>STOCKHOLMS LÄN</t>
        </is>
      </c>
      <c r="E2106" t="inlineStr">
        <is>
          <t>NYKVARN</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57048-2024</t>
        </is>
      </c>
      <c r="B2107" s="1" t="n">
        <v>45629.33938657407</v>
      </c>
      <c r="C2107" s="1" t="n">
        <v>46050</v>
      </c>
      <c r="D2107" t="inlineStr">
        <is>
          <t>STOCKHOLMS LÄN</t>
        </is>
      </c>
      <c r="E2107" t="inlineStr">
        <is>
          <t>ÖSTERÅKER</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53337-2023</t>
        </is>
      </c>
      <c r="B2108" s="1" t="n">
        <v>45229.63960648148</v>
      </c>
      <c r="C2108" s="1" t="n">
        <v>46050</v>
      </c>
      <c r="D2108" t="inlineStr">
        <is>
          <t>STOCKHOLMS LÄN</t>
        </is>
      </c>
      <c r="E2108" t="inlineStr">
        <is>
          <t>NYKVARN</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25619-2022</t>
        </is>
      </c>
      <c r="B2109" s="1" t="n">
        <v>44732</v>
      </c>
      <c r="C2109" s="1" t="n">
        <v>46050</v>
      </c>
      <c r="D2109" t="inlineStr">
        <is>
          <t>STOCKHOLMS LÄN</t>
        </is>
      </c>
      <c r="E2109" t="inlineStr">
        <is>
          <t>NORRTÄLJE</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27771-2021</t>
        </is>
      </c>
      <c r="B2110" s="1" t="n">
        <v>44354</v>
      </c>
      <c r="C2110" s="1" t="n">
        <v>46050</v>
      </c>
      <c r="D2110" t="inlineStr">
        <is>
          <t>STOCKHOLMS LÄN</t>
        </is>
      </c>
      <c r="E2110" t="inlineStr">
        <is>
          <t>SÖDERTÄLJE</t>
        </is>
      </c>
      <c r="F2110" t="inlineStr">
        <is>
          <t>Sveaskog</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32424-2023</t>
        </is>
      </c>
      <c r="B2111" s="1" t="n">
        <v>45110</v>
      </c>
      <c r="C2111" s="1" t="n">
        <v>46050</v>
      </c>
      <c r="D2111" t="inlineStr">
        <is>
          <t>STOCKHOLMS LÄN</t>
        </is>
      </c>
      <c r="E2111" t="inlineStr">
        <is>
          <t>SIGTUNA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36246-2021</t>
        </is>
      </c>
      <c r="B2112" s="1" t="n">
        <v>44390</v>
      </c>
      <c r="C2112" s="1" t="n">
        <v>46050</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19220-2023</t>
        </is>
      </c>
      <c r="B2113" s="1" t="n">
        <v>45048</v>
      </c>
      <c r="C2113" s="1" t="n">
        <v>46050</v>
      </c>
      <c r="D2113" t="inlineStr">
        <is>
          <t>STOCKHOLMS LÄN</t>
        </is>
      </c>
      <c r="E2113" t="inlineStr">
        <is>
          <t>HANINGE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19952-2023</t>
        </is>
      </c>
      <c r="B2114" s="1" t="n">
        <v>45054.54091435186</v>
      </c>
      <c r="C2114" s="1" t="n">
        <v>46050</v>
      </c>
      <c r="D2114" t="inlineStr">
        <is>
          <t>STOCKHOLMS LÄN</t>
        </is>
      </c>
      <c r="E2114" t="inlineStr">
        <is>
          <t>NORRTÄLJE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19994-2023</t>
        </is>
      </c>
      <c r="B2115" s="1" t="n">
        <v>45054</v>
      </c>
      <c r="C2115" s="1" t="n">
        <v>46050</v>
      </c>
      <c r="D2115" t="inlineStr">
        <is>
          <t>STOCKHOLMS LÄN</t>
        </is>
      </c>
      <c r="E2115" t="inlineStr">
        <is>
          <t>NORRTÄLJE</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1016-2022</t>
        </is>
      </c>
      <c r="B2116" s="1" t="n">
        <v>44571</v>
      </c>
      <c r="C2116" s="1" t="n">
        <v>46050</v>
      </c>
      <c r="D2116" t="inlineStr">
        <is>
          <t>STOCKHOLMS LÄN</t>
        </is>
      </c>
      <c r="E2116" t="inlineStr">
        <is>
          <t>SÖDERTÄLJE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8320-2025</t>
        </is>
      </c>
      <c r="B2117" s="1" t="n">
        <v>45708.62876157407</v>
      </c>
      <c r="C2117" s="1" t="n">
        <v>46050</v>
      </c>
      <c r="D2117" t="inlineStr">
        <is>
          <t>STOCKHOLMS LÄN</t>
        </is>
      </c>
      <c r="E2117" t="inlineStr">
        <is>
          <t>SÖDERTÄLJE</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14130-2025</t>
        </is>
      </c>
      <c r="B2118" s="1" t="n">
        <v>45740.47288194444</v>
      </c>
      <c r="C2118" s="1" t="n">
        <v>46050</v>
      </c>
      <c r="D2118" t="inlineStr">
        <is>
          <t>STOCKHOLMS LÄN</t>
        </is>
      </c>
      <c r="E2118" t="inlineStr">
        <is>
          <t>NORRTÄLJE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39876-2024</t>
        </is>
      </c>
      <c r="B2119" s="1" t="n">
        <v>45553</v>
      </c>
      <c r="C2119" s="1" t="n">
        <v>46050</v>
      </c>
      <c r="D2119" t="inlineStr">
        <is>
          <t>STOCKHOLMS LÄN</t>
        </is>
      </c>
      <c r="E2119" t="inlineStr">
        <is>
          <t>VAXHOLM</t>
        </is>
      </c>
      <c r="F2119" t="inlineStr">
        <is>
          <t>Övriga statliga verk och myndigheter</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5286-2025</t>
        </is>
      </c>
      <c r="B2120" s="1" t="n">
        <v>45692.44144675926</v>
      </c>
      <c r="C2120" s="1" t="n">
        <v>46050</v>
      </c>
      <c r="D2120" t="inlineStr">
        <is>
          <t>STOCKHOLMS LÄN</t>
        </is>
      </c>
      <c r="E2120" t="inlineStr">
        <is>
          <t>ÖSTERÅKER</t>
        </is>
      </c>
      <c r="G2120" t="n">
        <v>11.2</v>
      </c>
      <c r="H2120" t="n">
        <v>0</v>
      </c>
      <c r="I2120" t="n">
        <v>0</v>
      </c>
      <c r="J2120" t="n">
        <v>0</v>
      </c>
      <c r="K2120" t="n">
        <v>0</v>
      </c>
      <c r="L2120" t="n">
        <v>0</v>
      </c>
      <c r="M2120" t="n">
        <v>0</v>
      </c>
      <c r="N2120" t="n">
        <v>0</v>
      </c>
      <c r="O2120" t="n">
        <v>0</v>
      </c>
      <c r="P2120" t="n">
        <v>0</v>
      </c>
      <c r="Q2120" t="n">
        <v>0</v>
      </c>
      <c r="R2120" s="2" t="inlineStr"/>
    </row>
    <row r="2121" ht="15" customHeight="1">
      <c r="A2121" t="inlineStr">
        <is>
          <t>A 35942-2022</t>
        </is>
      </c>
      <c r="B2121" s="1" t="n">
        <v>44802</v>
      </c>
      <c r="C2121" s="1" t="n">
        <v>46050</v>
      </c>
      <c r="D2121" t="inlineStr">
        <is>
          <t>STOCKHOLMS LÄN</t>
        </is>
      </c>
      <c r="E2121" t="inlineStr">
        <is>
          <t>SÖDERTÄLJE</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574-2023</t>
        </is>
      </c>
      <c r="B2122" s="1" t="n">
        <v>44925</v>
      </c>
      <c r="C2122" s="1" t="n">
        <v>46050</v>
      </c>
      <c r="D2122" t="inlineStr">
        <is>
          <t>STOCKHOLMS LÄN</t>
        </is>
      </c>
      <c r="E2122" t="inlineStr">
        <is>
          <t>NORRTÄLJE</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3383-2024</t>
        </is>
      </c>
      <c r="B2123" s="1" t="n">
        <v>45317</v>
      </c>
      <c r="C2123" s="1" t="n">
        <v>46050</v>
      </c>
      <c r="D2123" t="inlineStr">
        <is>
          <t>STOCKHOLMS LÄN</t>
        </is>
      </c>
      <c r="E2123" t="inlineStr">
        <is>
          <t>SÖDERTÄLJE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24034-2022</t>
        </is>
      </c>
      <c r="B2124" s="1" t="n">
        <v>44724</v>
      </c>
      <c r="C2124" s="1" t="n">
        <v>46050</v>
      </c>
      <c r="D2124" t="inlineStr">
        <is>
          <t>STOCKHOLMS LÄN</t>
        </is>
      </c>
      <c r="E2124" t="inlineStr">
        <is>
          <t>SÖDERTÄLJE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30283-2022</t>
        </is>
      </c>
      <c r="B2125" s="1" t="n">
        <v>44760</v>
      </c>
      <c r="C2125" s="1" t="n">
        <v>46050</v>
      </c>
      <c r="D2125" t="inlineStr">
        <is>
          <t>STOCKHOLMS LÄN</t>
        </is>
      </c>
      <c r="E2125" t="inlineStr">
        <is>
          <t>NORRTÄLJE</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30290-2022</t>
        </is>
      </c>
      <c r="B2126" s="1" t="n">
        <v>44760</v>
      </c>
      <c r="C2126" s="1" t="n">
        <v>46050</v>
      </c>
      <c r="D2126" t="inlineStr">
        <is>
          <t>STOCKHOLMS LÄN</t>
        </is>
      </c>
      <c r="E2126" t="inlineStr">
        <is>
          <t>NORRTÄLJE</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29684-2021</t>
        </is>
      </c>
      <c r="B2127" s="1" t="n">
        <v>44362.37172453704</v>
      </c>
      <c r="C2127" s="1" t="n">
        <v>46050</v>
      </c>
      <c r="D2127" t="inlineStr">
        <is>
          <t>STOCKHOLMS LÄN</t>
        </is>
      </c>
      <c r="E2127" t="inlineStr">
        <is>
          <t>NORRTÄLJE</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3817-2023</t>
        </is>
      </c>
      <c r="B2128" s="1" t="n">
        <v>44951</v>
      </c>
      <c r="C2128" s="1" t="n">
        <v>46050</v>
      </c>
      <c r="D2128" t="inlineStr">
        <is>
          <t>STOCKHOLMS LÄN</t>
        </is>
      </c>
      <c r="E2128" t="inlineStr">
        <is>
          <t>ÖSTERÅKER</t>
        </is>
      </c>
      <c r="F2128" t="inlineStr">
        <is>
          <t>Kommuner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544-2023</t>
        </is>
      </c>
      <c r="B2129" s="1" t="n">
        <v>44924</v>
      </c>
      <c r="C2129" s="1" t="n">
        <v>46050</v>
      </c>
      <c r="D2129" t="inlineStr">
        <is>
          <t>STOCKHOLMS LÄN</t>
        </is>
      </c>
      <c r="E2129" t="inlineStr">
        <is>
          <t>ÖSTERÅKER</t>
        </is>
      </c>
      <c r="F2129" t="inlineStr">
        <is>
          <t>Övriga Aktiebolag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61576-2024</t>
        </is>
      </c>
      <c r="B2130" s="1" t="n">
        <v>45646.6218287037</v>
      </c>
      <c r="C2130" s="1" t="n">
        <v>46050</v>
      </c>
      <c r="D2130" t="inlineStr">
        <is>
          <t>STOCKHOLMS LÄN</t>
        </is>
      </c>
      <c r="E2130" t="inlineStr">
        <is>
          <t>SIGTUNA</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60884-2024</t>
        </is>
      </c>
      <c r="B2131" s="1" t="n">
        <v>45644.90815972222</v>
      </c>
      <c r="C2131" s="1" t="n">
        <v>46050</v>
      </c>
      <c r="D2131" t="inlineStr">
        <is>
          <t>STOCKHOLMS LÄN</t>
        </is>
      </c>
      <c r="E2131" t="inlineStr">
        <is>
          <t>NORRTÄLJE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47089-2023</t>
        </is>
      </c>
      <c r="B2132" s="1" t="n">
        <v>45196</v>
      </c>
      <c r="C2132" s="1" t="n">
        <v>46050</v>
      </c>
      <c r="D2132" t="inlineStr">
        <is>
          <t>STOCKHOLMS LÄN</t>
        </is>
      </c>
      <c r="E2132" t="inlineStr">
        <is>
          <t>NYNÄSHAMN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47093-2023</t>
        </is>
      </c>
      <c r="B2133" s="1" t="n">
        <v>45196</v>
      </c>
      <c r="C2133" s="1" t="n">
        <v>46050</v>
      </c>
      <c r="D2133" t="inlineStr">
        <is>
          <t>STOCKHOLMS LÄN</t>
        </is>
      </c>
      <c r="E2133" t="inlineStr">
        <is>
          <t>NYNÄSHAMN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38610-2022</t>
        </is>
      </c>
      <c r="B2134" s="1" t="n">
        <v>44813.59915509259</v>
      </c>
      <c r="C2134" s="1" t="n">
        <v>46050</v>
      </c>
      <c r="D2134" t="inlineStr">
        <is>
          <t>STOCKHOLMS LÄN</t>
        </is>
      </c>
      <c r="E2134" t="inlineStr">
        <is>
          <t>NORRTÄLJE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37842-2022</t>
        </is>
      </c>
      <c r="B2135" s="1" t="n">
        <v>44810</v>
      </c>
      <c r="C2135" s="1" t="n">
        <v>46050</v>
      </c>
      <c r="D2135" t="inlineStr">
        <is>
          <t>STOCKHOLMS LÄN</t>
        </is>
      </c>
      <c r="E2135" t="inlineStr">
        <is>
          <t>SÖDERTÄLJE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72218-2021</t>
        </is>
      </c>
      <c r="B2136" s="1" t="n">
        <v>44544.76424768518</v>
      </c>
      <c r="C2136" s="1" t="n">
        <v>46050</v>
      </c>
      <c r="D2136" t="inlineStr">
        <is>
          <t>STOCKHOLMS LÄN</t>
        </is>
      </c>
      <c r="E2136" t="inlineStr">
        <is>
          <t>SÖDERTÄLJE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3326-2022</t>
        </is>
      </c>
      <c r="B2137" s="1" t="n">
        <v>44583</v>
      </c>
      <c r="C2137" s="1" t="n">
        <v>46050</v>
      </c>
      <c r="D2137" t="inlineStr">
        <is>
          <t>STOCKHOLMS LÄN</t>
        </is>
      </c>
      <c r="E2137" t="inlineStr">
        <is>
          <t>ÖSTERÅKER</t>
        </is>
      </c>
      <c r="F2137" t="inlineStr">
        <is>
          <t>Övriga Aktiebolag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49136-2021</t>
        </is>
      </c>
      <c r="B2138" s="1" t="n">
        <v>44453.91797453703</v>
      </c>
      <c r="C2138" s="1" t="n">
        <v>46050</v>
      </c>
      <c r="D2138" t="inlineStr">
        <is>
          <t>STOCKHOLMS LÄN</t>
        </is>
      </c>
      <c r="E2138" t="inlineStr">
        <is>
          <t>SÖDERTÄLJE</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10090-2022</t>
        </is>
      </c>
      <c r="B2139" s="1" t="n">
        <v>44621</v>
      </c>
      <c r="C2139" s="1" t="n">
        <v>46050</v>
      </c>
      <c r="D2139" t="inlineStr">
        <is>
          <t>STOCKHOLMS LÄN</t>
        </is>
      </c>
      <c r="E2139" t="inlineStr">
        <is>
          <t>NORRTÄLJE</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14724-2022</t>
        </is>
      </c>
      <c r="B2140" s="1" t="n">
        <v>44656</v>
      </c>
      <c r="C2140" s="1" t="n">
        <v>46050</v>
      </c>
      <c r="D2140" t="inlineStr">
        <is>
          <t>STOCKHOLMS LÄN</t>
        </is>
      </c>
      <c r="E2140" t="inlineStr">
        <is>
          <t>NORRTÄLJE</t>
        </is>
      </c>
      <c r="F2140" t="inlineStr">
        <is>
          <t>Sveaskog</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18846-2022</t>
        </is>
      </c>
      <c r="B2141" s="1" t="n">
        <v>44690</v>
      </c>
      <c r="C2141" s="1" t="n">
        <v>46050</v>
      </c>
      <c r="D2141" t="inlineStr">
        <is>
          <t>STOCKHOLMS LÄN</t>
        </is>
      </c>
      <c r="E2141" t="inlineStr">
        <is>
          <t>NORRTÄLJE</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43300-2023</t>
        </is>
      </c>
      <c r="B2142" s="1" t="n">
        <v>45183</v>
      </c>
      <c r="C2142" s="1" t="n">
        <v>46050</v>
      </c>
      <c r="D2142" t="inlineStr">
        <is>
          <t>STOCKHOLMS LÄN</t>
        </is>
      </c>
      <c r="E2142" t="inlineStr">
        <is>
          <t>NORRTÄLJE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25584-2023</t>
        </is>
      </c>
      <c r="B2143" s="1" t="n">
        <v>45089</v>
      </c>
      <c r="C2143" s="1" t="n">
        <v>46050</v>
      </c>
      <c r="D2143" t="inlineStr">
        <is>
          <t>STOCKHOLMS LÄN</t>
        </is>
      </c>
      <c r="E2143" t="inlineStr">
        <is>
          <t>HANINGE</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25654-2023</t>
        </is>
      </c>
      <c r="B2144" s="1" t="n">
        <v>45089</v>
      </c>
      <c r="C2144" s="1" t="n">
        <v>46050</v>
      </c>
      <c r="D2144" t="inlineStr">
        <is>
          <t>STOCKHOLMS LÄN</t>
        </is>
      </c>
      <c r="E2144" t="inlineStr">
        <is>
          <t>NORRTÄLJE</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12234-2022</t>
        </is>
      </c>
      <c r="B2145" s="1" t="n">
        <v>44637</v>
      </c>
      <c r="C2145" s="1" t="n">
        <v>46050</v>
      </c>
      <c r="D2145" t="inlineStr">
        <is>
          <t>STOCKHOLMS LÄN</t>
        </is>
      </c>
      <c r="E2145" t="inlineStr">
        <is>
          <t>VALLENTUNA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8939-2023</t>
        </is>
      </c>
      <c r="B2146" s="1" t="n">
        <v>44979</v>
      </c>
      <c r="C2146" s="1" t="n">
        <v>46050</v>
      </c>
      <c r="D2146" t="inlineStr">
        <is>
          <t>STOCKHOLMS LÄN</t>
        </is>
      </c>
      <c r="E2146" t="inlineStr">
        <is>
          <t>NYNÄSHAMN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45674-2021</t>
        </is>
      </c>
      <c r="B2147" s="1" t="n">
        <v>44441</v>
      </c>
      <c r="C2147" s="1" t="n">
        <v>46050</v>
      </c>
      <c r="D2147" t="inlineStr">
        <is>
          <t>STOCKHOLMS LÄN</t>
        </is>
      </c>
      <c r="E2147" t="inlineStr">
        <is>
          <t>SÖDERTÄLJE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23125-2022</t>
        </is>
      </c>
      <c r="B2148" s="1" t="n">
        <v>44719</v>
      </c>
      <c r="C2148" s="1" t="n">
        <v>46050</v>
      </c>
      <c r="D2148" t="inlineStr">
        <is>
          <t>STOCKHOLMS LÄN</t>
        </is>
      </c>
      <c r="E2148" t="inlineStr">
        <is>
          <t>NORRTÄLJE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20121-2022</t>
        </is>
      </c>
      <c r="B2149" s="1" t="n">
        <v>44698</v>
      </c>
      <c r="C2149" s="1" t="n">
        <v>46050</v>
      </c>
      <c r="D2149" t="inlineStr">
        <is>
          <t>STOCKHOLMS LÄN</t>
        </is>
      </c>
      <c r="E2149" t="inlineStr">
        <is>
          <t>NORRTÄLJE</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33385-2024</t>
        </is>
      </c>
      <c r="B2150" s="1" t="n">
        <v>45519</v>
      </c>
      <c r="C2150" s="1" t="n">
        <v>46050</v>
      </c>
      <c r="D2150" t="inlineStr">
        <is>
          <t>STOCKHOLMS LÄN</t>
        </is>
      </c>
      <c r="E2150" t="inlineStr">
        <is>
          <t>NORRTÄLJE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41172-2023</t>
        </is>
      </c>
      <c r="B2151" s="1" t="n">
        <v>45170</v>
      </c>
      <c r="C2151" s="1" t="n">
        <v>46050</v>
      </c>
      <c r="D2151" t="inlineStr">
        <is>
          <t>STOCKHOLMS LÄN</t>
        </is>
      </c>
      <c r="E2151" t="inlineStr">
        <is>
          <t>NORRTÄLJE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20530-2024</t>
        </is>
      </c>
      <c r="B2152" s="1" t="n">
        <v>45435</v>
      </c>
      <c r="C2152" s="1" t="n">
        <v>46050</v>
      </c>
      <c r="D2152" t="inlineStr">
        <is>
          <t>STOCKHOLMS LÄN</t>
        </is>
      </c>
      <c r="E2152" t="inlineStr">
        <is>
          <t>SÖDERTÄLJE</t>
        </is>
      </c>
      <c r="F2152" t="inlineStr">
        <is>
          <t>Övriga Aktiebolag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73307-2021</t>
        </is>
      </c>
      <c r="B2153" s="1" t="n">
        <v>44549</v>
      </c>
      <c r="C2153" s="1" t="n">
        <v>46050</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50534-2024</t>
        </is>
      </c>
      <c r="B2154" s="1" t="n">
        <v>45601.56726851852</v>
      </c>
      <c r="C2154" s="1" t="n">
        <v>46050</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3156-2025</t>
        </is>
      </c>
      <c r="B2155" s="1" t="n">
        <v>45679.32142361111</v>
      </c>
      <c r="C2155" s="1" t="n">
        <v>46050</v>
      </c>
      <c r="D2155" t="inlineStr">
        <is>
          <t>STOCKHOLMS LÄN</t>
        </is>
      </c>
      <c r="E2155" t="inlineStr">
        <is>
          <t>HANINGE</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11988-2021</t>
        </is>
      </c>
      <c r="B2156" s="1" t="n">
        <v>44266</v>
      </c>
      <c r="C2156" s="1" t="n">
        <v>46050</v>
      </c>
      <c r="D2156" t="inlineStr">
        <is>
          <t>STOCKHOLMS LÄN</t>
        </is>
      </c>
      <c r="E2156" t="inlineStr">
        <is>
          <t>NORRTÄLJE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12132-2021</t>
        </is>
      </c>
      <c r="B2157" s="1" t="n">
        <v>44266</v>
      </c>
      <c r="C2157" s="1" t="n">
        <v>46050</v>
      </c>
      <c r="D2157" t="inlineStr">
        <is>
          <t>STOCKHOLMS LÄN</t>
        </is>
      </c>
      <c r="E2157" t="inlineStr">
        <is>
          <t>NORRTÄLJE</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24943-2024</t>
        </is>
      </c>
      <c r="B2158" s="1" t="n">
        <v>45461.62585648148</v>
      </c>
      <c r="C2158" s="1" t="n">
        <v>46050</v>
      </c>
      <c r="D2158" t="inlineStr">
        <is>
          <t>STOCKHOLMS LÄN</t>
        </is>
      </c>
      <c r="E2158" t="inlineStr">
        <is>
          <t>VALLENTUNA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48978-2023</t>
        </is>
      </c>
      <c r="B2159" s="1" t="n">
        <v>45209</v>
      </c>
      <c r="C2159" s="1" t="n">
        <v>46050</v>
      </c>
      <c r="D2159" t="inlineStr">
        <is>
          <t>STOCKHOLMS LÄN</t>
        </is>
      </c>
      <c r="E2159" t="inlineStr">
        <is>
          <t>NYNÄSHAMN</t>
        </is>
      </c>
      <c r="F2159" t="inlineStr">
        <is>
          <t>Kyrkan</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65499-2021</t>
        </is>
      </c>
      <c r="B2160" s="1" t="n">
        <v>44516</v>
      </c>
      <c r="C2160" s="1" t="n">
        <v>46050</v>
      </c>
      <c r="D2160" t="inlineStr">
        <is>
          <t>STOCKHOLMS LÄN</t>
        </is>
      </c>
      <c r="E2160" t="inlineStr">
        <is>
          <t>NORRTÄLJE</t>
        </is>
      </c>
      <c r="F2160" t="inlineStr">
        <is>
          <t>Kommuner</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65511-2021</t>
        </is>
      </c>
      <c r="B2161" s="1" t="n">
        <v>44516.40674768519</v>
      </c>
      <c r="C2161" s="1" t="n">
        <v>46050</v>
      </c>
      <c r="D2161" t="inlineStr">
        <is>
          <t>STOCKHOLMS LÄN</t>
        </is>
      </c>
      <c r="E2161" t="inlineStr">
        <is>
          <t>NORRTÄLJE</t>
        </is>
      </c>
      <c r="F2161" t="inlineStr">
        <is>
          <t>Kommuner</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58619-2023</t>
        </is>
      </c>
      <c r="B2162" s="1" t="n">
        <v>45251.54119212963</v>
      </c>
      <c r="C2162" s="1" t="n">
        <v>46050</v>
      </c>
      <c r="D2162" t="inlineStr">
        <is>
          <t>STOCKHOLMS LÄN</t>
        </is>
      </c>
      <c r="E2162" t="inlineStr">
        <is>
          <t>SIGTUNA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22833-2024</t>
        </is>
      </c>
      <c r="B2163" s="1" t="n">
        <v>45448.56746527777</v>
      </c>
      <c r="C2163" s="1" t="n">
        <v>46050</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35918-2022</t>
        </is>
      </c>
      <c r="B2164" s="1" t="n">
        <v>44802</v>
      </c>
      <c r="C2164" s="1" t="n">
        <v>46050</v>
      </c>
      <c r="D2164" t="inlineStr">
        <is>
          <t>STOCKHOLMS LÄN</t>
        </is>
      </c>
      <c r="E2164" t="inlineStr">
        <is>
          <t>SÖDERTÄLJE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32514-2022</t>
        </is>
      </c>
      <c r="B2165" s="1" t="n">
        <v>44782</v>
      </c>
      <c r="C2165" s="1" t="n">
        <v>46050</v>
      </c>
      <c r="D2165" t="inlineStr">
        <is>
          <t>STOCKHOLMS LÄN</t>
        </is>
      </c>
      <c r="E2165" t="inlineStr">
        <is>
          <t>NORRTÄLJE</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29362-2022</t>
        </is>
      </c>
      <c r="B2166" s="1" t="n">
        <v>44753</v>
      </c>
      <c r="C2166" s="1" t="n">
        <v>46050</v>
      </c>
      <c r="D2166" t="inlineStr">
        <is>
          <t>STOCKHOLMS LÄN</t>
        </is>
      </c>
      <c r="E2166" t="inlineStr">
        <is>
          <t>NORRTÄLJE</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13366-2024</t>
        </is>
      </c>
      <c r="B2167" s="1" t="n">
        <v>45387</v>
      </c>
      <c r="C2167" s="1" t="n">
        <v>46050</v>
      </c>
      <c r="D2167" t="inlineStr">
        <is>
          <t>STOCKHOLMS LÄN</t>
        </is>
      </c>
      <c r="E2167" t="inlineStr">
        <is>
          <t>ÖSTERÅKER</t>
        </is>
      </c>
      <c r="G2167" t="n">
        <v>13.7</v>
      </c>
      <c r="H2167" t="n">
        <v>0</v>
      </c>
      <c r="I2167" t="n">
        <v>0</v>
      </c>
      <c r="J2167" t="n">
        <v>0</v>
      </c>
      <c r="K2167" t="n">
        <v>0</v>
      </c>
      <c r="L2167" t="n">
        <v>0</v>
      </c>
      <c r="M2167" t="n">
        <v>0</v>
      </c>
      <c r="N2167" t="n">
        <v>0</v>
      </c>
      <c r="O2167" t="n">
        <v>0</v>
      </c>
      <c r="P2167" t="n">
        <v>0</v>
      </c>
      <c r="Q2167" t="n">
        <v>0</v>
      </c>
      <c r="R2167" s="2" t="inlineStr"/>
    </row>
    <row r="2168" ht="15" customHeight="1">
      <c r="A2168" t="inlineStr">
        <is>
          <t>A 36097-2021</t>
        </is>
      </c>
      <c r="B2168" s="1" t="n">
        <v>44389</v>
      </c>
      <c r="C2168" s="1" t="n">
        <v>46050</v>
      </c>
      <c r="D2168" t="inlineStr">
        <is>
          <t>STOCKHOLMS LÄN</t>
        </is>
      </c>
      <c r="E2168" t="inlineStr">
        <is>
          <t>BOTKYRKA</t>
        </is>
      </c>
      <c r="F2168" t="inlineStr">
        <is>
          <t>Övriga Aktiebolag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58492-2022</t>
        </is>
      </c>
      <c r="B2169" s="1" t="n">
        <v>44902</v>
      </c>
      <c r="C2169" s="1" t="n">
        <v>46050</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51315-2021</t>
        </is>
      </c>
      <c r="B2170" s="1" t="n">
        <v>44461</v>
      </c>
      <c r="C2170" s="1" t="n">
        <v>46050</v>
      </c>
      <c r="D2170" t="inlineStr">
        <is>
          <t>STOCKHOLMS LÄN</t>
        </is>
      </c>
      <c r="E2170" t="inlineStr">
        <is>
          <t>NORRTÄLJE</t>
        </is>
      </c>
      <c r="F2170" t="inlineStr">
        <is>
          <t>Holmen skog AB</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14873-2025</t>
        </is>
      </c>
      <c r="B2171" s="1" t="n">
        <v>45743.44953703704</v>
      </c>
      <c r="C2171" s="1" t="n">
        <v>46050</v>
      </c>
      <c r="D2171" t="inlineStr">
        <is>
          <t>STOCKHOLMS LÄN</t>
        </is>
      </c>
      <c r="E2171" t="inlineStr">
        <is>
          <t>NORRTÄLJE</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34773-2022</t>
        </is>
      </c>
      <c r="B2172" s="1" t="n">
        <v>44795</v>
      </c>
      <c r="C2172" s="1" t="n">
        <v>46050</v>
      </c>
      <c r="D2172" t="inlineStr">
        <is>
          <t>STOCKHOLMS LÄN</t>
        </is>
      </c>
      <c r="E2172" t="inlineStr">
        <is>
          <t>NORRTÄLJE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17765-2024</t>
        </is>
      </c>
      <c r="B2173" s="1" t="n">
        <v>45418.63149305555</v>
      </c>
      <c r="C2173" s="1" t="n">
        <v>46050</v>
      </c>
      <c r="D2173" t="inlineStr">
        <is>
          <t>STOCKHOLMS LÄN</t>
        </is>
      </c>
      <c r="E2173" t="inlineStr">
        <is>
          <t>HANINGE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33173-2024</t>
        </is>
      </c>
      <c r="B2174" s="1" t="n">
        <v>45518</v>
      </c>
      <c r="C2174" s="1" t="n">
        <v>46050</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8316-2025</t>
        </is>
      </c>
      <c r="B2175" s="1" t="n">
        <v>45708.6225462963</v>
      </c>
      <c r="C2175" s="1" t="n">
        <v>46050</v>
      </c>
      <c r="D2175" t="inlineStr">
        <is>
          <t>STOCKHOLMS LÄN</t>
        </is>
      </c>
      <c r="E2175" t="inlineStr">
        <is>
          <t>SÖDERTÄLJE</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16145-2024</t>
        </is>
      </c>
      <c r="B2176" s="1" t="n">
        <v>45406.56561342593</v>
      </c>
      <c r="C2176" s="1" t="n">
        <v>46050</v>
      </c>
      <c r="D2176" t="inlineStr">
        <is>
          <t>STOCKHOLMS LÄN</t>
        </is>
      </c>
      <c r="E2176" t="inlineStr">
        <is>
          <t>BOTKYRKA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60977-2022</t>
        </is>
      </c>
      <c r="B2177" s="1" t="n">
        <v>44908</v>
      </c>
      <c r="C2177" s="1" t="n">
        <v>46050</v>
      </c>
      <c r="D2177" t="inlineStr">
        <is>
          <t>STOCKHOLMS LÄN</t>
        </is>
      </c>
      <c r="E2177" t="inlineStr">
        <is>
          <t>NYNÄSHAMN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55940-2023</t>
        </is>
      </c>
      <c r="B2178" s="1" t="n">
        <v>45240.30215277777</v>
      </c>
      <c r="C2178" s="1" t="n">
        <v>46050</v>
      </c>
      <c r="D2178" t="inlineStr">
        <is>
          <t>STOCKHOLMS LÄN</t>
        </is>
      </c>
      <c r="E2178" t="inlineStr">
        <is>
          <t>SÖDERTÄLJE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17991-2024</t>
        </is>
      </c>
      <c r="B2179" s="1" t="n">
        <v>45419</v>
      </c>
      <c r="C2179" s="1" t="n">
        <v>46050</v>
      </c>
      <c r="D2179" t="inlineStr">
        <is>
          <t>STOCKHOLMS LÄN</t>
        </is>
      </c>
      <c r="E2179" t="inlineStr">
        <is>
          <t>NYNÄSHAMN</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4484-2025</t>
        </is>
      </c>
      <c r="B2180" s="1" t="n">
        <v>45686.65545138889</v>
      </c>
      <c r="C2180" s="1" t="n">
        <v>46050</v>
      </c>
      <c r="D2180" t="inlineStr">
        <is>
          <t>STOCKHOLMS LÄN</t>
        </is>
      </c>
      <c r="E2180" t="inlineStr">
        <is>
          <t>NORRTÄLJE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51813-2024</t>
        </is>
      </c>
      <c r="B2181" s="1" t="n">
        <v>45607.48734953703</v>
      </c>
      <c r="C2181" s="1" t="n">
        <v>46050</v>
      </c>
      <c r="D2181" t="inlineStr">
        <is>
          <t>STOCKHOLMS LÄN</t>
        </is>
      </c>
      <c r="E2181" t="inlineStr">
        <is>
          <t>NYKVARN</t>
        </is>
      </c>
      <c r="F2181" t="inlineStr">
        <is>
          <t>Sveaskog</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33878-2024</t>
        </is>
      </c>
      <c r="B2182" s="1" t="n">
        <v>45522.44414351852</v>
      </c>
      <c r="C2182" s="1" t="n">
        <v>46050</v>
      </c>
      <c r="D2182" t="inlineStr">
        <is>
          <t>STOCKHOLMS LÄN</t>
        </is>
      </c>
      <c r="E2182" t="inlineStr">
        <is>
          <t>NORRTÄLJE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9246-2024</t>
        </is>
      </c>
      <c r="B2183" s="1" t="n">
        <v>45357</v>
      </c>
      <c r="C2183" s="1" t="n">
        <v>46050</v>
      </c>
      <c r="D2183" t="inlineStr">
        <is>
          <t>STOCKHOLMS LÄN</t>
        </is>
      </c>
      <c r="E2183" t="inlineStr">
        <is>
          <t>NORRTÄLJE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35698-2023</t>
        </is>
      </c>
      <c r="B2184" s="1" t="n">
        <v>45147</v>
      </c>
      <c r="C2184" s="1" t="n">
        <v>46050</v>
      </c>
      <c r="D2184" t="inlineStr">
        <is>
          <t>STOCKHOLMS LÄN</t>
        </is>
      </c>
      <c r="E2184" t="inlineStr">
        <is>
          <t>NORRTÄLJE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62398-2022</t>
        </is>
      </c>
      <c r="B2185" s="1" t="n">
        <v>44923.90159722222</v>
      </c>
      <c r="C2185" s="1" t="n">
        <v>46050</v>
      </c>
      <c r="D2185" t="inlineStr">
        <is>
          <t>STOCKHOLMS LÄN</t>
        </is>
      </c>
      <c r="E2185" t="inlineStr">
        <is>
          <t>NORRTÄLJE</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64445-2023</t>
        </is>
      </c>
      <c r="B2186" s="1" t="n">
        <v>45280</v>
      </c>
      <c r="C2186" s="1" t="n">
        <v>46050</v>
      </c>
      <c r="D2186" t="inlineStr">
        <is>
          <t>STOCKHOLMS LÄN</t>
        </is>
      </c>
      <c r="E2186" t="inlineStr">
        <is>
          <t>UPPLANDS VÄSBY</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49700-2023</t>
        </is>
      </c>
      <c r="B2187" s="1" t="n">
        <v>45212</v>
      </c>
      <c r="C2187" s="1" t="n">
        <v>46050</v>
      </c>
      <c r="D2187" t="inlineStr">
        <is>
          <t>STOCKHOLMS LÄN</t>
        </is>
      </c>
      <c r="E2187" t="inlineStr">
        <is>
          <t>NORRTÄLJE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57055-2024</t>
        </is>
      </c>
      <c r="B2188" s="1" t="n">
        <v>45629.34627314815</v>
      </c>
      <c r="C2188" s="1" t="n">
        <v>46050</v>
      </c>
      <c r="D2188" t="inlineStr">
        <is>
          <t>STOCKHOLMS LÄN</t>
        </is>
      </c>
      <c r="E2188" t="inlineStr">
        <is>
          <t>ÖSTERÅKER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59379-2022</t>
        </is>
      </c>
      <c r="B2189" s="1" t="n">
        <v>44905</v>
      </c>
      <c r="C2189" s="1" t="n">
        <v>46050</v>
      </c>
      <c r="D2189" t="inlineStr">
        <is>
          <t>STOCKHOLMS LÄN</t>
        </is>
      </c>
      <c r="E2189" t="inlineStr">
        <is>
          <t>ÖSTERÅKER</t>
        </is>
      </c>
      <c r="F2189" t="inlineStr">
        <is>
          <t>Kommuner</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32071-2023</t>
        </is>
      </c>
      <c r="B2190" s="1" t="n">
        <v>45119.57728009259</v>
      </c>
      <c r="C2190" s="1" t="n">
        <v>46050</v>
      </c>
      <c r="D2190" t="inlineStr">
        <is>
          <t>STOCKHOLMS LÄN</t>
        </is>
      </c>
      <c r="E2190" t="inlineStr">
        <is>
          <t>NORRTÄLJE</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1425-2025</t>
        </is>
      </c>
      <c r="B2191" s="1" t="n">
        <v>45668.67446759259</v>
      </c>
      <c r="C2191" s="1" t="n">
        <v>46050</v>
      </c>
      <c r="D2191" t="inlineStr">
        <is>
          <t>STOCKHOLMS LÄN</t>
        </is>
      </c>
      <c r="E2191" t="inlineStr">
        <is>
          <t>NORRTÄLJE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17775-2022</t>
        </is>
      </c>
      <c r="B2192" s="1" t="n">
        <v>44682.78430555556</v>
      </c>
      <c r="C2192" s="1" t="n">
        <v>46050</v>
      </c>
      <c r="D2192" t="inlineStr">
        <is>
          <t>STOCKHOLMS LÄN</t>
        </is>
      </c>
      <c r="E2192" t="inlineStr">
        <is>
          <t>NORRTÄLJE</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23720-2023</t>
        </is>
      </c>
      <c r="B2193" s="1" t="n">
        <v>45077.6678125</v>
      </c>
      <c r="C2193" s="1" t="n">
        <v>46050</v>
      </c>
      <c r="D2193" t="inlineStr">
        <is>
          <t>STOCKHOLMS LÄN</t>
        </is>
      </c>
      <c r="E2193" t="inlineStr">
        <is>
          <t>VÄRMDÖ</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46688-2022</t>
        </is>
      </c>
      <c r="B2194" s="1" t="n">
        <v>44851</v>
      </c>
      <c r="C2194" s="1" t="n">
        <v>46050</v>
      </c>
      <c r="D2194" t="inlineStr">
        <is>
          <t>STOCKHOLMS LÄN</t>
        </is>
      </c>
      <c r="E2194" t="inlineStr">
        <is>
          <t>ÖSTERÅKER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40514-2021</t>
        </is>
      </c>
      <c r="B2195" s="1" t="n">
        <v>44420</v>
      </c>
      <c r="C2195" s="1" t="n">
        <v>46050</v>
      </c>
      <c r="D2195" t="inlineStr">
        <is>
          <t>STOCKHOLMS LÄN</t>
        </is>
      </c>
      <c r="E2195" t="inlineStr">
        <is>
          <t>UPPLANDS-BRO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38720-2022</t>
        </is>
      </c>
      <c r="B2196" s="1" t="n">
        <v>44815.74539351852</v>
      </c>
      <c r="C2196" s="1" t="n">
        <v>46050</v>
      </c>
      <c r="D2196" t="inlineStr">
        <is>
          <t>STOCKHOLMS LÄN</t>
        </is>
      </c>
      <c r="E2196" t="inlineStr">
        <is>
          <t>NORRTÄLJE</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10215-2023</t>
        </is>
      </c>
      <c r="B2197" s="1" t="n">
        <v>44986.5887962963</v>
      </c>
      <c r="C2197" s="1" t="n">
        <v>46050</v>
      </c>
      <c r="D2197" t="inlineStr">
        <is>
          <t>STOCKHOLMS LÄN</t>
        </is>
      </c>
      <c r="E2197" t="inlineStr">
        <is>
          <t>NORRTÄLJE</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43700-2023</t>
        </is>
      </c>
      <c r="B2198" s="1" t="n">
        <v>45187</v>
      </c>
      <c r="C2198" s="1" t="n">
        <v>46050</v>
      </c>
      <c r="D2198" t="inlineStr">
        <is>
          <t>STOCKHOLMS LÄN</t>
        </is>
      </c>
      <c r="E2198" t="inlineStr">
        <is>
          <t>SIGTUNA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25609-2023</t>
        </is>
      </c>
      <c r="B2199" s="1" t="n">
        <v>45089</v>
      </c>
      <c r="C2199" s="1" t="n">
        <v>46050</v>
      </c>
      <c r="D2199" t="inlineStr">
        <is>
          <t>STOCKHOLMS LÄN</t>
        </is>
      </c>
      <c r="E2199" t="inlineStr">
        <is>
          <t>NORRTÄLJE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20014-2025</t>
        </is>
      </c>
      <c r="B2200" s="1" t="n">
        <v>45772.3078125</v>
      </c>
      <c r="C2200" s="1" t="n">
        <v>46050</v>
      </c>
      <c r="D2200" t="inlineStr">
        <is>
          <t>STOCKHOLMS LÄN</t>
        </is>
      </c>
      <c r="E2200" t="inlineStr">
        <is>
          <t>NORRTÄLJE</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20136-2025</t>
        </is>
      </c>
      <c r="B2201" s="1" t="n">
        <v>45772.51127314815</v>
      </c>
      <c r="C2201" s="1" t="n">
        <v>46050</v>
      </c>
      <c r="D2201" t="inlineStr">
        <is>
          <t>STOCKHOLMS LÄN</t>
        </is>
      </c>
      <c r="E2201" t="inlineStr">
        <is>
          <t>NORRTÄLJE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2287-2024</t>
        </is>
      </c>
      <c r="B2202" s="1" t="n">
        <v>45310</v>
      </c>
      <c r="C2202" s="1" t="n">
        <v>46050</v>
      </c>
      <c r="D2202" t="inlineStr">
        <is>
          <t>STOCKHOLMS LÄN</t>
        </is>
      </c>
      <c r="E2202" t="inlineStr">
        <is>
          <t>NORRTÄLJE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13785-2024</t>
        </is>
      </c>
      <c r="B2203" s="1" t="n">
        <v>45391.3395949074</v>
      </c>
      <c r="C2203" s="1" t="n">
        <v>46050</v>
      </c>
      <c r="D2203" t="inlineStr">
        <is>
          <t>STOCKHOLMS LÄN</t>
        </is>
      </c>
      <c r="E2203" t="inlineStr">
        <is>
          <t>NORRTÄLJE</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50469-2022</t>
        </is>
      </c>
      <c r="B2204" s="1" t="n">
        <v>44866.49827546296</v>
      </c>
      <c r="C2204" s="1" t="n">
        <v>46050</v>
      </c>
      <c r="D2204" t="inlineStr">
        <is>
          <t>STOCKHOLMS LÄN</t>
        </is>
      </c>
      <c r="E2204" t="inlineStr">
        <is>
          <t>NORRTÄLJE</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51116-2022</t>
        </is>
      </c>
      <c r="B2205" s="1" t="n">
        <v>44868.45741898148</v>
      </c>
      <c r="C2205" s="1" t="n">
        <v>46050</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56596-2023</t>
        </is>
      </c>
      <c r="B2206" s="1" t="n">
        <v>45243</v>
      </c>
      <c r="C2206" s="1" t="n">
        <v>46050</v>
      </c>
      <c r="D2206" t="inlineStr">
        <is>
          <t>STOCKHOLMS LÄN</t>
        </is>
      </c>
      <c r="E2206" t="inlineStr">
        <is>
          <t>SÖDERTÄLJE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16793-2023</t>
        </is>
      </c>
      <c r="B2207" s="1" t="n">
        <v>45028</v>
      </c>
      <c r="C2207" s="1" t="n">
        <v>46050</v>
      </c>
      <c r="D2207" t="inlineStr">
        <is>
          <t>STOCKHOLMS LÄN</t>
        </is>
      </c>
      <c r="E2207" t="inlineStr">
        <is>
          <t>NYNÄSHAMN</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61514-2022</t>
        </is>
      </c>
      <c r="B2208" s="1" t="n">
        <v>44916</v>
      </c>
      <c r="C2208" s="1" t="n">
        <v>46050</v>
      </c>
      <c r="D2208" t="inlineStr">
        <is>
          <t>STOCKHOLMS LÄN</t>
        </is>
      </c>
      <c r="E2208" t="inlineStr">
        <is>
          <t>BOTKYRKA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60217-2021</t>
        </is>
      </c>
      <c r="B2209" s="1" t="n">
        <v>44495.5893287037</v>
      </c>
      <c r="C2209" s="1" t="n">
        <v>46050</v>
      </c>
      <c r="D2209" t="inlineStr">
        <is>
          <t>STOCKHOLMS LÄN</t>
        </is>
      </c>
      <c r="E2209" t="inlineStr">
        <is>
          <t>NORRTÄLJE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5839-2023</t>
        </is>
      </c>
      <c r="B2210" s="1" t="n">
        <v>44963</v>
      </c>
      <c r="C2210" s="1" t="n">
        <v>46050</v>
      </c>
      <c r="D2210" t="inlineStr">
        <is>
          <t>STOCKHOLMS LÄN</t>
        </is>
      </c>
      <c r="E2210" t="inlineStr">
        <is>
          <t>NORRTÄLJE</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51931-2023</t>
        </is>
      </c>
      <c r="B2211" s="1" t="n">
        <v>45216</v>
      </c>
      <c r="C2211" s="1" t="n">
        <v>46050</v>
      </c>
      <c r="D2211" t="inlineStr">
        <is>
          <t>STOCKHOLMS LÄN</t>
        </is>
      </c>
      <c r="E2211" t="inlineStr">
        <is>
          <t>SÖDERTÄLJE</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34194-2024</t>
        </is>
      </c>
      <c r="B2212" s="1" t="n">
        <v>45524</v>
      </c>
      <c r="C2212" s="1" t="n">
        <v>46050</v>
      </c>
      <c r="D2212" t="inlineStr">
        <is>
          <t>STOCKHOLMS LÄN</t>
        </is>
      </c>
      <c r="E2212" t="inlineStr">
        <is>
          <t>SÖDERTÄLJE</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9533-2024</t>
        </is>
      </c>
      <c r="B2213" s="1" t="n">
        <v>45359.69105324074</v>
      </c>
      <c r="C2213" s="1" t="n">
        <v>46050</v>
      </c>
      <c r="D2213" t="inlineStr">
        <is>
          <t>STOCKHOLMS LÄN</t>
        </is>
      </c>
      <c r="E2213" t="inlineStr">
        <is>
          <t>SALEM</t>
        </is>
      </c>
      <c r="F2213" t="inlineStr">
        <is>
          <t>Kommuner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16738-2022</t>
        </is>
      </c>
      <c r="B2214" s="1" t="n">
        <v>44673</v>
      </c>
      <c r="C2214" s="1" t="n">
        <v>46050</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56796-2022</t>
        </is>
      </c>
      <c r="B2215" s="1" t="n">
        <v>44894.42490740741</v>
      </c>
      <c r="C2215" s="1" t="n">
        <v>46050</v>
      </c>
      <c r="D2215" t="inlineStr">
        <is>
          <t>STOCKHOLMS LÄN</t>
        </is>
      </c>
      <c r="E2215" t="inlineStr">
        <is>
          <t>SIGTUNA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36181-2022</t>
        </is>
      </c>
      <c r="B2216" s="1" t="n">
        <v>44803</v>
      </c>
      <c r="C2216" s="1" t="n">
        <v>46050</v>
      </c>
      <c r="D2216" t="inlineStr">
        <is>
          <t>STOCKHOLMS LÄN</t>
        </is>
      </c>
      <c r="E2216" t="inlineStr">
        <is>
          <t>SIGTUNA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38985-2022</t>
        </is>
      </c>
      <c r="B2217" s="1" t="n">
        <v>44816</v>
      </c>
      <c r="C2217" s="1" t="n">
        <v>46050</v>
      </c>
      <c r="D2217" t="inlineStr">
        <is>
          <t>STOCKHOLMS LÄN</t>
        </is>
      </c>
      <c r="E2217" t="inlineStr">
        <is>
          <t>NORRTÄLJE</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4440-2023</t>
        </is>
      </c>
      <c r="B2218" s="1" t="n">
        <v>44956</v>
      </c>
      <c r="C2218" s="1" t="n">
        <v>46050</v>
      </c>
      <c r="D2218" t="inlineStr">
        <is>
          <t>STOCKHOLMS LÄN</t>
        </is>
      </c>
      <c r="E2218" t="inlineStr">
        <is>
          <t>SÖDERTÄLJE</t>
        </is>
      </c>
      <c r="G2218" t="n">
        <v>18.4</v>
      </c>
      <c r="H2218" t="n">
        <v>0</v>
      </c>
      <c r="I2218" t="n">
        <v>0</v>
      </c>
      <c r="J2218" t="n">
        <v>0</v>
      </c>
      <c r="K2218" t="n">
        <v>0</v>
      </c>
      <c r="L2218" t="n">
        <v>0</v>
      </c>
      <c r="M2218" t="n">
        <v>0</v>
      </c>
      <c r="N2218" t="n">
        <v>0</v>
      </c>
      <c r="O2218" t="n">
        <v>0</v>
      </c>
      <c r="P2218" t="n">
        <v>0</v>
      </c>
      <c r="Q2218" t="n">
        <v>0</v>
      </c>
      <c r="R2218" s="2" t="inlineStr"/>
    </row>
    <row r="2219" ht="15" customHeight="1">
      <c r="A2219" t="inlineStr">
        <is>
          <t>A 8932-2023</t>
        </is>
      </c>
      <c r="B2219" s="1" t="n">
        <v>44979</v>
      </c>
      <c r="C2219" s="1" t="n">
        <v>46050</v>
      </c>
      <c r="D2219" t="inlineStr">
        <is>
          <t>STOCKHOLMS LÄN</t>
        </is>
      </c>
      <c r="E2219" t="inlineStr">
        <is>
          <t>NYNÄSHAMN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5665-2025</t>
        </is>
      </c>
      <c r="B2220" s="1" t="n">
        <v>45693</v>
      </c>
      <c r="C2220" s="1" t="n">
        <v>46050</v>
      </c>
      <c r="D2220" t="inlineStr">
        <is>
          <t>STOCKHOLMS LÄN</t>
        </is>
      </c>
      <c r="E2220" t="inlineStr">
        <is>
          <t>NORRTÄLJE</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3426-2025</t>
        </is>
      </c>
      <c r="B2221" s="1" t="n">
        <v>45680.42665509259</v>
      </c>
      <c r="C2221" s="1" t="n">
        <v>46050</v>
      </c>
      <c r="D2221" t="inlineStr">
        <is>
          <t>STOCKHOLMS LÄN</t>
        </is>
      </c>
      <c r="E2221" t="inlineStr">
        <is>
          <t>NORRTÄLJE</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28843-2021</t>
        </is>
      </c>
      <c r="B2222" s="1" t="n">
        <v>44357</v>
      </c>
      <c r="C2222" s="1" t="n">
        <v>46050</v>
      </c>
      <c r="D2222" t="inlineStr">
        <is>
          <t>STOCKHOLMS LÄN</t>
        </is>
      </c>
      <c r="E2222" t="inlineStr">
        <is>
          <t>SALEM</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6854-2022</t>
        </is>
      </c>
      <c r="B2223" s="1" t="n">
        <v>44602</v>
      </c>
      <c r="C2223" s="1" t="n">
        <v>46050</v>
      </c>
      <c r="D2223" t="inlineStr">
        <is>
          <t>STOCKHOLMS LÄN</t>
        </is>
      </c>
      <c r="E2223" t="inlineStr">
        <is>
          <t>NYKVARN</t>
        </is>
      </c>
      <c r="F2223" t="inlineStr">
        <is>
          <t>Kommuner</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58530-2024</t>
        </is>
      </c>
      <c r="B2224" s="1" t="n">
        <v>45635.44788194444</v>
      </c>
      <c r="C2224" s="1" t="n">
        <v>46050</v>
      </c>
      <c r="D2224" t="inlineStr">
        <is>
          <t>STOCKHOLMS LÄN</t>
        </is>
      </c>
      <c r="E2224" t="inlineStr">
        <is>
          <t>NORRTÄLJE</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22421-2021</t>
        </is>
      </c>
      <c r="B2225" s="1" t="n">
        <v>44326</v>
      </c>
      <c r="C2225" s="1" t="n">
        <v>46050</v>
      </c>
      <c r="D2225" t="inlineStr">
        <is>
          <t>STOCKHOLMS LÄN</t>
        </is>
      </c>
      <c r="E2225" t="inlineStr">
        <is>
          <t>NORRTÄLJE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22683-2023</t>
        </is>
      </c>
      <c r="B2226" s="1" t="n">
        <v>45071</v>
      </c>
      <c r="C2226" s="1" t="n">
        <v>46050</v>
      </c>
      <c r="D2226" t="inlineStr">
        <is>
          <t>STOCKHOLMS LÄN</t>
        </is>
      </c>
      <c r="E2226" t="inlineStr">
        <is>
          <t>VALLENTUNA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40761-2024</t>
        </is>
      </c>
      <c r="B2227" s="1" t="n">
        <v>45558.46283564815</v>
      </c>
      <c r="C2227" s="1" t="n">
        <v>46050</v>
      </c>
      <c r="D2227" t="inlineStr">
        <is>
          <t>STOCKHOLMS LÄN</t>
        </is>
      </c>
      <c r="E2227" t="inlineStr">
        <is>
          <t>NORRTÄLJE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1759-2025</t>
        </is>
      </c>
      <c r="B2228" s="1" t="n">
        <v>45671.42385416666</v>
      </c>
      <c r="C2228" s="1" t="n">
        <v>46050</v>
      </c>
      <c r="D2228" t="inlineStr">
        <is>
          <t>STOCKHOLMS LÄN</t>
        </is>
      </c>
      <c r="E2228" t="inlineStr">
        <is>
          <t>SÖDERTÄLJE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4553-2023</t>
        </is>
      </c>
      <c r="B2229" s="1" t="n">
        <v>44956.65920138889</v>
      </c>
      <c r="C2229" s="1" t="n">
        <v>46050</v>
      </c>
      <c r="D2229" t="inlineStr">
        <is>
          <t>STOCKHOLMS LÄN</t>
        </is>
      </c>
      <c r="E2229" t="inlineStr">
        <is>
          <t>NORRTÄLJE</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4593-2023</t>
        </is>
      </c>
      <c r="B2230" s="1" t="n">
        <v>44956</v>
      </c>
      <c r="C2230" s="1" t="n">
        <v>46050</v>
      </c>
      <c r="D2230" t="inlineStr">
        <is>
          <t>STOCKHOLMS LÄN</t>
        </is>
      </c>
      <c r="E2230" t="inlineStr">
        <is>
          <t>NORRTÄLJE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13171-2025</t>
        </is>
      </c>
      <c r="B2231" s="1" t="n">
        <v>45735.36594907408</v>
      </c>
      <c r="C2231" s="1" t="n">
        <v>46050</v>
      </c>
      <c r="D2231" t="inlineStr">
        <is>
          <t>STOCKHOLMS LÄN</t>
        </is>
      </c>
      <c r="E2231" t="inlineStr">
        <is>
          <t>NORRTÄLJE</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10224-2023</t>
        </is>
      </c>
      <c r="B2232" s="1" t="n">
        <v>44986.61554398148</v>
      </c>
      <c r="C2232" s="1" t="n">
        <v>46050</v>
      </c>
      <c r="D2232" t="inlineStr">
        <is>
          <t>STOCKHOLMS LÄN</t>
        </is>
      </c>
      <c r="E2232" t="inlineStr">
        <is>
          <t>NYNÄSHAMN</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51978-2023</t>
        </is>
      </c>
      <c r="B2233" s="1" t="n">
        <v>45223</v>
      </c>
      <c r="C2233" s="1" t="n">
        <v>46050</v>
      </c>
      <c r="D2233" t="inlineStr">
        <is>
          <t>STOCKHOLMS LÄN</t>
        </is>
      </c>
      <c r="E2233" t="inlineStr">
        <is>
          <t>NORRTÄLJE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34926-2022</t>
        </is>
      </c>
      <c r="B2234" s="1" t="n">
        <v>44796</v>
      </c>
      <c r="C2234" s="1" t="n">
        <v>46050</v>
      </c>
      <c r="D2234" t="inlineStr">
        <is>
          <t>STOCKHOLMS LÄN</t>
        </is>
      </c>
      <c r="E2234" t="inlineStr">
        <is>
          <t>VAXHOLM</t>
        </is>
      </c>
      <c r="F2234" t="inlineStr">
        <is>
          <t>Övriga statliga verk och myndigheter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18092-2022</t>
        </is>
      </c>
      <c r="B2235" s="1" t="n">
        <v>44684</v>
      </c>
      <c r="C2235" s="1" t="n">
        <v>46050</v>
      </c>
      <c r="D2235" t="inlineStr">
        <is>
          <t>STOCKHOLMS LÄN</t>
        </is>
      </c>
      <c r="E2235" t="inlineStr">
        <is>
          <t>NORRTÄLJE</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59310-2023</t>
        </is>
      </c>
      <c r="B2236" s="1" t="n">
        <v>45253.61146990741</v>
      </c>
      <c r="C2236" s="1" t="n">
        <v>46050</v>
      </c>
      <c r="D2236" t="inlineStr">
        <is>
          <t>STOCKHOLMS LÄN</t>
        </is>
      </c>
      <c r="E2236" t="inlineStr">
        <is>
          <t>NORRTÄLJE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9329-2023</t>
        </is>
      </c>
      <c r="B2237" s="1" t="n">
        <v>44980</v>
      </c>
      <c r="C2237" s="1" t="n">
        <v>46050</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59878-2024</t>
        </is>
      </c>
      <c r="B2238" s="1" t="n">
        <v>45640.60240740741</v>
      </c>
      <c r="C2238" s="1" t="n">
        <v>46050</v>
      </c>
      <c r="D2238" t="inlineStr">
        <is>
          <t>STOCKHOLMS LÄN</t>
        </is>
      </c>
      <c r="E2238" t="inlineStr">
        <is>
          <t>NORRTÄLJE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41335-2023</t>
        </is>
      </c>
      <c r="B2239" s="1" t="n">
        <v>45174.68702546296</v>
      </c>
      <c r="C2239" s="1" t="n">
        <v>46050</v>
      </c>
      <c r="D2239" t="inlineStr">
        <is>
          <t>STOCKHOLMS LÄN</t>
        </is>
      </c>
      <c r="E2239" t="inlineStr">
        <is>
          <t>NORRTÄLJE</t>
        </is>
      </c>
      <c r="F2239" t="inlineStr">
        <is>
          <t>Holmen skog AB</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17196-2022</t>
        </is>
      </c>
      <c r="B2240" s="1" t="n">
        <v>44677</v>
      </c>
      <c r="C2240" s="1" t="n">
        <v>46050</v>
      </c>
      <c r="D2240" t="inlineStr">
        <is>
          <t>STOCKHOLMS LÄN</t>
        </is>
      </c>
      <c r="E2240" t="inlineStr">
        <is>
          <t>ÖSTERÅKER</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33040-2021</t>
        </is>
      </c>
      <c r="B2241" s="1" t="n">
        <v>44376.50728009259</v>
      </c>
      <c r="C2241" s="1" t="n">
        <v>46050</v>
      </c>
      <c r="D2241" t="inlineStr">
        <is>
          <t>STOCKHOLMS LÄN</t>
        </is>
      </c>
      <c r="E2241" t="inlineStr">
        <is>
          <t>NORRTÄLJE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33053-2021</t>
        </is>
      </c>
      <c r="B2242" s="1" t="n">
        <v>44376</v>
      </c>
      <c r="C2242" s="1" t="n">
        <v>46050</v>
      </c>
      <c r="D2242" t="inlineStr">
        <is>
          <t>STOCKHOLMS LÄN</t>
        </is>
      </c>
      <c r="E2242" t="inlineStr">
        <is>
          <t>NORRTÄLJE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17411-2023</t>
        </is>
      </c>
      <c r="B2243" s="1" t="n">
        <v>45035.82512731481</v>
      </c>
      <c r="C2243" s="1" t="n">
        <v>46050</v>
      </c>
      <c r="D2243" t="inlineStr">
        <is>
          <t>STOCKHOLMS LÄN</t>
        </is>
      </c>
      <c r="E2243" t="inlineStr">
        <is>
          <t>VALLENTUNA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43150-2023</t>
        </is>
      </c>
      <c r="B2244" s="1" t="n">
        <v>45183</v>
      </c>
      <c r="C2244" s="1" t="n">
        <v>46050</v>
      </c>
      <c r="D2244" t="inlineStr">
        <is>
          <t>STOCKHOLMS LÄN</t>
        </is>
      </c>
      <c r="E2244" t="inlineStr">
        <is>
          <t>NORRTÄLJE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5950-2021</t>
        </is>
      </c>
      <c r="B2245" s="1" t="n">
        <v>44231</v>
      </c>
      <c r="C2245" s="1" t="n">
        <v>46050</v>
      </c>
      <c r="D2245" t="inlineStr">
        <is>
          <t>STOCKHOLMS LÄN</t>
        </is>
      </c>
      <c r="E2245" t="inlineStr">
        <is>
          <t>NORRTÄLJE</t>
        </is>
      </c>
      <c r="F2245" t="inlineStr">
        <is>
          <t>Holmen skog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54259-2023</t>
        </is>
      </c>
      <c r="B2246" s="1" t="n">
        <v>45232</v>
      </c>
      <c r="C2246" s="1" t="n">
        <v>46050</v>
      </c>
      <c r="D2246" t="inlineStr">
        <is>
          <t>STOCKHOLMS LÄN</t>
        </is>
      </c>
      <c r="E2246" t="inlineStr">
        <is>
          <t>NORRTÄLJE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17634-2022</t>
        </is>
      </c>
      <c r="B2247" s="1" t="n">
        <v>44680</v>
      </c>
      <c r="C2247" s="1" t="n">
        <v>46050</v>
      </c>
      <c r="D2247" t="inlineStr">
        <is>
          <t>STOCKHOLMS LÄN</t>
        </is>
      </c>
      <c r="E2247" t="inlineStr">
        <is>
          <t>NYNÄSHAMN</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60822-2023</t>
        </is>
      </c>
      <c r="B2248" s="1" t="n">
        <v>45259</v>
      </c>
      <c r="C2248" s="1" t="n">
        <v>46050</v>
      </c>
      <c r="D2248" t="inlineStr">
        <is>
          <t>STOCKHOLMS LÄN</t>
        </is>
      </c>
      <c r="E2248" t="inlineStr">
        <is>
          <t>NORRTÄLJE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60922-2023</t>
        </is>
      </c>
      <c r="B2249" s="1" t="n">
        <v>45261.40866898148</v>
      </c>
      <c r="C2249" s="1" t="n">
        <v>46050</v>
      </c>
      <c r="D2249" t="inlineStr">
        <is>
          <t>STOCKHOLMS LÄN</t>
        </is>
      </c>
      <c r="E2249" t="inlineStr">
        <is>
          <t>SIGTUNA</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12031-2021</t>
        </is>
      </c>
      <c r="B2250" s="1" t="n">
        <v>44266</v>
      </c>
      <c r="C2250" s="1" t="n">
        <v>46050</v>
      </c>
      <c r="D2250" t="inlineStr">
        <is>
          <t>STOCKHOLMS LÄN</t>
        </is>
      </c>
      <c r="E2250" t="inlineStr">
        <is>
          <t>NORRTÄLJE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27381-2024</t>
        </is>
      </c>
      <c r="B2251" s="1" t="n">
        <v>45473.94501157408</v>
      </c>
      <c r="C2251" s="1" t="n">
        <v>46050</v>
      </c>
      <c r="D2251" t="inlineStr">
        <is>
          <t>STOCKHOLMS LÄN</t>
        </is>
      </c>
      <c r="E2251" t="inlineStr">
        <is>
          <t>NORRTÄLJE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273-2025</t>
        </is>
      </c>
      <c r="B2252" s="1" t="n">
        <v>45653</v>
      </c>
      <c r="C2252" s="1" t="n">
        <v>46050</v>
      </c>
      <c r="D2252" t="inlineStr">
        <is>
          <t>STOCKHOLMS LÄN</t>
        </is>
      </c>
      <c r="E2252" t="inlineStr">
        <is>
          <t>SIGTUNA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33787-2024</t>
        </is>
      </c>
      <c r="B2253" s="1" t="n">
        <v>45520</v>
      </c>
      <c r="C2253" s="1" t="n">
        <v>46050</v>
      </c>
      <c r="D2253" t="inlineStr">
        <is>
          <t>STOCKHOLMS LÄN</t>
        </is>
      </c>
      <c r="E2253" t="inlineStr">
        <is>
          <t>NYNÄSHAMN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63592-2023</t>
        </is>
      </c>
      <c r="B2254" s="1" t="n">
        <v>45275</v>
      </c>
      <c r="C2254" s="1" t="n">
        <v>46050</v>
      </c>
      <c r="D2254" t="inlineStr">
        <is>
          <t>STOCKHOLMS LÄN</t>
        </is>
      </c>
      <c r="E2254" t="inlineStr">
        <is>
          <t>NYKVARN</t>
        </is>
      </c>
      <c r="F2254" t="inlineStr">
        <is>
          <t>Kommuner</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45184-2022</t>
        </is>
      </c>
      <c r="B2255" s="1" t="n">
        <v>44844.39888888889</v>
      </c>
      <c r="C2255" s="1" t="n">
        <v>46050</v>
      </c>
      <c r="D2255" t="inlineStr">
        <is>
          <t>STOCKHOLMS LÄN</t>
        </is>
      </c>
      <c r="E2255" t="inlineStr">
        <is>
          <t>SÖDERTÄLJE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68894-2021</t>
        </is>
      </c>
      <c r="B2256" s="1" t="n">
        <v>44526</v>
      </c>
      <c r="C2256" s="1" t="n">
        <v>46050</v>
      </c>
      <c r="D2256" t="inlineStr">
        <is>
          <t>STOCKHOLMS LÄN</t>
        </is>
      </c>
      <c r="E2256" t="inlineStr">
        <is>
          <t>HANINGE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23265-2023</t>
        </is>
      </c>
      <c r="B2257" s="1" t="n">
        <v>45075.90703703704</v>
      </c>
      <c r="C2257" s="1" t="n">
        <v>46050</v>
      </c>
      <c r="D2257" t="inlineStr">
        <is>
          <t>STOCKHOLMS LÄN</t>
        </is>
      </c>
      <c r="E2257" t="inlineStr">
        <is>
          <t>NORRTÄLJE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26117-2024</t>
        </is>
      </c>
      <c r="B2258" s="1" t="n">
        <v>45468.45877314815</v>
      </c>
      <c r="C2258" s="1" t="n">
        <v>46050</v>
      </c>
      <c r="D2258" t="inlineStr">
        <is>
          <t>STOCKHOLMS LÄN</t>
        </is>
      </c>
      <c r="E2258" t="inlineStr">
        <is>
          <t>NORRTÄLJE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18491-2025</t>
        </is>
      </c>
      <c r="B2259" s="1" t="n">
        <v>45763.34135416667</v>
      </c>
      <c r="C2259" s="1" t="n">
        <v>46050</v>
      </c>
      <c r="D2259" t="inlineStr">
        <is>
          <t>STOCKHOLMS LÄN</t>
        </is>
      </c>
      <c r="E2259" t="inlineStr">
        <is>
          <t>HANINGE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3021-2025</t>
        </is>
      </c>
      <c r="B2260" s="1" t="n">
        <v>45678.57962962963</v>
      </c>
      <c r="C2260" s="1" t="n">
        <v>46050</v>
      </c>
      <c r="D2260" t="inlineStr">
        <is>
          <t>STOCKHOLMS LÄN</t>
        </is>
      </c>
      <c r="E2260" t="inlineStr">
        <is>
          <t>BOTKYRKA</t>
        </is>
      </c>
      <c r="F2260" t="inlineStr">
        <is>
          <t>Övriga Aktiebolag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38465-2023</t>
        </is>
      </c>
      <c r="B2261" s="1" t="n">
        <v>45162</v>
      </c>
      <c r="C2261" s="1" t="n">
        <v>46050</v>
      </c>
      <c r="D2261" t="inlineStr">
        <is>
          <t>STOCKHOLMS LÄN</t>
        </is>
      </c>
      <c r="E2261" t="inlineStr">
        <is>
          <t>SIGTUNA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3917-2023</t>
        </is>
      </c>
      <c r="B2262" s="1" t="n">
        <v>44952</v>
      </c>
      <c r="C2262" s="1" t="n">
        <v>46050</v>
      </c>
      <c r="D2262" t="inlineStr">
        <is>
          <t>STOCKHOLMS LÄN</t>
        </is>
      </c>
      <c r="E2262" t="inlineStr">
        <is>
          <t>ÖSTERÅKER</t>
        </is>
      </c>
      <c r="F2262" t="inlineStr">
        <is>
          <t>Kommuner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20336-2024</t>
        </is>
      </c>
      <c r="B2263" s="1" t="n">
        <v>45435.43123842592</v>
      </c>
      <c r="C2263" s="1" t="n">
        <v>46050</v>
      </c>
      <c r="D2263" t="inlineStr">
        <is>
          <t>STOCKHOLMS LÄN</t>
        </is>
      </c>
      <c r="E2263" t="inlineStr">
        <is>
          <t>NORRTÄLJE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1385-2024</t>
        </is>
      </c>
      <c r="B2264" s="1" t="n">
        <v>45303</v>
      </c>
      <c r="C2264" s="1" t="n">
        <v>46050</v>
      </c>
      <c r="D2264" t="inlineStr">
        <is>
          <t>STOCKHOLMS LÄN</t>
        </is>
      </c>
      <c r="E2264" t="inlineStr">
        <is>
          <t>VALLENTUNA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2529-2023</t>
        </is>
      </c>
      <c r="B2265" s="1" t="n">
        <v>44943.60554398148</v>
      </c>
      <c r="C2265" s="1" t="n">
        <v>46050</v>
      </c>
      <c r="D2265" t="inlineStr">
        <is>
          <t>STOCKHOLMS LÄN</t>
        </is>
      </c>
      <c r="E2265" t="inlineStr">
        <is>
          <t>SÖDERTÄLJE</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1847-2023</t>
        </is>
      </c>
      <c r="B2266" s="1" t="n">
        <v>44938</v>
      </c>
      <c r="C2266" s="1" t="n">
        <v>46050</v>
      </c>
      <c r="D2266" t="inlineStr">
        <is>
          <t>STOCKHOLMS LÄN</t>
        </is>
      </c>
      <c r="E2266" t="inlineStr">
        <is>
          <t>NORRTÄLJE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7275-2022</t>
        </is>
      </c>
      <c r="B2267" s="1" t="n">
        <v>44606</v>
      </c>
      <c r="C2267" s="1" t="n">
        <v>46050</v>
      </c>
      <c r="D2267" t="inlineStr">
        <is>
          <t>STOCKHOLMS LÄN</t>
        </is>
      </c>
      <c r="E2267" t="inlineStr">
        <is>
          <t>UPPLANDS-BRO</t>
        </is>
      </c>
      <c r="F2267" t="inlineStr">
        <is>
          <t>Övriga statliga verk och myndigheter</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7214-2022</t>
        </is>
      </c>
      <c r="B2268" s="1" t="n">
        <v>44606.33935185185</v>
      </c>
      <c r="C2268" s="1" t="n">
        <v>46050</v>
      </c>
      <c r="D2268" t="inlineStr">
        <is>
          <t>STOCKHOLMS LÄN</t>
        </is>
      </c>
      <c r="E2268" t="inlineStr">
        <is>
          <t>SIGTUNA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11285-2023</t>
        </is>
      </c>
      <c r="B2269" s="1" t="n">
        <v>44992</v>
      </c>
      <c r="C2269" s="1" t="n">
        <v>46050</v>
      </c>
      <c r="D2269" t="inlineStr">
        <is>
          <t>STOCKHOLMS LÄN</t>
        </is>
      </c>
      <c r="E2269" t="inlineStr">
        <is>
          <t>SIGTUNA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25452-2023</t>
        </is>
      </c>
      <c r="B2270" s="1" t="n">
        <v>45089</v>
      </c>
      <c r="C2270" s="1" t="n">
        <v>46050</v>
      </c>
      <c r="D2270" t="inlineStr">
        <is>
          <t>STOCKHOLMS LÄN</t>
        </is>
      </c>
      <c r="E2270" t="inlineStr">
        <is>
          <t>SIGTUNA</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59721-2024</t>
        </is>
      </c>
      <c r="B2271" s="1" t="n">
        <v>45639.47385416667</v>
      </c>
      <c r="C2271" s="1" t="n">
        <v>46050</v>
      </c>
      <c r="D2271" t="inlineStr">
        <is>
          <t>STOCKHOLMS LÄN</t>
        </is>
      </c>
      <c r="E2271" t="inlineStr">
        <is>
          <t>NORRTÄLJE</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10910-2025</t>
        </is>
      </c>
      <c r="B2272" s="1" t="n">
        <v>45722</v>
      </c>
      <c r="C2272" s="1" t="n">
        <v>46050</v>
      </c>
      <c r="D2272" t="inlineStr">
        <is>
          <t>STOCKHOLMS LÄN</t>
        </is>
      </c>
      <c r="E2272" t="inlineStr">
        <is>
          <t>UPPLANDS-BRO</t>
        </is>
      </c>
      <c r="F2272" t="inlineStr">
        <is>
          <t>Allmännings- och besparingsskogar</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37010-2022</t>
        </is>
      </c>
      <c r="B2273" s="1" t="n">
        <v>44806.41576388889</v>
      </c>
      <c r="C2273" s="1" t="n">
        <v>46050</v>
      </c>
      <c r="D2273" t="inlineStr">
        <is>
          <t>STOCKHOLMS LÄN</t>
        </is>
      </c>
      <c r="E2273" t="inlineStr">
        <is>
          <t>NORRTÄLJE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44619-2023</t>
        </is>
      </c>
      <c r="B2274" s="1" t="n">
        <v>45189</v>
      </c>
      <c r="C2274" s="1" t="n">
        <v>46050</v>
      </c>
      <c r="D2274" t="inlineStr">
        <is>
          <t>STOCKHOLMS LÄN</t>
        </is>
      </c>
      <c r="E2274" t="inlineStr">
        <is>
          <t>NYNÄSHAMN</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636-2025</t>
        </is>
      </c>
      <c r="B2275" s="1" t="n">
        <v>45664.63822916667</v>
      </c>
      <c r="C2275" s="1" t="n">
        <v>46050</v>
      </c>
      <c r="D2275" t="inlineStr">
        <is>
          <t>STOCKHOLMS LÄN</t>
        </is>
      </c>
      <c r="E2275" t="inlineStr">
        <is>
          <t>NYNÄSHAMN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951-2023</t>
        </is>
      </c>
      <c r="B2276" s="1" t="n">
        <v>44934</v>
      </c>
      <c r="C2276" s="1" t="n">
        <v>46050</v>
      </c>
      <c r="D2276" t="inlineStr">
        <is>
          <t>STOCKHOLMS LÄN</t>
        </is>
      </c>
      <c r="E2276" t="inlineStr">
        <is>
          <t>NORRTÄLJE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36112-2022</t>
        </is>
      </c>
      <c r="B2277" s="1" t="n">
        <v>44802</v>
      </c>
      <c r="C2277" s="1" t="n">
        <v>46050</v>
      </c>
      <c r="D2277" t="inlineStr">
        <is>
          <t>STOCKHOLMS LÄN</t>
        </is>
      </c>
      <c r="E2277" t="inlineStr">
        <is>
          <t>SÖDERTÄLJE</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60818-2023</t>
        </is>
      </c>
      <c r="B2278" s="1" t="n">
        <v>45259</v>
      </c>
      <c r="C2278" s="1" t="n">
        <v>46050</v>
      </c>
      <c r="D2278" t="inlineStr">
        <is>
          <t>STOCKHOLMS LÄN</t>
        </is>
      </c>
      <c r="E2278" t="inlineStr">
        <is>
          <t>VALLENTUNA</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6059-2022</t>
        </is>
      </c>
      <c r="B2279" s="1" t="n">
        <v>44599</v>
      </c>
      <c r="C2279" s="1" t="n">
        <v>46050</v>
      </c>
      <c r="D2279" t="inlineStr">
        <is>
          <t>STOCKHOLMS LÄN</t>
        </is>
      </c>
      <c r="E2279" t="inlineStr">
        <is>
          <t>BOTKYRKA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60865-2024</t>
        </is>
      </c>
      <c r="B2280" s="1" t="n">
        <v>45644.69387731481</v>
      </c>
      <c r="C2280" s="1" t="n">
        <v>46050</v>
      </c>
      <c r="D2280" t="inlineStr">
        <is>
          <t>STOCKHOLMS LÄN</t>
        </is>
      </c>
      <c r="E2280" t="inlineStr">
        <is>
          <t>SIGTUNA</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37536-2024</t>
        </is>
      </c>
      <c r="B2281" s="1" t="n">
        <v>45541</v>
      </c>
      <c r="C2281" s="1" t="n">
        <v>46050</v>
      </c>
      <c r="D2281" t="inlineStr">
        <is>
          <t>STOCKHOLMS LÄN</t>
        </is>
      </c>
      <c r="E2281" t="inlineStr">
        <is>
          <t>SÖDERTÄLJE</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5423-2023</t>
        </is>
      </c>
      <c r="B2282" s="1" t="n">
        <v>44959.74533564815</v>
      </c>
      <c r="C2282" s="1" t="n">
        <v>46050</v>
      </c>
      <c r="D2282" t="inlineStr">
        <is>
          <t>STOCKHOLMS LÄN</t>
        </is>
      </c>
      <c r="E2282" t="inlineStr">
        <is>
          <t>NORRTÄLJE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50182-2024</t>
        </is>
      </c>
      <c r="B2283" s="1" t="n">
        <v>45600.47275462963</v>
      </c>
      <c r="C2283" s="1" t="n">
        <v>46050</v>
      </c>
      <c r="D2283" t="inlineStr">
        <is>
          <t>STOCKHOLMS LÄN</t>
        </is>
      </c>
      <c r="E2283" t="inlineStr">
        <is>
          <t>NORRTÄLJE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62108-2022</t>
        </is>
      </c>
      <c r="B2284" s="1" t="n">
        <v>44920</v>
      </c>
      <c r="C2284" s="1" t="n">
        <v>46050</v>
      </c>
      <c r="D2284" t="inlineStr">
        <is>
          <t>STOCKHOLMS LÄN</t>
        </is>
      </c>
      <c r="E2284" t="inlineStr">
        <is>
          <t>ÖSTERÅKER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12629-2024</t>
        </is>
      </c>
      <c r="B2285" s="1" t="n">
        <v>45383</v>
      </c>
      <c r="C2285" s="1" t="n">
        <v>46050</v>
      </c>
      <c r="D2285" t="inlineStr">
        <is>
          <t>STOCKHOLMS LÄN</t>
        </is>
      </c>
      <c r="E2285" t="inlineStr">
        <is>
          <t>NORRTÄLJE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114-2023</t>
        </is>
      </c>
      <c r="B2286" s="1" t="n">
        <v>44918</v>
      </c>
      <c r="C2286" s="1" t="n">
        <v>46050</v>
      </c>
      <c r="D2286" t="inlineStr">
        <is>
          <t>STOCKHOLMS LÄN</t>
        </is>
      </c>
      <c r="E2286" t="inlineStr">
        <is>
          <t>VÄRMDÖ</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35708-2022</t>
        </is>
      </c>
      <c r="B2287" s="1" t="n">
        <v>44799.65013888889</v>
      </c>
      <c r="C2287" s="1" t="n">
        <v>46050</v>
      </c>
      <c r="D2287" t="inlineStr">
        <is>
          <t>STOCKHOLMS LÄN</t>
        </is>
      </c>
      <c r="E2287" t="inlineStr">
        <is>
          <t>NORRTÄLJE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37095-2021</t>
        </is>
      </c>
      <c r="B2288" s="1" t="n">
        <v>44395</v>
      </c>
      <c r="C2288" s="1" t="n">
        <v>46050</v>
      </c>
      <c r="D2288" t="inlineStr">
        <is>
          <t>STOCKHOLMS LÄN</t>
        </is>
      </c>
      <c r="E2288" t="inlineStr">
        <is>
          <t>BOTKYRKA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45220-2024</t>
        </is>
      </c>
      <c r="B2289" s="1" t="n">
        <v>45575</v>
      </c>
      <c r="C2289" s="1" t="n">
        <v>46050</v>
      </c>
      <c r="D2289" t="inlineStr">
        <is>
          <t>STOCKHOLMS LÄN</t>
        </is>
      </c>
      <c r="E2289" t="inlineStr">
        <is>
          <t>NORRTÄLJE</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21731-2023</t>
        </is>
      </c>
      <c r="B2290" s="1" t="n">
        <v>45063</v>
      </c>
      <c r="C2290" s="1" t="n">
        <v>46050</v>
      </c>
      <c r="D2290" t="inlineStr">
        <is>
          <t>STOCKHOLMS LÄN</t>
        </is>
      </c>
      <c r="E2290" t="inlineStr">
        <is>
          <t>NORRTÄLJE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23266-2023</t>
        </is>
      </c>
      <c r="B2291" s="1" t="n">
        <v>45075.90817129629</v>
      </c>
      <c r="C2291" s="1" t="n">
        <v>46050</v>
      </c>
      <c r="D2291" t="inlineStr">
        <is>
          <t>STOCKHOLMS LÄN</t>
        </is>
      </c>
      <c r="E2291" t="inlineStr">
        <is>
          <t>NORRTÄLJE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47521-2024</t>
        </is>
      </c>
      <c r="B2292" s="1" t="n">
        <v>45587.62565972222</v>
      </c>
      <c r="C2292" s="1" t="n">
        <v>46050</v>
      </c>
      <c r="D2292" t="inlineStr">
        <is>
          <t>STOCKHOLMS LÄN</t>
        </is>
      </c>
      <c r="E2292" t="inlineStr">
        <is>
          <t>NORRTÄLJE</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58260-2023</t>
        </is>
      </c>
      <c r="B2293" s="1" t="n">
        <v>45245</v>
      </c>
      <c r="C2293" s="1" t="n">
        <v>46050</v>
      </c>
      <c r="D2293" t="inlineStr">
        <is>
          <t>STOCKHOLMS LÄN</t>
        </is>
      </c>
      <c r="E2293" t="inlineStr">
        <is>
          <t>NORRTÄLJE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58261-2023</t>
        </is>
      </c>
      <c r="B2294" s="1" t="n">
        <v>45245</v>
      </c>
      <c r="C2294" s="1" t="n">
        <v>46050</v>
      </c>
      <c r="D2294" t="inlineStr">
        <is>
          <t>STOCKHOLMS LÄN</t>
        </is>
      </c>
      <c r="E2294" t="inlineStr">
        <is>
          <t>NORRTÄLJE</t>
        </is>
      </c>
      <c r="G2294" t="n">
        <v>53.5</v>
      </c>
      <c r="H2294" t="n">
        <v>0</v>
      </c>
      <c r="I2294" t="n">
        <v>0</v>
      </c>
      <c r="J2294" t="n">
        <v>0</v>
      </c>
      <c r="K2294" t="n">
        <v>0</v>
      </c>
      <c r="L2294" t="n">
        <v>0</v>
      </c>
      <c r="M2294" t="n">
        <v>0</v>
      </c>
      <c r="N2294" t="n">
        <v>0</v>
      </c>
      <c r="O2294" t="n">
        <v>0</v>
      </c>
      <c r="P2294" t="n">
        <v>0</v>
      </c>
      <c r="Q2294" t="n">
        <v>0</v>
      </c>
      <c r="R2294" s="2" t="inlineStr"/>
    </row>
    <row r="2295" ht="15" customHeight="1">
      <c r="A2295" t="inlineStr">
        <is>
          <t>A 35113-2023</t>
        </is>
      </c>
      <c r="B2295" s="1" t="n">
        <v>45145</v>
      </c>
      <c r="C2295" s="1" t="n">
        <v>46050</v>
      </c>
      <c r="D2295" t="inlineStr">
        <is>
          <t>STOCKHOLMS LÄN</t>
        </is>
      </c>
      <c r="E2295" t="inlineStr">
        <is>
          <t>SÖDERTÄLJE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51720-2023</t>
        </is>
      </c>
      <c r="B2296" s="1" t="n">
        <v>45222</v>
      </c>
      <c r="C2296" s="1" t="n">
        <v>46050</v>
      </c>
      <c r="D2296" t="inlineStr">
        <is>
          <t>STOCKHOLMS LÄN</t>
        </is>
      </c>
      <c r="E2296" t="inlineStr">
        <is>
          <t>SALEM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10815-2021</t>
        </is>
      </c>
      <c r="B2297" s="1" t="n">
        <v>44259</v>
      </c>
      <c r="C2297" s="1" t="n">
        <v>46050</v>
      </c>
      <c r="D2297" t="inlineStr">
        <is>
          <t>STOCKHOLMS LÄN</t>
        </is>
      </c>
      <c r="E2297" t="inlineStr">
        <is>
          <t>BOTKYRKA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16734-2025</t>
        </is>
      </c>
      <c r="B2298" s="1" t="n">
        <v>45754.53179398148</v>
      </c>
      <c r="C2298" s="1" t="n">
        <v>46050</v>
      </c>
      <c r="D2298" t="inlineStr">
        <is>
          <t>STOCKHOLMS LÄN</t>
        </is>
      </c>
      <c r="E2298" t="inlineStr">
        <is>
          <t>SIGTUNA</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14008-2021</t>
        </is>
      </c>
      <c r="B2299" s="1" t="n">
        <v>44277</v>
      </c>
      <c r="C2299" s="1" t="n">
        <v>46050</v>
      </c>
      <c r="D2299" t="inlineStr">
        <is>
          <t>STOCKHOLMS LÄN</t>
        </is>
      </c>
      <c r="E2299" t="inlineStr">
        <is>
          <t>VÄRMDÖ</t>
        </is>
      </c>
      <c r="F2299" t="inlineStr">
        <is>
          <t>Övriga statliga verk och myndigheter</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52910-2024</t>
        </is>
      </c>
      <c r="B2300" s="1" t="n">
        <v>45610.69866898148</v>
      </c>
      <c r="C2300" s="1" t="n">
        <v>46050</v>
      </c>
      <c r="D2300" t="inlineStr">
        <is>
          <t>STOCKHOLMS LÄN</t>
        </is>
      </c>
      <c r="E2300" t="inlineStr">
        <is>
          <t>NYNÄSHAMN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48839-2023</t>
        </is>
      </c>
      <c r="B2301" s="1" t="n">
        <v>45209</v>
      </c>
      <c r="C2301" s="1" t="n">
        <v>46050</v>
      </c>
      <c r="D2301" t="inlineStr">
        <is>
          <t>STOCKHOLMS LÄN</t>
        </is>
      </c>
      <c r="E2301" t="inlineStr">
        <is>
          <t>EKERÖ</t>
        </is>
      </c>
      <c r="F2301" t="inlineStr">
        <is>
          <t>Kyrkan</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29266-2022</t>
        </is>
      </c>
      <c r="B2302" s="1" t="n">
        <v>44750.66068287037</v>
      </c>
      <c r="C2302" s="1" t="n">
        <v>46050</v>
      </c>
      <c r="D2302" t="inlineStr">
        <is>
          <t>STOCKHOLMS LÄN</t>
        </is>
      </c>
      <c r="E2302" t="inlineStr">
        <is>
          <t>NORRTÄLJE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29278-2022</t>
        </is>
      </c>
      <c r="B2303" s="1" t="n">
        <v>44750</v>
      </c>
      <c r="C2303" s="1" t="n">
        <v>46050</v>
      </c>
      <c r="D2303" t="inlineStr">
        <is>
          <t>STOCKHOLMS LÄN</t>
        </is>
      </c>
      <c r="E2303" t="inlineStr">
        <is>
          <t>NORRTÄLJE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18222-2025</t>
        </is>
      </c>
      <c r="B2304" s="1" t="n">
        <v>45761.7321875</v>
      </c>
      <c r="C2304" s="1" t="n">
        <v>46050</v>
      </c>
      <c r="D2304" t="inlineStr">
        <is>
          <t>STOCKHOLMS LÄN</t>
        </is>
      </c>
      <c r="E2304" t="inlineStr">
        <is>
          <t>NYKVARN</t>
        </is>
      </c>
      <c r="F2304" t="inlineStr">
        <is>
          <t>Sveaskog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37273-2024</t>
        </is>
      </c>
      <c r="B2305" s="1" t="n">
        <v>45540</v>
      </c>
      <c r="C2305" s="1" t="n">
        <v>46050</v>
      </c>
      <c r="D2305" t="inlineStr">
        <is>
          <t>STOCKHOLMS LÄN</t>
        </is>
      </c>
      <c r="E2305" t="inlineStr">
        <is>
          <t>NORRTÄLJE</t>
        </is>
      </c>
      <c r="F2305" t="inlineStr">
        <is>
          <t>Sveaskog</t>
        </is>
      </c>
      <c r="G2305" t="n">
        <v>12.5</v>
      </c>
      <c r="H2305" t="n">
        <v>0</v>
      </c>
      <c r="I2305" t="n">
        <v>0</v>
      </c>
      <c r="J2305" t="n">
        <v>0</v>
      </c>
      <c r="K2305" t="n">
        <v>0</v>
      </c>
      <c r="L2305" t="n">
        <v>0</v>
      </c>
      <c r="M2305" t="n">
        <v>0</v>
      </c>
      <c r="N2305" t="n">
        <v>0</v>
      </c>
      <c r="O2305" t="n">
        <v>0</v>
      </c>
      <c r="P2305" t="n">
        <v>0</v>
      </c>
      <c r="Q2305" t="n">
        <v>0</v>
      </c>
      <c r="R2305" s="2" t="inlineStr"/>
    </row>
    <row r="2306" ht="15" customHeight="1">
      <c r="A2306" t="inlineStr">
        <is>
          <t>A 12908-2025</t>
        </is>
      </c>
      <c r="B2306" s="1" t="n">
        <v>45733.82105324074</v>
      </c>
      <c r="C2306" s="1" t="n">
        <v>46050</v>
      </c>
      <c r="D2306" t="inlineStr">
        <is>
          <t>STOCKHOLMS LÄN</t>
        </is>
      </c>
      <c r="E2306" t="inlineStr">
        <is>
          <t>NORRTÄLJE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7264-2022</t>
        </is>
      </c>
      <c r="B2307" s="1" t="n">
        <v>44606</v>
      </c>
      <c r="C2307" s="1" t="n">
        <v>46050</v>
      </c>
      <c r="D2307" t="inlineStr">
        <is>
          <t>STOCKHOLMS LÄN</t>
        </is>
      </c>
      <c r="E2307" t="inlineStr">
        <is>
          <t>VALLENTUNA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23060-2023</t>
        </is>
      </c>
      <c r="B2308" s="1" t="n">
        <v>45075</v>
      </c>
      <c r="C2308" s="1" t="n">
        <v>46050</v>
      </c>
      <c r="D2308" t="inlineStr">
        <is>
          <t>STOCKHOLMS LÄN</t>
        </is>
      </c>
      <c r="E2308" t="inlineStr">
        <is>
          <t>NORRTÄLJE</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38771-2021</t>
        </is>
      </c>
      <c r="B2309" s="1" t="n">
        <v>44410</v>
      </c>
      <c r="C2309" s="1" t="n">
        <v>46050</v>
      </c>
      <c r="D2309" t="inlineStr">
        <is>
          <t>STOCKHOLMS LÄN</t>
        </is>
      </c>
      <c r="E2309" t="inlineStr">
        <is>
          <t>NYNÄSHAMN</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1187-2024</t>
        </is>
      </c>
      <c r="B2310" s="1" t="n">
        <v>45302.58045138889</v>
      </c>
      <c r="C2310" s="1" t="n">
        <v>46050</v>
      </c>
      <c r="D2310" t="inlineStr">
        <is>
          <t>STOCKHOLMS LÄN</t>
        </is>
      </c>
      <c r="E2310" t="inlineStr">
        <is>
          <t>HANINGE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52773-2024</t>
        </is>
      </c>
      <c r="B2311" s="1" t="n">
        <v>45610.53207175926</v>
      </c>
      <c r="C2311" s="1" t="n">
        <v>46050</v>
      </c>
      <c r="D2311" t="inlineStr">
        <is>
          <t>STOCKHOLMS LÄN</t>
        </is>
      </c>
      <c r="E2311" t="inlineStr">
        <is>
          <t>HANINGE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32103-2022</t>
        </is>
      </c>
      <c r="B2312" s="1" t="n">
        <v>44778</v>
      </c>
      <c r="C2312" s="1" t="n">
        <v>46050</v>
      </c>
      <c r="D2312" t="inlineStr">
        <is>
          <t>STOCKHOLMS LÄN</t>
        </is>
      </c>
      <c r="E2312" t="inlineStr">
        <is>
          <t>NORRTÄLJE</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6401-2024</t>
        </is>
      </c>
      <c r="B2313" s="1" t="n">
        <v>45338</v>
      </c>
      <c r="C2313" s="1" t="n">
        <v>46050</v>
      </c>
      <c r="D2313" t="inlineStr">
        <is>
          <t>STOCKHOLMS LÄN</t>
        </is>
      </c>
      <c r="E2313" t="inlineStr">
        <is>
          <t>NORRTÄLJE</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59504-2023</t>
        </is>
      </c>
      <c r="B2314" s="1" t="n">
        <v>45254</v>
      </c>
      <c r="C2314" s="1" t="n">
        <v>46050</v>
      </c>
      <c r="D2314" t="inlineStr">
        <is>
          <t>STOCKHOLMS LÄN</t>
        </is>
      </c>
      <c r="E2314" t="inlineStr">
        <is>
          <t>NORRTÄLJE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3827-2022</t>
        </is>
      </c>
      <c r="B2315" s="1" t="n">
        <v>44587</v>
      </c>
      <c r="C2315" s="1" t="n">
        <v>46050</v>
      </c>
      <c r="D2315" t="inlineStr">
        <is>
          <t>STOCKHOLMS LÄN</t>
        </is>
      </c>
      <c r="E2315" t="inlineStr">
        <is>
          <t>VÄRMDÖ</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51770-2023</t>
        </is>
      </c>
      <c r="B2316" s="1" t="n">
        <v>45222.71855324074</v>
      </c>
      <c r="C2316" s="1" t="n">
        <v>46050</v>
      </c>
      <c r="D2316" t="inlineStr">
        <is>
          <t>STOCKHOLMS LÄN</t>
        </is>
      </c>
      <c r="E2316" t="inlineStr">
        <is>
          <t>SIGTUNA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52321-2024</t>
        </is>
      </c>
      <c r="B2317" s="1" t="n">
        <v>45608</v>
      </c>
      <c r="C2317" s="1" t="n">
        <v>46050</v>
      </c>
      <c r="D2317" t="inlineStr">
        <is>
          <t>STOCKHOLMS LÄN</t>
        </is>
      </c>
      <c r="E2317" t="inlineStr">
        <is>
          <t>NORRTÄLJE</t>
        </is>
      </c>
      <c r="G2317" t="n">
        <v>18.1</v>
      </c>
      <c r="H2317" t="n">
        <v>0</v>
      </c>
      <c r="I2317" t="n">
        <v>0</v>
      </c>
      <c r="J2317" t="n">
        <v>0</v>
      </c>
      <c r="K2317" t="n">
        <v>0</v>
      </c>
      <c r="L2317" t="n">
        <v>0</v>
      </c>
      <c r="M2317" t="n">
        <v>0</v>
      </c>
      <c r="N2317" t="n">
        <v>0</v>
      </c>
      <c r="O2317" t="n">
        <v>0</v>
      </c>
      <c r="P2317" t="n">
        <v>0</v>
      </c>
      <c r="Q2317" t="n">
        <v>0</v>
      </c>
      <c r="R2317" s="2" t="inlineStr"/>
    </row>
    <row r="2318" ht="15" customHeight="1">
      <c r="A2318" t="inlineStr">
        <is>
          <t>A 48151-2024</t>
        </is>
      </c>
      <c r="B2318" s="1" t="n">
        <v>45589.68289351852</v>
      </c>
      <c r="C2318" s="1" t="n">
        <v>46050</v>
      </c>
      <c r="D2318" t="inlineStr">
        <is>
          <t>STOCKHOLMS LÄN</t>
        </is>
      </c>
      <c r="E2318" t="inlineStr">
        <is>
          <t>NORRTÄLJE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52963-2022</t>
        </is>
      </c>
      <c r="B2319" s="1" t="n">
        <v>44875</v>
      </c>
      <c r="C2319" s="1" t="n">
        <v>46050</v>
      </c>
      <c r="D2319" t="inlineStr">
        <is>
          <t>STOCKHOLMS LÄN</t>
        </is>
      </c>
      <c r="E2319" t="inlineStr">
        <is>
          <t>NYKVARN</t>
        </is>
      </c>
      <c r="F2319" t="inlineStr">
        <is>
          <t>Allmännings- och besparingsskogar</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20370-2025</t>
        </is>
      </c>
      <c r="B2320" s="1" t="n">
        <v>45775.41451388889</v>
      </c>
      <c r="C2320" s="1" t="n">
        <v>46050</v>
      </c>
      <c r="D2320" t="inlineStr">
        <is>
          <t>STOCKHOLMS LÄN</t>
        </is>
      </c>
      <c r="E2320" t="inlineStr">
        <is>
          <t>NORRTÄLJE</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19580-2022</t>
        </is>
      </c>
      <c r="B2321" s="1" t="n">
        <v>44693</v>
      </c>
      <c r="C2321" s="1" t="n">
        <v>46050</v>
      </c>
      <c r="D2321" t="inlineStr">
        <is>
          <t>STOCKHOLMS LÄN</t>
        </is>
      </c>
      <c r="E2321" t="inlineStr">
        <is>
          <t>NORRTÄLJE</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35356-2023</t>
        </is>
      </c>
      <c r="B2322" s="1" t="n">
        <v>45146.51179398148</v>
      </c>
      <c r="C2322" s="1" t="n">
        <v>46050</v>
      </c>
      <c r="D2322" t="inlineStr">
        <is>
          <t>STOCKHOLMS LÄN</t>
        </is>
      </c>
      <c r="E2322" t="inlineStr">
        <is>
          <t>NYNÄSHAMN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19356-2025</t>
        </is>
      </c>
      <c r="B2323" s="1" t="n">
        <v>45769.62061342593</v>
      </c>
      <c r="C2323" s="1" t="n">
        <v>46050</v>
      </c>
      <c r="D2323" t="inlineStr">
        <is>
          <t>STOCKHOLMS LÄN</t>
        </is>
      </c>
      <c r="E2323" t="inlineStr">
        <is>
          <t>VALLENTUNA</t>
        </is>
      </c>
      <c r="F2323" t="inlineStr">
        <is>
          <t>Övriga Aktiebolag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30731-2023</t>
        </is>
      </c>
      <c r="B2324" s="1" t="n">
        <v>45112</v>
      </c>
      <c r="C2324" s="1" t="n">
        <v>46050</v>
      </c>
      <c r="D2324" t="inlineStr">
        <is>
          <t>STOCKHOLMS LÄN</t>
        </is>
      </c>
      <c r="E2324" t="inlineStr">
        <is>
          <t>NORRTÄLJE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60755-2024</t>
        </is>
      </c>
      <c r="B2325" s="1" t="n">
        <v>45644.56945601852</v>
      </c>
      <c r="C2325" s="1" t="n">
        <v>46050</v>
      </c>
      <c r="D2325" t="inlineStr">
        <is>
          <t>STOCKHOLMS LÄN</t>
        </is>
      </c>
      <c r="E2325" t="inlineStr">
        <is>
          <t>EKERÖ</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18411-2025</t>
        </is>
      </c>
      <c r="B2326" s="1" t="n">
        <v>45762.61413194444</v>
      </c>
      <c r="C2326" s="1" t="n">
        <v>46050</v>
      </c>
      <c r="D2326" t="inlineStr">
        <is>
          <t>STOCKHOLMS LÄN</t>
        </is>
      </c>
      <c r="E2326" t="inlineStr">
        <is>
          <t>NYNÄSHAMN</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4580-2025</t>
        </is>
      </c>
      <c r="B2327" s="1" t="n">
        <v>45687.5038425926</v>
      </c>
      <c r="C2327" s="1" t="n">
        <v>46050</v>
      </c>
      <c r="D2327" t="inlineStr">
        <is>
          <t>STOCKHOLMS LÄN</t>
        </is>
      </c>
      <c r="E2327" t="inlineStr">
        <is>
          <t>NORRTÄLJE</t>
        </is>
      </c>
      <c r="F2327" t="inlineStr">
        <is>
          <t>Holmen skog AB</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31057-2022</t>
        </is>
      </c>
      <c r="B2328" s="1" t="n">
        <v>44769</v>
      </c>
      <c r="C2328" s="1" t="n">
        <v>46050</v>
      </c>
      <c r="D2328" t="inlineStr">
        <is>
          <t>STOCKHOLMS LÄN</t>
        </is>
      </c>
      <c r="E2328" t="inlineStr">
        <is>
          <t>NORRTÄLJE</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64107-2023</t>
        </is>
      </c>
      <c r="B2329" s="1" t="n">
        <v>45279</v>
      </c>
      <c r="C2329" s="1" t="n">
        <v>46050</v>
      </c>
      <c r="D2329" t="inlineStr">
        <is>
          <t>STOCKHOLMS LÄN</t>
        </is>
      </c>
      <c r="E2329" t="inlineStr">
        <is>
          <t>UPPLANDS-BRO</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11950-2025</t>
        </is>
      </c>
      <c r="B2330" s="1" t="n">
        <v>45728.55622685186</v>
      </c>
      <c r="C2330" s="1" t="n">
        <v>46050</v>
      </c>
      <c r="D2330" t="inlineStr">
        <is>
          <t>STOCKHOLMS LÄN</t>
        </is>
      </c>
      <c r="E2330" t="inlineStr">
        <is>
          <t>VALLENTUNA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31684-2022</t>
        </is>
      </c>
      <c r="B2331" s="1" t="n">
        <v>44776</v>
      </c>
      <c r="C2331" s="1" t="n">
        <v>46050</v>
      </c>
      <c r="D2331" t="inlineStr">
        <is>
          <t>STOCKHOLMS LÄN</t>
        </is>
      </c>
      <c r="E2331" t="inlineStr">
        <is>
          <t>SIGTUNA</t>
        </is>
      </c>
      <c r="F2331" t="inlineStr">
        <is>
          <t>Kommuner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31140-2023</t>
        </is>
      </c>
      <c r="B2332" s="1" t="n">
        <v>45113</v>
      </c>
      <c r="C2332" s="1" t="n">
        <v>46050</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31149-2023</t>
        </is>
      </c>
      <c r="B2333" s="1" t="n">
        <v>45113</v>
      </c>
      <c r="C2333" s="1" t="n">
        <v>46050</v>
      </c>
      <c r="D2333" t="inlineStr">
        <is>
          <t>STOCKHOLMS LÄN</t>
        </is>
      </c>
      <c r="E2333" t="inlineStr">
        <is>
          <t>NORRTÄLJE</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4658-2024</t>
        </is>
      </c>
      <c r="B2334" s="1" t="n">
        <v>45328.46336805556</v>
      </c>
      <c r="C2334" s="1" t="n">
        <v>46050</v>
      </c>
      <c r="D2334" t="inlineStr">
        <is>
          <t>STOCKHOLMS LÄN</t>
        </is>
      </c>
      <c r="E2334" t="inlineStr">
        <is>
          <t>NORRTÄLJE</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19131-2025</t>
        </is>
      </c>
      <c r="B2335" s="1" t="n">
        <v>45769</v>
      </c>
      <c r="C2335" s="1" t="n">
        <v>46050</v>
      </c>
      <c r="D2335" t="inlineStr">
        <is>
          <t>STOCKHOLMS LÄN</t>
        </is>
      </c>
      <c r="E2335" t="inlineStr">
        <is>
          <t>NORRTÄLJE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35966-2024</t>
        </is>
      </c>
      <c r="B2336" s="1" t="n">
        <v>45533</v>
      </c>
      <c r="C2336" s="1" t="n">
        <v>46050</v>
      </c>
      <c r="D2336" t="inlineStr">
        <is>
          <t>STOCKHOLMS LÄN</t>
        </is>
      </c>
      <c r="E2336" t="inlineStr">
        <is>
          <t>SIGTUNA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28815-2024</t>
        </is>
      </c>
      <c r="B2337" s="1" t="n">
        <v>45478</v>
      </c>
      <c r="C2337" s="1" t="n">
        <v>46050</v>
      </c>
      <c r="D2337" t="inlineStr">
        <is>
          <t>STOCKHOLMS LÄN</t>
        </is>
      </c>
      <c r="E2337" t="inlineStr">
        <is>
          <t>VAXHOLM</t>
        </is>
      </c>
      <c r="F2337" t="inlineStr">
        <is>
          <t>Övriga statliga verk och myndigheter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7112-2025</t>
        </is>
      </c>
      <c r="B2338" s="1" t="n">
        <v>45701</v>
      </c>
      <c r="C2338" s="1" t="n">
        <v>46050</v>
      </c>
      <c r="D2338" t="inlineStr">
        <is>
          <t>STOCKHOLMS LÄN</t>
        </is>
      </c>
      <c r="E2338" t="inlineStr">
        <is>
          <t>UPPLANDS-BRO</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14489-2024</t>
        </is>
      </c>
      <c r="B2339" s="1" t="n">
        <v>45394.58053240741</v>
      </c>
      <c r="C2339" s="1" t="n">
        <v>46050</v>
      </c>
      <c r="D2339" t="inlineStr">
        <is>
          <t>STOCKHOLMS LÄN</t>
        </is>
      </c>
      <c r="E2339" t="inlineStr">
        <is>
          <t>VALLENTUNA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7571-2024</t>
        </is>
      </c>
      <c r="B2340" s="1" t="n">
        <v>45348.46300925926</v>
      </c>
      <c r="C2340" s="1" t="n">
        <v>46050</v>
      </c>
      <c r="D2340" t="inlineStr">
        <is>
          <t>STOCKHOLMS LÄN</t>
        </is>
      </c>
      <c r="E2340" t="inlineStr">
        <is>
          <t>NORRTÄLJE</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47258-2024</t>
        </is>
      </c>
      <c r="B2341" s="1" t="n">
        <v>45586.76025462963</v>
      </c>
      <c r="C2341" s="1" t="n">
        <v>46050</v>
      </c>
      <c r="D2341" t="inlineStr">
        <is>
          <t>STOCKHOLMS LÄN</t>
        </is>
      </c>
      <c r="E2341" t="inlineStr">
        <is>
          <t>NYNÄSHAMN</t>
        </is>
      </c>
      <c r="F2341" t="inlineStr">
        <is>
          <t>Kyrkan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15268-2023</t>
        </is>
      </c>
      <c r="B2342" s="1" t="n">
        <v>45019.41045138889</v>
      </c>
      <c r="C2342" s="1" t="n">
        <v>46050</v>
      </c>
      <c r="D2342" t="inlineStr">
        <is>
          <t>STOCKHOLMS LÄN</t>
        </is>
      </c>
      <c r="E2342" t="inlineStr">
        <is>
          <t>VALLENTUNA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61442-2024</t>
        </is>
      </c>
      <c r="B2343" s="1" t="n">
        <v>45646.47003472222</v>
      </c>
      <c r="C2343" s="1" t="n">
        <v>46050</v>
      </c>
      <c r="D2343" t="inlineStr">
        <is>
          <t>STOCKHOLMS LÄN</t>
        </is>
      </c>
      <c r="E2343" t="inlineStr">
        <is>
          <t>VALLENTUNA</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48068-2021</t>
        </is>
      </c>
      <c r="B2344" s="1" t="n">
        <v>44449.42270833333</v>
      </c>
      <c r="C2344" s="1" t="n">
        <v>46050</v>
      </c>
      <c r="D2344" t="inlineStr">
        <is>
          <t>STOCKHOLMS LÄN</t>
        </is>
      </c>
      <c r="E2344" t="inlineStr">
        <is>
          <t>VALLENTUNA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61589-2024</t>
        </is>
      </c>
      <c r="B2345" s="1" t="n">
        <v>45646.62961805556</v>
      </c>
      <c r="C2345" s="1" t="n">
        <v>46050</v>
      </c>
      <c r="D2345" t="inlineStr">
        <is>
          <t>STOCKHOLMS LÄN</t>
        </is>
      </c>
      <c r="E2345" t="inlineStr">
        <is>
          <t>SIGTUNA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11849-2025</t>
        </is>
      </c>
      <c r="B2346" s="1" t="n">
        <v>45728.38409722222</v>
      </c>
      <c r="C2346" s="1" t="n">
        <v>46050</v>
      </c>
      <c r="D2346" t="inlineStr">
        <is>
          <t>STOCKHOLMS LÄN</t>
        </is>
      </c>
      <c r="E2346" t="inlineStr">
        <is>
          <t>NORRTÄLJE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46757-2023</t>
        </is>
      </c>
      <c r="B2347" s="1" t="n">
        <v>45198</v>
      </c>
      <c r="C2347" s="1" t="n">
        <v>46050</v>
      </c>
      <c r="D2347" t="inlineStr">
        <is>
          <t>STOCKHOLMS LÄN</t>
        </is>
      </c>
      <c r="E2347" t="inlineStr">
        <is>
          <t>SIGTUNA</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40425-2021</t>
        </is>
      </c>
      <c r="B2348" s="1" t="n">
        <v>44419</v>
      </c>
      <c r="C2348" s="1" t="n">
        <v>46050</v>
      </c>
      <c r="D2348" t="inlineStr">
        <is>
          <t>STOCKHOLMS LÄN</t>
        </is>
      </c>
      <c r="E2348" t="inlineStr">
        <is>
          <t>NORRTÄLJE</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13947-2025</t>
        </is>
      </c>
      <c r="B2349" s="1" t="n">
        <v>45737</v>
      </c>
      <c r="C2349" s="1" t="n">
        <v>46050</v>
      </c>
      <c r="D2349" t="inlineStr">
        <is>
          <t>STOCKHOLMS LÄN</t>
        </is>
      </c>
      <c r="E2349" t="inlineStr">
        <is>
          <t>NYNÄSHAMN</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38902-2024</t>
        </is>
      </c>
      <c r="B2350" s="1" t="n">
        <v>45547</v>
      </c>
      <c r="C2350" s="1" t="n">
        <v>46050</v>
      </c>
      <c r="D2350" t="inlineStr">
        <is>
          <t>STOCKHOLMS LÄN</t>
        </is>
      </c>
      <c r="E2350" t="inlineStr">
        <is>
          <t>UPPLANDS-BRO</t>
        </is>
      </c>
      <c r="F2350" t="inlineStr">
        <is>
          <t>Övriga statliga verk och myndigheter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58990-2021</t>
        </is>
      </c>
      <c r="B2351" s="1" t="n">
        <v>44490.03621527777</v>
      </c>
      <c r="C2351" s="1" t="n">
        <v>46050</v>
      </c>
      <c r="D2351" t="inlineStr">
        <is>
          <t>STOCKHOLMS LÄN</t>
        </is>
      </c>
      <c r="E2351" t="inlineStr">
        <is>
          <t>NORRTÄLJE</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45499-2023</t>
        </is>
      </c>
      <c r="B2352" s="1" t="n">
        <v>45194</v>
      </c>
      <c r="C2352" s="1" t="n">
        <v>46050</v>
      </c>
      <c r="D2352" t="inlineStr">
        <is>
          <t>STOCKHOLMS LÄN</t>
        </is>
      </c>
      <c r="E2352" t="inlineStr">
        <is>
          <t>VALLENTUNA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23367-2024</t>
        </is>
      </c>
      <c r="B2353" s="1" t="n">
        <v>45453</v>
      </c>
      <c r="C2353" s="1" t="n">
        <v>46050</v>
      </c>
      <c r="D2353" t="inlineStr">
        <is>
          <t>STOCKHOLMS LÄN</t>
        </is>
      </c>
      <c r="E2353" t="inlineStr">
        <is>
          <t>SÖDERTÄLJE</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37244-2024</t>
        </is>
      </c>
      <c r="B2354" s="1" t="n">
        <v>45540</v>
      </c>
      <c r="C2354" s="1" t="n">
        <v>46050</v>
      </c>
      <c r="D2354" t="inlineStr">
        <is>
          <t>STOCKHOLMS LÄN</t>
        </is>
      </c>
      <c r="E2354" t="inlineStr">
        <is>
          <t>ÖSTERÅKER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3890-2025</t>
        </is>
      </c>
      <c r="B2355" s="1" t="n">
        <v>45684.36896990741</v>
      </c>
      <c r="C2355" s="1" t="n">
        <v>46050</v>
      </c>
      <c r="D2355" t="inlineStr">
        <is>
          <t>STOCKHOLMS LÄN</t>
        </is>
      </c>
      <c r="E2355" t="inlineStr">
        <is>
          <t>SIGTUNA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9891-2025</t>
        </is>
      </c>
      <c r="B2356" s="1" t="n">
        <v>45716.70479166666</v>
      </c>
      <c r="C2356" s="1" t="n">
        <v>46050</v>
      </c>
      <c r="D2356" t="inlineStr">
        <is>
          <t>STOCKHOLMS LÄN</t>
        </is>
      </c>
      <c r="E2356" t="inlineStr">
        <is>
          <t>SÖDERTÄLJE</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1658-2022</t>
        </is>
      </c>
      <c r="B2357" s="1" t="n">
        <v>44574</v>
      </c>
      <c r="C2357" s="1" t="n">
        <v>46050</v>
      </c>
      <c r="D2357" t="inlineStr">
        <is>
          <t>STOCKHOLMS LÄN</t>
        </is>
      </c>
      <c r="E2357" t="inlineStr">
        <is>
          <t>NYNÄSHAMN</t>
        </is>
      </c>
      <c r="F2357" t="inlineStr">
        <is>
          <t>Kommuner</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34452-2021</t>
        </is>
      </c>
      <c r="B2358" s="1" t="n">
        <v>44381</v>
      </c>
      <c r="C2358" s="1" t="n">
        <v>46050</v>
      </c>
      <c r="D2358" t="inlineStr">
        <is>
          <t>STOCKHOLMS LÄN</t>
        </is>
      </c>
      <c r="E2358" t="inlineStr">
        <is>
          <t>VALLENTUNA</t>
        </is>
      </c>
      <c r="G2358" t="n">
        <v>14.7</v>
      </c>
      <c r="H2358" t="n">
        <v>0</v>
      </c>
      <c r="I2358" t="n">
        <v>0</v>
      </c>
      <c r="J2358" t="n">
        <v>0</v>
      </c>
      <c r="K2358" t="n">
        <v>0</v>
      </c>
      <c r="L2358" t="n">
        <v>0</v>
      </c>
      <c r="M2358" t="n">
        <v>0</v>
      </c>
      <c r="N2358" t="n">
        <v>0</v>
      </c>
      <c r="O2358" t="n">
        <v>0</v>
      </c>
      <c r="P2358" t="n">
        <v>0</v>
      </c>
      <c r="Q2358" t="n">
        <v>0</v>
      </c>
      <c r="R2358" s="2" t="inlineStr"/>
    </row>
    <row r="2359" ht="15" customHeight="1">
      <c r="A2359" t="inlineStr">
        <is>
          <t>A 20790-2025</t>
        </is>
      </c>
      <c r="B2359" s="1" t="n">
        <v>45776.62563657408</v>
      </c>
      <c r="C2359" s="1" t="n">
        <v>46050</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20791-2025</t>
        </is>
      </c>
      <c r="B2360" s="1" t="n">
        <v>45776.62738425926</v>
      </c>
      <c r="C2360" s="1" t="n">
        <v>46050</v>
      </c>
      <c r="D2360" t="inlineStr">
        <is>
          <t>STOCKHOLMS LÄN</t>
        </is>
      </c>
      <c r="E2360" t="inlineStr">
        <is>
          <t>VALLENTUNA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20699-2025</t>
        </is>
      </c>
      <c r="B2361" s="1" t="n">
        <v>45776.47346064815</v>
      </c>
      <c r="C2361" s="1" t="n">
        <v>46050</v>
      </c>
      <c r="D2361" t="inlineStr">
        <is>
          <t>STOCKHOLMS LÄN</t>
        </is>
      </c>
      <c r="E2361" t="inlineStr">
        <is>
          <t>NORRTÄLJE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10073-2024</t>
        </is>
      </c>
      <c r="B2362" s="1" t="n">
        <v>45364.40821759259</v>
      </c>
      <c r="C2362" s="1" t="n">
        <v>46050</v>
      </c>
      <c r="D2362" t="inlineStr">
        <is>
          <t>STOCKHOLMS LÄN</t>
        </is>
      </c>
      <c r="E2362" t="inlineStr">
        <is>
          <t>VALLENTUNA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43158-2024</t>
        </is>
      </c>
      <c r="B2363" s="1" t="n">
        <v>45567</v>
      </c>
      <c r="C2363" s="1" t="n">
        <v>46050</v>
      </c>
      <c r="D2363" t="inlineStr">
        <is>
          <t>STOCKHOLMS LÄN</t>
        </is>
      </c>
      <c r="E2363" t="inlineStr">
        <is>
          <t>SIGTUNA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3152-2024</t>
        </is>
      </c>
      <c r="B2364" s="1" t="n">
        <v>45316.60306712963</v>
      </c>
      <c r="C2364" s="1" t="n">
        <v>46050</v>
      </c>
      <c r="D2364" t="inlineStr">
        <is>
          <t>STOCKHOLMS LÄN</t>
        </is>
      </c>
      <c r="E2364" t="inlineStr">
        <is>
          <t>NORRTÄLJE</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59326-2023</t>
        </is>
      </c>
      <c r="B2365" s="1" t="n">
        <v>45253.63089120371</v>
      </c>
      <c r="C2365" s="1" t="n">
        <v>46050</v>
      </c>
      <c r="D2365" t="inlineStr">
        <is>
          <t>STOCKHOLMS LÄN</t>
        </is>
      </c>
      <c r="E2365" t="inlineStr">
        <is>
          <t>NORRTÄLJE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44836-2023</t>
        </is>
      </c>
      <c r="B2366" s="1" t="n">
        <v>45190.55609953704</v>
      </c>
      <c r="C2366" s="1" t="n">
        <v>46050</v>
      </c>
      <c r="D2366" t="inlineStr">
        <is>
          <t>STOCKHOLMS LÄN</t>
        </is>
      </c>
      <c r="E2366" t="inlineStr">
        <is>
          <t>NORRTÄLJE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24946-2024</t>
        </is>
      </c>
      <c r="B2367" s="1" t="n">
        <v>45461</v>
      </c>
      <c r="C2367" s="1" t="n">
        <v>46050</v>
      </c>
      <c r="D2367" t="inlineStr">
        <is>
          <t>STOCKHOLMS LÄN</t>
        </is>
      </c>
      <c r="E2367" t="inlineStr">
        <is>
          <t>SIGTUNA</t>
        </is>
      </c>
      <c r="G2367" t="n">
        <v>12.5</v>
      </c>
      <c r="H2367" t="n">
        <v>0</v>
      </c>
      <c r="I2367" t="n">
        <v>0</v>
      </c>
      <c r="J2367" t="n">
        <v>0</v>
      </c>
      <c r="K2367" t="n">
        <v>0</v>
      </c>
      <c r="L2367" t="n">
        <v>0</v>
      </c>
      <c r="M2367" t="n">
        <v>0</v>
      </c>
      <c r="N2367" t="n">
        <v>0</v>
      </c>
      <c r="O2367" t="n">
        <v>0</v>
      </c>
      <c r="P2367" t="n">
        <v>0</v>
      </c>
      <c r="Q2367" t="n">
        <v>0</v>
      </c>
      <c r="R2367" s="2" t="inlineStr"/>
    </row>
    <row r="2368" ht="15" customHeight="1">
      <c r="A2368" t="inlineStr">
        <is>
          <t>A 20779-2025</t>
        </is>
      </c>
      <c r="B2368" s="1" t="n">
        <v>45776.59871527777</v>
      </c>
      <c r="C2368" s="1" t="n">
        <v>46050</v>
      </c>
      <c r="D2368" t="inlineStr">
        <is>
          <t>STOCKHOLMS LÄN</t>
        </is>
      </c>
      <c r="E2368" t="inlineStr">
        <is>
          <t>NORRTÄLJE</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12621-2024</t>
        </is>
      </c>
      <c r="B2369" s="1" t="n">
        <v>45383.6325</v>
      </c>
      <c r="C2369" s="1" t="n">
        <v>46050</v>
      </c>
      <c r="D2369" t="inlineStr">
        <is>
          <t>STOCKHOLMS LÄN</t>
        </is>
      </c>
      <c r="E2369" t="inlineStr">
        <is>
          <t>VALLENTUNA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21202-2025</t>
        </is>
      </c>
      <c r="B2370" s="1" t="n">
        <v>45779.47872685185</v>
      </c>
      <c r="C2370" s="1" t="n">
        <v>46050</v>
      </c>
      <c r="D2370" t="inlineStr">
        <is>
          <t>STOCKHOLMS LÄN</t>
        </is>
      </c>
      <c r="E2370" t="inlineStr">
        <is>
          <t>NYNÄSHAMN</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21231-2025</t>
        </is>
      </c>
      <c r="B2371" s="1" t="n">
        <v>45779.54644675926</v>
      </c>
      <c r="C2371" s="1" t="n">
        <v>46050</v>
      </c>
      <c r="D2371" t="inlineStr">
        <is>
          <t>STOCKHOLMS LÄN</t>
        </is>
      </c>
      <c r="E2371" t="inlineStr">
        <is>
          <t>HANINGE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21771-2025</t>
        </is>
      </c>
      <c r="B2372" s="1" t="n">
        <v>45783</v>
      </c>
      <c r="C2372" s="1" t="n">
        <v>46050</v>
      </c>
      <c r="D2372" t="inlineStr">
        <is>
          <t>STOCKHOLMS LÄN</t>
        </is>
      </c>
      <c r="E2372" t="inlineStr">
        <is>
          <t>NORRTÄLJE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21796-2025</t>
        </is>
      </c>
      <c r="B2373" s="1" t="n">
        <v>45783.68135416666</v>
      </c>
      <c r="C2373" s="1" t="n">
        <v>46050</v>
      </c>
      <c r="D2373" t="inlineStr">
        <is>
          <t>STOCKHOLMS LÄN</t>
        </is>
      </c>
      <c r="E2373" t="inlineStr">
        <is>
          <t>ÖSTERÅKER</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21786-2025</t>
        </is>
      </c>
      <c r="B2374" s="1" t="n">
        <v>45783.67215277778</v>
      </c>
      <c r="C2374" s="1" t="n">
        <v>46050</v>
      </c>
      <c r="D2374" t="inlineStr">
        <is>
          <t>STOCKHOLMS LÄN</t>
        </is>
      </c>
      <c r="E2374" t="inlineStr">
        <is>
          <t>ÖSTERÅKER</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21778-2025</t>
        </is>
      </c>
      <c r="B2375" s="1" t="n">
        <v>45783.66429398148</v>
      </c>
      <c r="C2375" s="1" t="n">
        <v>46050</v>
      </c>
      <c r="D2375" t="inlineStr">
        <is>
          <t>STOCKHOLMS LÄN</t>
        </is>
      </c>
      <c r="E2375" t="inlineStr">
        <is>
          <t>NORRTÄLJE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21513-2025</t>
        </is>
      </c>
      <c r="B2376" s="1" t="n">
        <v>45782.63189814815</v>
      </c>
      <c r="C2376" s="1" t="n">
        <v>46050</v>
      </c>
      <c r="D2376" t="inlineStr">
        <is>
          <t>STOCKHOLMS LÄN</t>
        </is>
      </c>
      <c r="E2376" t="inlineStr">
        <is>
          <t>SIGTUNA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22202-2025</t>
        </is>
      </c>
      <c r="B2377" s="1" t="n">
        <v>45785.65300925926</v>
      </c>
      <c r="C2377" s="1" t="n">
        <v>46050</v>
      </c>
      <c r="D2377" t="inlineStr">
        <is>
          <t>STOCKHOLMS LÄN</t>
        </is>
      </c>
      <c r="E2377" t="inlineStr">
        <is>
          <t>NORRTÄLJE</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16620-2024</t>
        </is>
      </c>
      <c r="B2378" s="1" t="n">
        <v>45408.57707175926</v>
      </c>
      <c r="C2378" s="1" t="n">
        <v>46050</v>
      </c>
      <c r="D2378" t="inlineStr">
        <is>
          <t>STOCKHOLMS LÄN</t>
        </is>
      </c>
      <c r="E2378" t="inlineStr">
        <is>
          <t>NORRTÄLJE</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19031-2024</t>
        </is>
      </c>
      <c r="B2379" s="1" t="n">
        <v>45427</v>
      </c>
      <c r="C2379" s="1" t="n">
        <v>46050</v>
      </c>
      <c r="D2379" t="inlineStr">
        <is>
          <t>STOCKHOLMS LÄN</t>
        </is>
      </c>
      <c r="E2379" t="inlineStr">
        <is>
          <t>SIGTUNA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35961-2024</t>
        </is>
      </c>
      <c r="B2380" s="1" t="n">
        <v>45533</v>
      </c>
      <c r="C2380" s="1" t="n">
        <v>46050</v>
      </c>
      <c r="D2380" t="inlineStr">
        <is>
          <t>STOCKHOLMS LÄN</t>
        </is>
      </c>
      <c r="E2380" t="inlineStr">
        <is>
          <t>SIGTUNA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16142-2024</t>
        </is>
      </c>
      <c r="B2381" s="1" t="n">
        <v>45406</v>
      </c>
      <c r="C2381" s="1" t="n">
        <v>46050</v>
      </c>
      <c r="D2381" t="inlineStr">
        <is>
          <t>STOCKHOLMS LÄN</t>
        </is>
      </c>
      <c r="E2381" t="inlineStr">
        <is>
          <t>BOTKYRKA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2062-2025</t>
        </is>
      </c>
      <c r="B2382" s="1" t="n">
        <v>45671</v>
      </c>
      <c r="C2382" s="1" t="n">
        <v>46050</v>
      </c>
      <c r="D2382" t="inlineStr">
        <is>
          <t>STOCKHOLMS LÄN</t>
        </is>
      </c>
      <c r="E2382" t="inlineStr">
        <is>
          <t>UPPLANDS-BRO</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22416-2025</t>
        </is>
      </c>
      <c r="B2383" s="1" t="n">
        <v>45786.55645833333</v>
      </c>
      <c r="C2383" s="1" t="n">
        <v>46050</v>
      </c>
      <c r="D2383" t="inlineStr">
        <is>
          <t>STOCKHOLMS LÄN</t>
        </is>
      </c>
      <c r="E2383" t="inlineStr">
        <is>
          <t>NORRTÄLJE</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33892-2022</t>
        </is>
      </c>
      <c r="B2384" s="1" t="n">
        <v>44790.60921296296</v>
      </c>
      <c r="C2384" s="1" t="n">
        <v>46050</v>
      </c>
      <c r="D2384" t="inlineStr">
        <is>
          <t>STOCKHOLMS LÄN</t>
        </is>
      </c>
      <c r="E2384" t="inlineStr">
        <is>
          <t>SÖDERTÄLJE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47977-2022</t>
        </is>
      </c>
      <c r="B2385" s="1" t="n">
        <v>44855</v>
      </c>
      <c r="C2385" s="1" t="n">
        <v>46050</v>
      </c>
      <c r="D2385" t="inlineStr">
        <is>
          <t>STOCKHOLMS LÄN</t>
        </is>
      </c>
      <c r="E2385" t="inlineStr">
        <is>
          <t>SÖDERTÄLJE</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19464-2023</t>
        </is>
      </c>
      <c r="B2386" s="1" t="n">
        <v>45050</v>
      </c>
      <c r="C2386" s="1" t="n">
        <v>46050</v>
      </c>
      <c r="D2386" t="inlineStr">
        <is>
          <t>STOCKHOLMS LÄN</t>
        </is>
      </c>
      <c r="E2386" t="inlineStr">
        <is>
          <t>TÄBY</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58785-2024</t>
        </is>
      </c>
      <c r="B2387" s="1" t="n">
        <v>45635.88849537037</v>
      </c>
      <c r="C2387" s="1" t="n">
        <v>46050</v>
      </c>
      <c r="D2387" t="inlineStr">
        <is>
          <t>STOCKHOLMS LÄN</t>
        </is>
      </c>
      <c r="E2387" t="inlineStr">
        <is>
          <t>NORRTÄLJE</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22730-2025</t>
        </is>
      </c>
      <c r="B2388" s="1" t="n">
        <v>45789.57819444445</v>
      </c>
      <c r="C2388" s="1" t="n">
        <v>46050</v>
      </c>
      <c r="D2388" t="inlineStr">
        <is>
          <t>STOCKHOLMS LÄN</t>
        </is>
      </c>
      <c r="E2388" t="inlineStr">
        <is>
          <t>NYNÄSHAMN</t>
        </is>
      </c>
      <c r="F2388" t="inlineStr">
        <is>
          <t>Kommuner</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2182-2022</t>
        </is>
      </c>
      <c r="B2389" s="1" t="n">
        <v>44578</v>
      </c>
      <c r="C2389" s="1" t="n">
        <v>46050</v>
      </c>
      <c r="D2389" t="inlineStr">
        <is>
          <t>STOCKHOLMS LÄN</t>
        </is>
      </c>
      <c r="E2389" t="inlineStr">
        <is>
          <t>NORRTÄLJE</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13268-2025</t>
        </is>
      </c>
      <c r="B2390" s="1" t="n">
        <v>45735</v>
      </c>
      <c r="C2390" s="1" t="n">
        <v>46050</v>
      </c>
      <c r="D2390" t="inlineStr">
        <is>
          <t>STOCKHOLMS LÄN</t>
        </is>
      </c>
      <c r="E2390" t="inlineStr">
        <is>
          <t>NORRTÄLJE</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8414-2025</t>
        </is>
      </c>
      <c r="B2391" s="1" t="n">
        <v>45709.39361111111</v>
      </c>
      <c r="C2391" s="1" t="n">
        <v>46050</v>
      </c>
      <c r="D2391" t="inlineStr">
        <is>
          <t>STOCKHOLMS LÄN</t>
        </is>
      </c>
      <c r="E2391" t="inlineStr">
        <is>
          <t>NORRTÄLJE</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22402-2025</t>
        </is>
      </c>
      <c r="B2392" s="1" t="n">
        <v>45786.53287037037</v>
      </c>
      <c r="C2392" s="1" t="n">
        <v>46050</v>
      </c>
      <c r="D2392" t="inlineStr">
        <is>
          <t>STOCKHOLMS LÄN</t>
        </is>
      </c>
      <c r="E2392" t="inlineStr">
        <is>
          <t>SIGTUNA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36625-2024</t>
        </is>
      </c>
      <c r="B2393" s="1" t="n">
        <v>45537</v>
      </c>
      <c r="C2393" s="1" t="n">
        <v>46050</v>
      </c>
      <c r="D2393" t="inlineStr">
        <is>
          <t>STOCKHOLMS LÄN</t>
        </is>
      </c>
      <c r="E2393" t="inlineStr">
        <is>
          <t>NORRTÄLJE</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46381-2023</t>
        </is>
      </c>
      <c r="B2394" s="1" t="n">
        <v>45193</v>
      </c>
      <c r="C2394" s="1" t="n">
        <v>46050</v>
      </c>
      <c r="D2394" t="inlineStr">
        <is>
          <t>STOCKHOLMS LÄN</t>
        </is>
      </c>
      <c r="E2394" t="inlineStr">
        <is>
          <t>VALLENTUNA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23009-2024</t>
        </is>
      </c>
      <c r="B2395" s="1" t="n">
        <v>45450.34506944445</v>
      </c>
      <c r="C2395" s="1" t="n">
        <v>46050</v>
      </c>
      <c r="D2395" t="inlineStr">
        <is>
          <t>STOCKHOLMS LÄN</t>
        </is>
      </c>
      <c r="E2395" t="inlineStr">
        <is>
          <t>VALLENTUNA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61027-2023</t>
        </is>
      </c>
      <c r="B2396" s="1" t="n">
        <v>45261</v>
      </c>
      <c r="C2396" s="1" t="n">
        <v>46050</v>
      </c>
      <c r="D2396" t="inlineStr">
        <is>
          <t>STOCKHOLMS LÄN</t>
        </is>
      </c>
      <c r="E2396" t="inlineStr">
        <is>
          <t>VALLENTUNA</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11876-2024</t>
        </is>
      </c>
      <c r="B2397" s="1" t="n">
        <v>45376.47072916666</v>
      </c>
      <c r="C2397" s="1" t="n">
        <v>46050</v>
      </c>
      <c r="D2397" t="inlineStr">
        <is>
          <t>STOCKHOLMS LÄN</t>
        </is>
      </c>
      <c r="E2397" t="inlineStr">
        <is>
          <t>BOTKYRKA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44891-2023</t>
        </is>
      </c>
      <c r="B2398" s="1" t="n">
        <v>45187</v>
      </c>
      <c r="C2398" s="1" t="n">
        <v>46050</v>
      </c>
      <c r="D2398" t="inlineStr">
        <is>
          <t>STOCKHOLMS LÄN</t>
        </is>
      </c>
      <c r="E2398" t="inlineStr">
        <is>
          <t>NORRTÄLJE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12902-2024</t>
        </is>
      </c>
      <c r="B2399" s="1" t="n">
        <v>45385.38146990741</v>
      </c>
      <c r="C2399" s="1" t="n">
        <v>46050</v>
      </c>
      <c r="D2399" t="inlineStr">
        <is>
          <t>STOCKHOLMS LÄN</t>
        </is>
      </c>
      <c r="E2399" t="inlineStr">
        <is>
          <t>NORRTÄLJE</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44032-2024</t>
        </is>
      </c>
      <c r="B2400" s="1" t="n">
        <v>45572.57828703704</v>
      </c>
      <c r="C2400" s="1" t="n">
        <v>46050</v>
      </c>
      <c r="D2400" t="inlineStr">
        <is>
          <t>STOCKHOLMS LÄN</t>
        </is>
      </c>
      <c r="E2400" t="inlineStr">
        <is>
          <t>NORRTÄLJE</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24563-2024</t>
        </is>
      </c>
      <c r="B2401" s="1" t="n">
        <v>45460.44347222222</v>
      </c>
      <c r="C2401" s="1" t="n">
        <v>46050</v>
      </c>
      <c r="D2401" t="inlineStr">
        <is>
          <t>STOCKHOLMS LÄN</t>
        </is>
      </c>
      <c r="E2401" t="inlineStr">
        <is>
          <t>NORRTÄLJE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39237-2024</t>
        </is>
      </c>
      <c r="B2402" s="1" t="n">
        <v>45549</v>
      </c>
      <c r="C2402" s="1" t="n">
        <v>46050</v>
      </c>
      <c r="D2402" t="inlineStr">
        <is>
          <t>STOCKHOLMS LÄN</t>
        </is>
      </c>
      <c r="E2402" t="inlineStr">
        <is>
          <t>NORRTÄLJE</t>
        </is>
      </c>
      <c r="G2402" t="n">
        <v>13.3</v>
      </c>
      <c r="H2402" t="n">
        <v>0</v>
      </c>
      <c r="I2402" t="n">
        <v>0</v>
      </c>
      <c r="J2402" t="n">
        <v>0</v>
      </c>
      <c r="K2402" t="n">
        <v>0</v>
      </c>
      <c r="L2402" t="n">
        <v>0</v>
      </c>
      <c r="M2402" t="n">
        <v>0</v>
      </c>
      <c r="N2402" t="n">
        <v>0</v>
      </c>
      <c r="O2402" t="n">
        <v>0</v>
      </c>
      <c r="P2402" t="n">
        <v>0</v>
      </c>
      <c r="Q2402" t="n">
        <v>0</v>
      </c>
      <c r="R2402" s="2" t="inlineStr"/>
    </row>
    <row r="2403" ht="15" customHeight="1">
      <c r="A2403" t="inlineStr">
        <is>
          <t>A 45746-2024</t>
        </is>
      </c>
      <c r="B2403" s="1" t="n">
        <v>45579</v>
      </c>
      <c r="C2403" s="1" t="n">
        <v>46050</v>
      </c>
      <c r="D2403" t="inlineStr">
        <is>
          <t>STOCKHOLMS LÄN</t>
        </is>
      </c>
      <c r="E2403" t="inlineStr">
        <is>
          <t>NORRTÄLJE</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2177-2024</t>
        </is>
      </c>
      <c r="B2404" s="1" t="n">
        <v>45309.64600694444</v>
      </c>
      <c r="C2404" s="1" t="n">
        <v>46050</v>
      </c>
      <c r="D2404" t="inlineStr">
        <is>
          <t>STOCKHOLMS LÄN</t>
        </is>
      </c>
      <c r="E2404" t="inlineStr">
        <is>
          <t>NYKVARN</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8400-2024</t>
        </is>
      </c>
      <c r="B2405" s="1" t="n">
        <v>45352.74090277778</v>
      </c>
      <c r="C2405" s="1" t="n">
        <v>46050</v>
      </c>
      <c r="D2405" t="inlineStr">
        <is>
          <t>STOCKHOLMS LÄN</t>
        </is>
      </c>
      <c r="E2405" t="inlineStr">
        <is>
          <t>NORRTÄLJE</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17979-2024</t>
        </is>
      </c>
      <c r="B2406" s="1" t="n">
        <v>45419.86915509259</v>
      </c>
      <c r="C2406" s="1" t="n">
        <v>46050</v>
      </c>
      <c r="D2406" t="inlineStr">
        <is>
          <t>STOCKHOLMS LÄN</t>
        </is>
      </c>
      <c r="E2406" t="inlineStr">
        <is>
          <t>SÖDERTÄLJE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22721-2025</t>
        </is>
      </c>
      <c r="B2407" s="1" t="n">
        <v>45789.57309027778</v>
      </c>
      <c r="C2407" s="1" t="n">
        <v>46050</v>
      </c>
      <c r="D2407" t="inlineStr">
        <is>
          <t>STOCKHOLMS LÄN</t>
        </is>
      </c>
      <c r="E2407" t="inlineStr">
        <is>
          <t>NYNÄSHAMN</t>
        </is>
      </c>
      <c r="F2407" t="inlineStr">
        <is>
          <t>Kommuner</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22740-2025</t>
        </is>
      </c>
      <c r="B2408" s="1" t="n">
        <v>45789.59407407408</v>
      </c>
      <c r="C2408" s="1" t="n">
        <v>46050</v>
      </c>
      <c r="D2408" t="inlineStr">
        <is>
          <t>STOCKHOLMS LÄN</t>
        </is>
      </c>
      <c r="E2408" t="inlineStr">
        <is>
          <t>NYNÄSHAMN</t>
        </is>
      </c>
      <c r="F2408" t="inlineStr">
        <is>
          <t>Kommuner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19210-2024</t>
        </is>
      </c>
      <c r="B2409" s="1" t="n">
        <v>45428.54665509259</v>
      </c>
      <c r="C2409" s="1" t="n">
        <v>46050</v>
      </c>
      <c r="D2409" t="inlineStr">
        <is>
          <t>STOCKHOLMS LÄN</t>
        </is>
      </c>
      <c r="E2409" t="inlineStr">
        <is>
          <t>SÖDERTÄLJE</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48375-2024</t>
        </is>
      </c>
      <c r="B2410" s="1" t="n">
        <v>45590.58184027778</v>
      </c>
      <c r="C2410" s="1" t="n">
        <v>46050</v>
      </c>
      <c r="D2410" t="inlineStr">
        <is>
          <t>STOCKHOLMS LÄN</t>
        </is>
      </c>
      <c r="E2410" t="inlineStr">
        <is>
          <t>SIGTUNA</t>
        </is>
      </c>
      <c r="F2410" t="inlineStr">
        <is>
          <t>Allmännings- och besparingsskogar</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23284-2025</t>
        </is>
      </c>
      <c r="B2411" s="1" t="n">
        <v>45791.57525462963</v>
      </c>
      <c r="C2411" s="1" t="n">
        <v>46050</v>
      </c>
      <c r="D2411" t="inlineStr">
        <is>
          <t>STOCKHOLMS LÄN</t>
        </is>
      </c>
      <c r="E2411" t="inlineStr">
        <is>
          <t>NYKVARN</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23615-2025</t>
        </is>
      </c>
      <c r="B2412" s="1" t="n">
        <v>45792.66532407407</v>
      </c>
      <c r="C2412" s="1" t="n">
        <v>46050</v>
      </c>
      <c r="D2412" t="inlineStr">
        <is>
          <t>STOCKHOLMS LÄN</t>
        </is>
      </c>
      <c r="E2412" t="inlineStr">
        <is>
          <t>UPPLANDS-BRO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23655-2025</t>
        </is>
      </c>
      <c r="B2413" s="1" t="n">
        <v>45792</v>
      </c>
      <c r="C2413" s="1" t="n">
        <v>46050</v>
      </c>
      <c r="D2413" t="inlineStr">
        <is>
          <t>STOCKHOLMS LÄN</t>
        </is>
      </c>
      <c r="E2413" t="inlineStr">
        <is>
          <t>NYKVARN</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23627-2025</t>
        </is>
      </c>
      <c r="B2414" s="1" t="n">
        <v>45792.67523148148</v>
      </c>
      <c r="C2414" s="1" t="n">
        <v>46050</v>
      </c>
      <c r="D2414" t="inlineStr">
        <is>
          <t>STOCKHOLMS LÄN</t>
        </is>
      </c>
      <c r="E2414" t="inlineStr">
        <is>
          <t>UPPLANDS-BRO</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62998-2023</t>
        </is>
      </c>
      <c r="B2415" s="1" t="n">
        <v>45272.64479166667</v>
      </c>
      <c r="C2415" s="1" t="n">
        <v>46050</v>
      </c>
      <c r="D2415" t="inlineStr">
        <is>
          <t>STOCKHOLMS LÄN</t>
        </is>
      </c>
      <c r="E2415" t="inlineStr">
        <is>
          <t>NORRTÄLJE</t>
        </is>
      </c>
      <c r="G2415" t="n">
        <v>16.3</v>
      </c>
      <c r="H2415" t="n">
        <v>0</v>
      </c>
      <c r="I2415" t="n">
        <v>0</v>
      </c>
      <c r="J2415" t="n">
        <v>0</v>
      </c>
      <c r="K2415" t="n">
        <v>0</v>
      </c>
      <c r="L2415" t="n">
        <v>0</v>
      </c>
      <c r="M2415" t="n">
        <v>0</v>
      </c>
      <c r="N2415" t="n">
        <v>0</v>
      </c>
      <c r="O2415" t="n">
        <v>0</v>
      </c>
      <c r="P2415" t="n">
        <v>0</v>
      </c>
      <c r="Q2415" t="n">
        <v>0</v>
      </c>
      <c r="R2415" s="2" t="inlineStr"/>
    </row>
    <row r="2416" ht="15" customHeight="1">
      <c r="A2416" t="inlineStr">
        <is>
          <t>A 63015-2023</t>
        </is>
      </c>
      <c r="B2416" s="1" t="n">
        <v>45272</v>
      </c>
      <c r="C2416" s="1" t="n">
        <v>46050</v>
      </c>
      <c r="D2416" t="inlineStr">
        <is>
          <t>STOCKHOLMS LÄN</t>
        </is>
      </c>
      <c r="E2416" t="inlineStr">
        <is>
          <t>NORRTÄLJE</t>
        </is>
      </c>
      <c r="G2416" t="n">
        <v>13.1</v>
      </c>
      <c r="H2416" t="n">
        <v>0</v>
      </c>
      <c r="I2416" t="n">
        <v>0</v>
      </c>
      <c r="J2416" t="n">
        <v>0</v>
      </c>
      <c r="K2416" t="n">
        <v>0</v>
      </c>
      <c r="L2416" t="n">
        <v>0</v>
      </c>
      <c r="M2416" t="n">
        <v>0</v>
      </c>
      <c r="N2416" t="n">
        <v>0</v>
      </c>
      <c r="O2416" t="n">
        <v>0</v>
      </c>
      <c r="P2416" t="n">
        <v>0</v>
      </c>
      <c r="Q2416" t="n">
        <v>0</v>
      </c>
      <c r="R2416" s="2" t="inlineStr"/>
    </row>
    <row r="2417" ht="15" customHeight="1">
      <c r="A2417" t="inlineStr">
        <is>
          <t>A 27831-2024</t>
        </is>
      </c>
      <c r="B2417" s="1" t="n">
        <v>45475.61896990741</v>
      </c>
      <c r="C2417" s="1" t="n">
        <v>46050</v>
      </c>
      <c r="D2417" t="inlineStr">
        <is>
          <t>STOCKHOLMS LÄN</t>
        </is>
      </c>
      <c r="E2417" t="inlineStr">
        <is>
          <t>NORRTÄLJE</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23923-2025</t>
        </is>
      </c>
      <c r="B2418" s="1" t="n">
        <v>45795.39648148148</v>
      </c>
      <c r="C2418" s="1" t="n">
        <v>46050</v>
      </c>
      <c r="D2418" t="inlineStr">
        <is>
          <t>STOCKHOLMS LÄN</t>
        </is>
      </c>
      <c r="E2418" t="inlineStr">
        <is>
          <t>VALLENTUNA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33175-2024</t>
        </is>
      </c>
      <c r="B2419" s="1" t="n">
        <v>45518</v>
      </c>
      <c r="C2419" s="1" t="n">
        <v>46050</v>
      </c>
      <c r="D2419" t="inlineStr">
        <is>
          <t>STOCKHOLMS LÄN</t>
        </is>
      </c>
      <c r="E2419" t="inlineStr">
        <is>
          <t>NORRTÄLJE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51353-2024</t>
        </is>
      </c>
      <c r="B2420" s="1" t="n">
        <v>45604.36140046296</v>
      </c>
      <c r="C2420" s="1" t="n">
        <v>46050</v>
      </c>
      <c r="D2420" t="inlineStr">
        <is>
          <t>STOCKHOLMS LÄN</t>
        </is>
      </c>
      <c r="E2420" t="inlineStr">
        <is>
          <t>SÖDERTÄLJE</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21803-2022</t>
        </is>
      </c>
      <c r="B2421" s="1" t="n">
        <v>44708.67822916667</v>
      </c>
      <c r="C2421" s="1" t="n">
        <v>46050</v>
      </c>
      <c r="D2421" t="inlineStr">
        <is>
          <t>STOCKHOLMS LÄN</t>
        </is>
      </c>
      <c r="E2421" t="inlineStr">
        <is>
          <t>NORRTÄLJE</t>
        </is>
      </c>
      <c r="G2421" t="n">
        <v>1.8</v>
      </c>
      <c r="H2421" t="n">
        <v>0</v>
      </c>
      <c r="I2421" t="n">
        <v>0</v>
      </c>
      <c r="J2421" t="n">
        <v>0</v>
      </c>
      <c r="K2421" t="n">
        <v>0</v>
      </c>
      <c r="L2421" t="n">
        <v>0</v>
      </c>
      <c r="M2421" t="n">
        <v>0</v>
      </c>
      <c r="N2421" t="n">
        <v>0</v>
      </c>
      <c r="O2421" t="n">
        <v>0</v>
      </c>
      <c r="P2421" t="n">
        <v>0</v>
      </c>
      <c r="Q2421" t="n">
        <v>0</v>
      </c>
      <c r="R2421" s="2" t="inlineStr"/>
    </row>
    <row r="2422">
      <c r="A2422" t="inlineStr">
        <is>
          <t>A 20730-2024</t>
        </is>
      </c>
      <c r="B2422" s="1" t="n">
        <v>45436</v>
      </c>
      <c r="C2422" s="1" t="n">
        <v>46050</v>
      </c>
      <c r="D2422" t="inlineStr">
        <is>
          <t>STOCKHOLMS LÄN</t>
        </is>
      </c>
      <c r="E2422" t="inlineStr">
        <is>
          <t>NORRTÄLJE</t>
        </is>
      </c>
      <c r="G2422" t="n">
        <v>7.3</v>
      </c>
      <c r="H2422" t="n">
        <v>0</v>
      </c>
      <c r="I2422" t="n">
        <v>0</v>
      </c>
      <c r="J2422" t="n">
        <v>0</v>
      </c>
      <c r="K2422" t="n">
        <v>0</v>
      </c>
      <c r="L2422" t="n">
        <v>0</v>
      </c>
      <c r="M2422" t="n">
        <v>0</v>
      </c>
      <c r="N2422" t="n">
        <v>0</v>
      </c>
      <c r="O2422" t="n">
        <v>0</v>
      </c>
      <c r="P2422" t="n">
        <v>0</v>
      </c>
      <c r="Q2422" t="n">
        <v>0</v>
      </c>
      <c r="R2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2026-01-28T11:04:06Z</dcterms:created>
  <dcterms:modified xmlns:dcterms="http://purl.org/dc/terms/" xmlns:xsi="http://www.w3.org/2001/XMLSchema-instance" xsi:type="dcterms:W3CDTF">2026-01-28T11:04:08Z</dcterms:modified>
</cp:coreProperties>
</file>